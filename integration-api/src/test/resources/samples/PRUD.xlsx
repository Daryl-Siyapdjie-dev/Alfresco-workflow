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28E76AF-0B06-4F5E-AB26-C69F697F6D2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ECNP" sheetId="52" r:id="rId1"/>
    <sheet name="FPNC" sheetId="60" r:id="rId2"/>
    <sheet name="FPN" sheetId="46" r:id="rId3"/>
    <sheet name="APR" sheetId="50" r:id="rId4"/>
    <sheet name="PRUD_01" sheetId="45" r:id="rId5"/>
    <sheet name="PRUD_02" sheetId="37" r:id="rId6"/>
    <sheet name="PRUD_03" sheetId="40" r:id="rId7"/>
    <sheet name="PRUD_04" sheetId="22" r:id="rId8"/>
    <sheet name="PRUD_05" sheetId="42" r:id="rId9"/>
    <sheet name="PRUD_06" sheetId="48" r:id="rId10"/>
    <sheet name="IMAO_ICD" sheetId="59" r:id="rId11"/>
    <sheet name="IMAO_INCD" sheetId="58" r:id="rId12"/>
  </sheets>
  <definedNames>
    <definedName name="_xlnm.Print_Area" localSheetId="3">APR!$A$1:$F$25</definedName>
    <definedName name="_xlnm.Print_Area" localSheetId="2">FPN!$A$1:$F$47</definedName>
    <definedName name="_xlnm.Print_Area" localSheetId="1">FPNC!$A$1:$D$19</definedName>
    <definedName name="_xlnm.Print_Area" localSheetId="10">IMAO_ICD!$A$1:$AL$55</definedName>
    <definedName name="_xlnm.Print_Area" localSheetId="11">IMAO_INCD!$A$1:$AL$52</definedName>
    <definedName name="_xlnm.Print_Area" localSheetId="4">PRUD_01!$A$1:$H$20</definedName>
    <definedName name="_xlnm.Print_Area" localSheetId="6">PRUD_03!$A$1:$AK$33</definedName>
    <definedName name="_xlnm.Print_Area" localSheetId="7">PRUD_04!$A$1:$U$31</definedName>
    <definedName name="_xlnm.Print_Area" localSheetId="9">PRUD_06!$A$1:$AK$38</definedName>
  </definedNames>
  <calcPr calcId="181029"/>
</workbook>
</file>

<file path=xl/calcChain.xml><?xml version="1.0" encoding="utf-8"?>
<calcChain xmlns="http://schemas.openxmlformats.org/spreadsheetml/2006/main">
  <c r="W19" i="42" l="1"/>
  <c r="R19" i="42" l="1"/>
  <c r="M19" i="42"/>
  <c r="S30" i="22"/>
  <c r="S31" i="22" s="1"/>
  <c r="N11" i="22"/>
  <c r="F32" i="46" l="1"/>
  <c r="F38" i="46" s="1"/>
  <c r="D16" i="60" l="1"/>
  <c r="D18" i="60" s="1"/>
  <c r="G18" i="45" s="1"/>
  <c r="G12" i="52" l="1"/>
  <c r="V25" i="37" l="1"/>
  <c r="D18" i="50"/>
  <c r="F13" i="46" l="1"/>
  <c r="AA38" i="59" l="1"/>
  <c r="AA54" i="59"/>
  <c r="AA51" i="59"/>
  <c r="AA48" i="59"/>
  <c r="AA45" i="59"/>
  <c r="AA42" i="59"/>
  <c r="AA35" i="59"/>
  <c r="AA32" i="59"/>
  <c r="AA28" i="59"/>
  <c r="AA25" i="59"/>
  <c r="AA22" i="59"/>
  <c r="AA18" i="59"/>
  <c r="AA15" i="59"/>
  <c r="AA11" i="59"/>
  <c r="AA51" i="58"/>
  <c r="AA48" i="58"/>
  <c r="AA42" i="58"/>
  <c r="AA39" i="58"/>
  <c r="AA35" i="58"/>
  <c r="AA32" i="58"/>
  <c r="AA28" i="58"/>
  <c r="AA25" i="58"/>
  <c r="AA22" i="58"/>
  <c r="AA18" i="58"/>
  <c r="AA45" i="58"/>
  <c r="AA15" i="58"/>
  <c r="AA11" i="58"/>
  <c r="AF28" i="40" l="1"/>
  <c r="AF11" i="40"/>
  <c r="AF10" i="40" s="1"/>
  <c r="V12" i="37"/>
  <c r="AF32" i="40" l="1"/>
  <c r="G13" i="52" s="1"/>
  <c r="D25" i="50"/>
  <c r="F24" i="50"/>
  <c r="F23" i="50"/>
  <c r="F22" i="50"/>
  <c r="F21" i="50"/>
  <c r="F18" i="50"/>
  <c r="F17" i="50"/>
  <c r="F16" i="50"/>
  <c r="F11" i="50"/>
  <c r="F10" i="50"/>
  <c r="F25" i="50" l="1"/>
  <c r="G20" i="45" s="1"/>
  <c r="Z36" i="48"/>
  <c r="G22" i="52" s="1"/>
  <c r="T31" i="48"/>
  <c r="Z30" i="48" s="1"/>
  <c r="G21" i="52" s="1"/>
  <c r="T20" i="48"/>
  <c r="Z20" i="48" s="1"/>
  <c r="G19" i="52" s="1"/>
  <c r="Z15" i="48"/>
  <c r="G18" i="52" s="1"/>
  <c r="Z11" i="48"/>
  <c r="G17" i="52" s="1"/>
  <c r="R13" i="42" l="1"/>
  <c r="W20" i="42" l="1"/>
  <c r="G16" i="52" s="1"/>
  <c r="F42" i="46"/>
  <c r="F27" i="46"/>
  <c r="F17" i="46"/>
  <c r="F44" i="46" l="1"/>
  <c r="G16" i="45" s="1"/>
  <c r="G11" i="45" s="1"/>
  <c r="F29" i="46"/>
  <c r="G15" i="45" l="1"/>
  <c r="G10" i="45" s="1"/>
  <c r="G7" i="52" s="1"/>
  <c r="F46" i="46"/>
  <c r="N30" i="22"/>
  <c r="G17" i="45" l="1"/>
  <c r="G12" i="45" s="1"/>
  <c r="G8" i="52"/>
  <c r="G13" i="45" l="1"/>
  <c r="G10" i="52" s="1"/>
  <c r="G9" i="52"/>
</calcChain>
</file>

<file path=xl/sharedStrings.xml><?xml version="1.0" encoding="utf-8"?>
<sst xmlns="http://schemas.openxmlformats.org/spreadsheetml/2006/main" count="972" uniqueCount="683">
  <si>
    <t>GNF</t>
  </si>
  <si>
    <t>Dénominateur : Exigibles</t>
  </si>
  <si>
    <t>10% des FPN</t>
  </si>
  <si>
    <t>Nom ou raison sociale du bénéficiaire</t>
  </si>
  <si>
    <t>Composition</t>
  </si>
  <si>
    <t>A</t>
  </si>
  <si>
    <t>PRUD_04</t>
  </si>
  <si>
    <t>PRUD_06</t>
  </si>
  <si>
    <t>Montant</t>
  </si>
  <si>
    <t>M</t>
  </si>
  <si>
    <t>J</t>
  </si>
  <si>
    <t>CIB</t>
  </si>
  <si>
    <t>LC</t>
  </si>
  <si>
    <t>D</t>
  </si>
  <si>
    <t>F</t>
  </si>
  <si>
    <t>P</t>
  </si>
  <si>
    <t xml:space="preserve">PAYS: </t>
  </si>
  <si>
    <t>Date d'arrêté</t>
  </si>
  <si>
    <t>Pour mémoire</t>
  </si>
  <si>
    <t>Fonds propres nets</t>
  </si>
  <si>
    <t>8 fois les FPN</t>
  </si>
  <si>
    <t>CM</t>
  </si>
  <si>
    <t>Numérateur - Réalisables</t>
  </si>
  <si>
    <t>Encours bruts</t>
  </si>
  <si>
    <t>1. ELEMENTS DU BILAN REALISABLES</t>
  </si>
  <si>
    <t>2. ELEMENTS DU BILAN EXIGIBLES</t>
  </si>
  <si>
    <t>PRUD_03</t>
  </si>
  <si>
    <t>2. DENOMINATEUR (D)</t>
  </si>
  <si>
    <t>3. COEFFICIENT DE TRANSFORMATION =(Numératuer / Dénominateur)</t>
  </si>
  <si>
    <t>PRUD_02</t>
  </si>
  <si>
    <t>Fonds propres nets (FPN)</t>
  </si>
  <si>
    <t>Montant des concours*</t>
  </si>
  <si>
    <t>*Prêts, crédits, avances, effets escomptés, comptes ordinaires débiteurs, y compris les crédits garantis par nantissement de marchés publics ou de produits à l'exportation</t>
  </si>
  <si>
    <t>*EP: Etat Périodique</t>
  </si>
  <si>
    <t>CALCUL DES RATIOS DE SOLVABILITE</t>
  </si>
  <si>
    <t>Poste</t>
  </si>
  <si>
    <t>Référence</t>
  </si>
  <si>
    <t>(a)</t>
  </si>
  <si>
    <t>(b)</t>
  </si>
  <si>
    <t>(c)</t>
  </si>
  <si>
    <t>(d)</t>
  </si>
  <si>
    <t>A inclure</t>
  </si>
  <si>
    <t>Total A</t>
  </si>
  <si>
    <t>A déduire</t>
  </si>
  <si>
    <t>Total B</t>
  </si>
  <si>
    <t>Fonds propres de base (C=A-B)</t>
  </si>
  <si>
    <t>Total E</t>
  </si>
  <si>
    <t>Total F</t>
  </si>
  <si>
    <t xml:space="preserve">Total I </t>
  </si>
  <si>
    <t>Niveau /Montant estimé (1)</t>
  </si>
  <si>
    <t>Montant (1)</t>
  </si>
  <si>
    <t xml:space="preserve">2.2 Primes liées aux instruments de fonds propres additionnels </t>
  </si>
  <si>
    <t>INSTITUTION :</t>
  </si>
  <si>
    <t>Réserves de réévaluation certifiées par le commissaire aux comptes</t>
  </si>
  <si>
    <t xml:space="preserve">Comptes bloqués d’associés </t>
  </si>
  <si>
    <t>Subventions d’investissement amortissables au rythme des immobilisations financières</t>
  </si>
  <si>
    <t>Dettes bancaires subordonnées à durée inderminée ou terme &gt;= 5 ans</t>
  </si>
  <si>
    <t>1.1.5. Provisions du passif</t>
  </si>
  <si>
    <t xml:space="preserve">1.2.1. Subvension d'investissement </t>
  </si>
  <si>
    <t>1.2.2. Report à nouveau</t>
  </si>
  <si>
    <t>1.2.3. Dettes subordonnées &amp; assimilées exigibles aux fonds propres</t>
  </si>
  <si>
    <t>1.2.4. Réserves facultatives</t>
  </si>
  <si>
    <t>1.2.5. Réserves générales</t>
  </si>
  <si>
    <t>1.2.6. Fonds de dotation impartageable, à caractère de réserve</t>
  </si>
  <si>
    <t xml:space="preserve">1.4.1. Capital social libéré </t>
  </si>
  <si>
    <t>1.4.2. Fonds de solidarité financière des réseaux</t>
  </si>
  <si>
    <t>1.4.3. 15% exécedent ou 100%  de pertes</t>
  </si>
  <si>
    <t>1.NUMERATEUR (N)</t>
  </si>
  <si>
    <t>1.1. RESSOURCES STABLES (échéance &gt; 1 AN)</t>
  </si>
  <si>
    <t xml:space="preserve">CONCOURS CONSENTIS AUX  MANDATAIRES SOCIAUX, DIRIGEANTS SALARIES </t>
  </si>
  <si>
    <t>RATIO DE DIVERSIFICATION</t>
  </si>
  <si>
    <t>RATIO DE LIMITATION DES PARTICIPATIONS AUTRES QUE DANS LES INSTITUTIONS FINANCIERES</t>
  </si>
  <si>
    <t>Autres titres de participation (I)</t>
  </si>
  <si>
    <t>≤ 5%</t>
  </si>
  <si>
    <t>≤ 25%</t>
  </si>
  <si>
    <t>RATIO DE COUVERTURE DES IMMOBILISATIONS PAR LES FONDS PROPRES</t>
  </si>
  <si>
    <t>Norme</t>
  </si>
  <si>
    <t>≤ 50%</t>
  </si>
  <si>
    <t xml:space="preserve"> AUTRES NORMES PRUDENTIELLES</t>
  </si>
  <si>
    <t>AUTRES NORMES PRUDENTIELLES</t>
  </si>
  <si>
    <t>RATIO DE RESERVE LEGALE OBLIGATOIRE</t>
  </si>
  <si>
    <t>≥ 15%</t>
  </si>
  <si>
    <t>Fonds de solidarité financière</t>
  </si>
  <si>
    <t>RATIO FONDS DE SOLIDARITE FINANCIERE **</t>
  </si>
  <si>
    <t>** NORME RELATIVE A LA FAITIERE DES INSTITUTIONS COOPERATIVES ORGANISEES EN RESEAU</t>
  </si>
  <si>
    <t>≥ 5%</t>
  </si>
  <si>
    <t>RISQUE DE CREDIT : EXPOSITIONS SUR LES ACTIFS</t>
  </si>
  <si>
    <t>Exposition nette</t>
  </si>
  <si>
    <t>Coefficient de pondération</t>
  </si>
  <si>
    <t>Actifs pondérés des risques</t>
  </si>
  <si>
    <t>(1)</t>
  </si>
  <si>
    <t>(2)</t>
  </si>
  <si>
    <t>(3 )= 1 x 2</t>
  </si>
  <si>
    <t>,</t>
  </si>
  <si>
    <t>COUVERTURE DES EMPLOIS STABLES PAR LES RESSOURCES STABLES /COEFFICIENT DE TRANSFORMATIONS DE PLUS D' UN (1) AN DES IMF</t>
  </si>
  <si>
    <t xml:space="preserve">                       ETAT DE CONFORMITE AUX NORMES PRUDENTIELLES</t>
  </si>
  <si>
    <t>Niveau à 
respecter (1)</t>
  </si>
  <si>
    <t>Niveau observé (2)</t>
  </si>
  <si>
    <t>PRUD_05</t>
  </si>
  <si>
    <t>≥10%</t>
  </si>
  <si>
    <t>Seuil observé</t>
  </si>
  <si>
    <t>Total des actifs pondérés en fonction des risques (II)</t>
  </si>
  <si>
    <t>Capital réglementaire  (Tier 1+ Tier 2) (I)</t>
  </si>
  <si>
    <t xml:space="preserve">Créances en souffrance </t>
  </si>
  <si>
    <t>≤ 10%</t>
  </si>
  <si>
    <t xml:space="preserve">Provisions </t>
  </si>
  <si>
    <t xml:space="preserve">Total des prêts bruts </t>
  </si>
  <si>
    <t>LIQUIDITE</t>
  </si>
  <si>
    <t>GRAND RISQUE &amp; CONCENTRATION</t>
  </si>
  <si>
    <t>RATIOS PRUDENTIELS HARMONISES</t>
  </si>
  <si>
    <t>&gt; 0%</t>
  </si>
  <si>
    <t>&lt; 80%</t>
  </si>
  <si>
    <t>IMAO_ICD</t>
  </si>
  <si>
    <t>IMAO_INCD</t>
  </si>
  <si>
    <t>N° Compte</t>
  </si>
  <si>
    <t>Pondération</t>
  </si>
  <si>
    <t xml:space="preserve">1 Fonds propres de base </t>
  </si>
  <si>
    <t xml:space="preserve">2 Fonds propres complémentaires </t>
  </si>
  <si>
    <t>Fonds propres complémentaires (G=E-F)</t>
  </si>
  <si>
    <t>CALCUL DES FONDS PROPRES NETS</t>
  </si>
  <si>
    <t xml:space="preserve">Réserve générale </t>
  </si>
  <si>
    <t>2.1 Instruments de fonds propres complémentaires</t>
  </si>
  <si>
    <t xml:space="preserve"> Fonds propres Nets (H=C+G Si G&lt;C et C&gt;0 ; H= C+50%C si G&gt;C et C&gt;0;  H=C si C&lt;0 )</t>
  </si>
  <si>
    <t xml:space="preserve">Capital souscrit libéré </t>
  </si>
  <si>
    <t xml:space="preserve">15% des bénéfices du dernier exercice clos, certifiés par le CAC, dans l'attente de son affectation </t>
  </si>
  <si>
    <t>Provisions du passif (Fonds pour risques bancaires généraux)</t>
  </si>
  <si>
    <t>Fonds de dotation impartageable, à caractère de réserve</t>
  </si>
  <si>
    <t xml:space="preserve">Fonds de sécurité des réseaux </t>
  </si>
  <si>
    <t xml:space="preserve">Report à nouveau débiteur </t>
  </si>
  <si>
    <t>Actions propres détenues, évaluées à leur valeur comptable</t>
  </si>
  <si>
    <t>Actifs incorporels/ immobilisations incorporelles</t>
  </si>
  <si>
    <t xml:space="preserve">Participations sous forme de fonds propres de base dans des ét. de crédit/fin/Toute participation dans une Institution Financière régulée </t>
  </si>
  <si>
    <t>N° compte</t>
  </si>
  <si>
    <t>2.1 Comptes de dépôts à Vue</t>
  </si>
  <si>
    <t>3. TOTAL EXIGIBLES</t>
  </si>
  <si>
    <t>COEFFICIENT D'OBSERVATION DE LIQUIDITE  IMMEDIATE</t>
  </si>
  <si>
    <t>1.3. Autres comptes de disponibilité</t>
  </si>
  <si>
    <t>1.3. Chèques et effets à l'encaissement</t>
  </si>
  <si>
    <t xml:space="preserve">1.1. Avoir en Caisse </t>
  </si>
  <si>
    <t>1.2. BCRG comptes ordinaires</t>
  </si>
  <si>
    <t xml:space="preserve">1.3. Comptes ordinaires auprès des banques et institutions financières </t>
  </si>
  <si>
    <t>1.3. Organe faitier/ Caisse centrale de réseau</t>
  </si>
  <si>
    <t>4. RATIO DE LIQUIDITE IMMEDIATE =  1/3</t>
  </si>
  <si>
    <t>171 et 172</t>
  </si>
  <si>
    <t>2.2. Créances en souffrance</t>
  </si>
  <si>
    <t>APR_F25</t>
  </si>
  <si>
    <t>SOLDE COMPTE 21</t>
  </si>
  <si>
    <t>SOLDE COMPTE (20+21-208)</t>
  </si>
  <si>
    <t>SOLDE COMPTE 29</t>
  </si>
  <si>
    <t>MOYENNE DES ACTIFS MEME EXERCICE</t>
  </si>
  <si>
    <t>MOYENNE FPN MEME EXERCICE</t>
  </si>
  <si>
    <t>FINS_09/AC12</t>
  </si>
  <si>
    <t>COMPTES (20+21)- COMPTE 208</t>
  </si>
  <si>
    <t>COMPTES (24+25)- COMPTE (248+258)</t>
  </si>
  <si>
    <t xml:space="preserve">Produits non bancaires (I) </t>
  </si>
  <si>
    <t xml:space="preserve">Total des Produits (II) </t>
  </si>
  <si>
    <t>COMPTE 402</t>
  </si>
  <si>
    <t>COMPTE 58</t>
  </si>
  <si>
    <r>
      <t xml:space="preserve">Actif net </t>
    </r>
    <r>
      <rPr>
        <b/>
        <sz val="8"/>
        <color theme="1"/>
        <rFont val="Arial"/>
        <family val="2"/>
      </rPr>
      <t xml:space="preserve"> </t>
    </r>
  </si>
  <si>
    <t>COMPTE 404</t>
  </si>
  <si>
    <t>COMPTE 411</t>
  </si>
  <si>
    <t>COMPTE 43</t>
  </si>
  <si>
    <t>COMPTE 44</t>
  </si>
  <si>
    <t>1.1.1.  Emprunts à moyen et long terme auprès du secteur financier ( dettes rattachées) (Échéance supérieure à 1 an)</t>
  </si>
  <si>
    <t>2.3. Crédits sains à la clientèle (fraction ayant plus de 1 an à courir) (VOIR BALANCE AGEE DES CREDITS SAINS DANS FINS_18)</t>
  </si>
  <si>
    <t>COMPTE 21</t>
  </si>
  <si>
    <t>COMPTES (40+41+42+43+44)-COMPTE 48</t>
  </si>
  <si>
    <t xml:space="preserve">2.1. Immobilisations nettes </t>
  </si>
  <si>
    <t xml:space="preserve">1.1.2. Ressources affectées (échéance supérieure à 1an) </t>
  </si>
  <si>
    <t xml:space="preserve">1.1.3. Quote-part des dépôts à Terme  (&gt; 1an) </t>
  </si>
  <si>
    <t xml:space="preserve">1.1.2. Produits d'épargne (échéance supérieure à 1an) </t>
  </si>
  <si>
    <t>1.1.4. Quote-part Autres dépôts (échéance supérieure à 1an)</t>
  </si>
  <si>
    <t>COMPTES (30+31+32+33)- COMPTES (390+391+394)</t>
  </si>
  <si>
    <t>COMPTES (13+21+323)- COMPTES (19+29+393)</t>
  </si>
  <si>
    <t>COMPTES (40+41+43+44)- COMPTES (48+401)</t>
  </si>
  <si>
    <t>Autres titres immobilisés à valeur de fonds propres (dette subordonnée, prêts participatifs ...) dans des institutions financières agréées</t>
  </si>
  <si>
    <t>MOYENNE DES COMPTES (10301+10311+111+112+113+114+122+123+124+201+202+203)</t>
  </si>
  <si>
    <t>Dividendes à payer (8)</t>
  </si>
  <si>
    <t xml:space="preserve"> Provisions complémentaires à constituer pour dépréciation ou risque de non recouvrement d'actifs, ou pour charges et pertes diverses </t>
  </si>
  <si>
    <r>
      <t>1.1.4. Quote-part des dépôts de garantie bloqués, couvrant des crédits MLT</t>
    </r>
    <r>
      <rPr>
        <b/>
        <sz val="10"/>
        <color theme="1"/>
        <rFont val="Calibri"/>
        <family val="2"/>
        <scheme val="minor"/>
      </rPr>
      <t xml:space="preserve"> </t>
    </r>
  </si>
  <si>
    <t>INSTITUTION</t>
  </si>
  <si>
    <t>Ecart sur les  engagements individuels depassant 10% des FPN</t>
  </si>
  <si>
    <t>TOTAL DES ENGAGEMENTS BRUTS</t>
  </si>
  <si>
    <t>TOTAL DES ECARTS SUR LES NGAGEMENTS DEPASSANT INDIVIDUELLEMENT 10% DES FPN</t>
  </si>
  <si>
    <t>DIVISION DES RISQUES</t>
  </si>
  <si>
    <t xml:space="preserve">Perte ou déficit d'exercice en instance d’approbation ou d’affectation </t>
  </si>
  <si>
    <t>Réserves facultatives</t>
  </si>
  <si>
    <t>Report à nouveau créditeur</t>
  </si>
  <si>
    <t>LISTE DES NORMES PRUDENTIELLES</t>
  </si>
  <si>
    <t xml:space="preserve">Montant total des dépassements </t>
  </si>
  <si>
    <t>A dédure des FPN</t>
  </si>
  <si>
    <t>Résultat déficitaire intermédiaire  (*)</t>
  </si>
  <si>
    <t>(e)</t>
  </si>
  <si>
    <t>a x 100 / e</t>
  </si>
  <si>
    <t>b x 100 / e</t>
  </si>
  <si>
    <t>cx 100 / e</t>
  </si>
  <si>
    <t>dx 100 / e</t>
  </si>
  <si>
    <t>FPN_F29</t>
  </si>
  <si>
    <t>FPN_F46</t>
  </si>
  <si>
    <t xml:space="preserve">Comptes courants d’associés bloqués dans d’autres institutions  financières </t>
  </si>
  <si>
    <t xml:space="preserve">Fonds propres nets (II) </t>
  </si>
  <si>
    <t>FPN_F44</t>
  </si>
  <si>
    <t>FPN_F56</t>
  </si>
  <si>
    <t>FPN-F46</t>
  </si>
  <si>
    <t>FINS_16/X13+AC13</t>
  </si>
  <si>
    <t>FINS_16/X16+AC16</t>
  </si>
  <si>
    <t>FINS_16/X17+AC17</t>
  </si>
  <si>
    <t>FINS_16/X18+AC18</t>
  </si>
  <si>
    <t>FINS_16/X19+AC19</t>
  </si>
  <si>
    <t>FINS_16/X20+AC20</t>
  </si>
  <si>
    <t>FINS_16/X21+AC21</t>
  </si>
  <si>
    <r>
      <t>25%</t>
    </r>
    <r>
      <rPr>
        <sz val="8"/>
        <color theme="1"/>
        <rFont val="Arial"/>
        <family val="2"/>
      </rPr>
      <t>FPN_F46</t>
    </r>
  </si>
  <si>
    <t>FINS_09/AC32</t>
  </si>
  <si>
    <t>PAYS</t>
  </si>
  <si>
    <t>PAYS:</t>
  </si>
  <si>
    <t>INDICATEUR</t>
  </si>
  <si>
    <t>N°</t>
  </si>
  <si>
    <t>Indicateur</t>
  </si>
  <si>
    <t>1.1</t>
  </si>
  <si>
    <t>1.2</t>
  </si>
  <si>
    <t>2.2</t>
  </si>
  <si>
    <t>2.3</t>
  </si>
  <si>
    <t>2.4</t>
  </si>
  <si>
    <t>3.1</t>
  </si>
  <si>
    <t>3.2</t>
  </si>
  <si>
    <t>4.1</t>
  </si>
  <si>
    <t xml:space="preserve"> Autres titres de participations</t>
  </si>
  <si>
    <t>N° Compte50</t>
  </si>
  <si>
    <t>N° Compte 51</t>
  </si>
  <si>
    <t>N° Compte 52</t>
  </si>
  <si>
    <t>N° Compte 53</t>
  </si>
  <si>
    <t>N° Compte 54</t>
  </si>
  <si>
    <t>N° Compte 55</t>
  </si>
  <si>
    <t>N° Compte 56</t>
  </si>
  <si>
    <t>N° Compte 572</t>
  </si>
  <si>
    <t>N° Compte 58</t>
  </si>
  <si>
    <t>N° Compte 59</t>
  </si>
  <si>
    <t>N°CODE</t>
  </si>
  <si>
    <t>Nom ou Raison Sociale du Bénéficiaire                (Liste IGEC2)</t>
  </si>
  <si>
    <t>(*) Nouveau élément introduit dans le calcul des FPN</t>
  </si>
  <si>
    <t>FPN/F46</t>
  </si>
  <si>
    <t>CALCUL DES FONDS PROPRES NETS CORRIGES</t>
  </si>
  <si>
    <t xml:space="preserve">Exposinettes nettes ou Risque par bénéficiaire                     </t>
  </si>
  <si>
    <t>Norme par Bénéficiaire</t>
  </si>
  <si>
    <t>Si T15&gt;T17; T15-T17; 0</t>
  </si>
  <si>
    <t xml:space="preserve">FINS_13/AS18 si AS18&gt;0 </t>
  </si>
  <si>
    <t>N° CODE</t>
  </si>
  <si>
    <t>5.1</t>
  </si>
  <si>
    <t>5.2</t>
  </si>
  <si>
    <t>3.1.1</t>
  </si>
  <si>
    <t xml:space="preserve"> Autres titres immobilisés hors Institutions Financières</t>
  </si>
  <si>
    <t>3.1.2.</t>
  </si>
  <si>
    <t>3.1.3</t>
  </si>
  <si>
    <t xml:space="preserve"> Dépôts et cautionnements (MLT)</t>
  </si>
  <si>
    <t>Immobilisations corporelles</t>
  </si>
  <si>
    <t xml:space="preserve">3.1.4. </t>
  </si>
  <si>
    <t xml:space="preserve"> Immobilisations en cours</t>
  </si>
  <si>
    <t>3.1.5.</t>
  </si>
  <si>
    <t>Total des Immobilisations (I)</t>
  </si>
  <si>
    <t>3.3</t>
  </si>
  <si>
    <r>
      <t>50%</t>
    </r>
    <r>
      <rPr>
        <sz val="8"/>
        <color theme="1"/>
        <rFont val="Arial"/>
        <family val="2"/>
      </rPr>
      <t>FPN_F46</t>
    </r>
  </si>
  <si>
    <t>Si T20&gt;T27; T20-T27; 0</t>
  </si>
  <si>
    <t xml:space="preserve">Calcul du montant en dépassement (III) </t>
  </si>
  <si>
    <t xml:space="preserve">Calcul du montant en dépassement0% Fonds propres nets (III) </t>
  </si>
  <si>
    <t>4.2</t>
  </si>
  <si>
    <t>4.2.1</t>
  </si>
  <si>
    <t>4.2.2</t>
  </si>
  <si>
    <t xml:space="preserve">Bénéfice de l'exercice </t>
  </si>
  <si>
    <t>Variation poste réserve légale obligatoire</t>
  </si>
  <si>
    <t>Réserves légales oblogatoire (exercice N)</t>
  </si>
  <si>
    <t>Réserves légales oblogatoire (exercice N-1)</t>
  </si>
  <si>
    <t xml:space="preserve">* Nouveau élément </t>
  </si>
  <si>
    <t>PRUD_06 /Z27</t>
  </si>
  <si>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BCRG</t>
    </r>
  </si>
  <si>
    <t xml:space="preserve"> Caisses</t>
  </si>
  <si>
    <t>Placements en banques</t>
  </si>
  <si>
    <t>Placements auprès de l'organe faitier (pour le ratio individuel des Institutions affiliées)</t>
  </si>
  <si>
    <t>Placements dans d'autres IFI, hors réseau</t>
  </si>
  <si>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Autres placements financiers</t>
    </r>
  </si>
  <si>
    <t xml:space="preserve"> Autres comptes de disponibilité</t>
  </si>
  <si>
    <t>Chèques et effets à l'encaissement</t>
  </si>
  <si>
    <t>Portefeuille de crédit sain à la clientèle, après déduction des dépôts de garantie (gage- espèce) éventuels, pouvant être compensés en cas de non remboursement</t>
  </si>
  <si>
    <t xml:space="preserve"> Crédits sains</t>
  </si>
  <si>
    <t>Dépôts de garantie financière</t>
  </si>
  <si>
    <t>Opérations diverses</t>
  </si>
  <si>
    <t xml:space="preserve">Toutes créances en souffrance (au secteur financier, à la clientèle, en opérations diverses), pour leur valeur nette </t>
  </si>
  <si>
    <t xml:space="preserve">Immobilisations nettes, après déduction des éléments retirés des fonds propres </t>
  </si>
  <si>
    <t>les engagementrs de financement et garanties octroyés figurant au hors bilan</t>
  </si>
  <si>
    <t xml:space="preserve"> TOTAL</t>
  </si>
  <si>
    <t>APR</t>
  </si>
  <si>
    <t xml:space="preserve">1.1 </t>
  </si>
  <si>
    <t xml:space="preserve"> Fonds propres Complémentaires</t>
  </si>
  <si>
    <t xml:space="preserve"> Fonds propres nets</t>
  </si>
  <si>
    <t>1.3</t>
  </si>
  <si>
    <t xml:space="preserve"> Fonds propres nets corrigés</t>
  </si>
  <si>
    <t>1.4</t>
  </si>
  <si>
    <t>Normes de solvabilité</t>
  </si>
  <si>
    <t xml:space="preserve"> Fonds propres de  base </t>
  </si>
  <si>
    <t xml:space="preserve"> Fonds propres</t>
  </si>
  <si>
    <t>2.1</t>
  </si>
  <si>
    <t xml:space="preserve"> Fonds propres complémentaires</t>
  </si>
  <si>
    <t>Fonds propres nets Corrigés</t>
  </si>
  <si>
    <t xml:space="preserve">2.4 </t>
  </si>
  <si>
    <t xml:space="preserve"> Actifs pondérés des risques (APR)</t>
  </si>
  <si>
    <t xml:space="preserve"> Actifs pondérés des risques de crédit, de marché et opérationel</t>
  </si>
  <si>
    <t xml:space="preserve"> Déduction des Dépassements sur les limites réglementaires et gap de provisions sur les  créances en souffrance</t>
  </si>
  <si>
    <t>2.5</t>
  </si>
  <si>
    <t>Provisions exigées par la BCRG et non encore constituées (*)</t>
  </si>
  <si>
    <t>Total des Excédents  des concours consentis sur une seule signature (*)</t>
  </si>
  <si>
    <t>Excédent des participations dans des entreprises non financières sur les limites réglementaires (*)</t>
  </si>
  <si>
    <t>Montant en dépassement de la couverture des Immobilisations sur les limites réglementaires (*)</t>
  </si>
  <si>
    <t>Excédent des concours consentis aux actionnaires, administrateurs, dirigeants, salariés et apparentés sur les limites réglementaires  (*)</t>
  </si>
  <si>
    <t xml:space="preserve"> Fonds propres nets corrigés (N=H-I)</t>
  </si>
  <si>
    <t>3.4</t>
  </si>
  <si>
    <t>3.5</t>
  </si>
  <si>
    <t>NORMES DE SOLVABILITE</t>
  </si>
  <si>
    <t>Ratio de Fonds propres de  base  (%)</t>
  </si>
  <si>
    <t>Ratio de Fonds propres complémentaires  (%)</t>
  </si>
  <si>
    <t>Ratio de solvabilité total ou de Fonds propres nets  (%)</t>
  </si>
  <si>
    <t>Ratio de solvabilité  calculé sur la base des Fonds propres nets corrigés  (%)</t>
  </si>
  <si>
    <t xml:space="preserve"> NORMES DE LIQUIDITE</t>
  </si>
  <si>
    <t>Ratio de liquidité immédiate</t>
  </si>
  <si>
    <t>Ratio de couverture des emplois stables par les ressources stables  (%)</t>
  </si>
  <si>
    <t>NORMES DE DIVISION DES RISQUES</t>
  </si>
  <si>
    <t xml:space="preserve"> Ratio de division des risques</t>
  </si>
  <si>
    <t>Ratio de limitation des engagements aux mandataires sociaux, dirigeants et salariés</t>
  </si>
  <si>
    <t>Ratio de diversification</t>
  </si>
  <si>
    <t>Ratio de limitation des participations autre que dans les IFI</t>
  </si>
  <si>
    <t>Ratio de couverture des Immobilisations</t>
  </si>
  <si>
    <t>Ratio de réserve obligatoire</t>
  </si>
  <si>
    <t>Ratio de fonds de solidarité financière</t>
  </si>
  <si>
    <t>TOTAL DES ENGAGEMENTS AUX SALARIES</t>
  </si>
  <si>
    <t>TOTAL</t>
  </si>
  <si>
    <t xml:space="preserve">SEUIL </t>
  </si>
  <si>
    <t xml:space="preserve"> Fonds propres nets (II)</t>
  </si>
  <si>
    <t xml:space="preserve"> Capital réglementaire  (Tier 1+ Tier 2) (I)</t>
  </si>
  <si>
    <t xml:space="preserve"> Total des actifs pondérés en fonction des risques (II)</t>
  </si>
  <si>
    <t xml:space="preserve"> QUALITE DES ACTIFS (QDA)</t>
  </si>
  <si>
    <t>ADEQUATION DES FONDS PROPRES (ADFPN)</t>
  </si>
  <si>
    <t>2.1.1</t>
  </si>
  <si>
    <t>2.1.2</t>
  </si>
  <si>
    <t xml:space="preserve"> Ratio qualité des actifs 1 (RQA1)</t>
  </si>
  <si>
    <t>Ratio qualité des actifs 2 (RQA2)</t>
  </si>
  <si>
    <t>2.2.1</t>
  </si>
  <si>
    <t>2.2.2</t>
  </si>
  <si>
    <t>3.1.2</t>
  </si>
  <si>
    <t xml:space="preserve"> Ratio bénéfice net avant impôts / Total actif moyen (RBNAI/TAM)</t>
  </si>
  <si>
    <t>GAIN ET RENTABILITE (GER)</t>
  </si>
  <si>
    <t>3.2.1</t>
  </si>
  <si>
    <t>3.2.2</t>
  </si>
  <si>
    <t>Ratio revenu net après impôts/ Total des fonds propres moyens (RRNAI/TFPM)</t>
  </si>
  <si>
    <t xml:space="preserve"> Revenu net après impôts (I)</t>
  </si>
  <si>
    <t>Total des fonds propres moyens (II)</t>
  </si>
  <si>
    <t xml:space="preserve">Bénéfice net avant impôts </t>
  </si>
  <si>
    <t xml:space="preserve">Total Actif moyen </t>
  </si>
  <si>
    <t>3.3.1</t>
  </si>
  <si>
    <t>3.3.2</t>
  </si>
  <si>
    <t>Ratio revenu net d'intérêt/Revenu brut (RRNI/RB)</t>
  </si>
  <si>
    <t>Revenu net d'intérêt (I)</t>
  </si>
  <si>
    <t>Revenu brut (II)</t>
  </si>
  <si>
    <t>4.1.1</t>
  </si>
  <si>
    <t>4.1.2</t>
  </si>
  <si>
    <t>Ratio de liquidité des actifs (RDLA)</t>
  </si>
  <si>
    <t>Actifs liquides</t>
  </si>
  <si>
    <t>Total Actif</t>
  </si>
  <si>
    <t>Actifs liquides (I)</t>
  </si>
  <si>
    <t>Total passif à CT (moins d'un 1 an)</t>
  </si>
  <si>
    <t>4.3</t>
  </si>
  <si>
    <t>4.3.1</t>
  </si>
  <si>
    <t>4.3.2</t>
  </si>
  <si>
    <t>Ratio liquidité sur total dépôt (RLSTD)</t>
  </si>
  <si>
    <t>Total dépôt (II)</t>
  </si>
  <si>
    <t>5.1.1</t>
  </si>
  <si>
    <t>5.1.2</t>
  </si>
  <si>
    <t xml:space="preserve">Total des prêts </t>
  </si>
  <si>
    <t xml:space="preserve">Total dépôt </t>
  </si>
  <si>
    <t>5.2.1</t>
  </si>
  <si>
    <t>5.2.2</t>
  </si>
  <si>
    <t>Prêts au secteur économique</t>
  </si>
  <si>
    <t>Prêts bruts</t>
  </si>
  <si>
    <t>Ratio prêts au secteur économique/ Prêts bruts (RPASE/PB)</t>
  </si>
  <si>
    <t>5.3</t>
  </si>
  <si>
    <t>Ratio Prêts en souffrance/ Prêts bruts (RPES/PB)</t>
  </si>
  <si>
    <t>5.3.1</t>
  </si>
  <si>
    <t>5.3.2</t>
  </si>
  <si>
    <t>Prêts en souffrance</t>
  </si>
  <si>
    <t>Ratio total des prêts / Total dépôt (RTDP/TD)</t>
  </si>
  <si>
    <t>Ratio liquidité moins d'un an (RLM1AN)</t>
  </si>
  <si>
    <t>5.4</t>
  </si>
  <si>
    <t>5.4.1</t>
  </si>
  <si>
    <t>5.4.2</t>
  </si>
  <si>
    <t>Ratio Provision totale requise/ Prêts bruts (RPTR/PB)</t>
  </si>
  <si>
    <t>Provision totale requise</t>
  </si>
  <si>
    <t>Prets bruts</t>
  </si>
  <si>
    <t>5.5</t>
  </si>
  <si>
    <t>5.5.1</t>
  </si>
  <si>
    <t>5.5.2</t>
  </si>
  <si>
    <t>Revenu avant impôt</t>
  </si>
  <si>
    <t>Actifs productifs moyens</t>
  </si>
  <si>
    <t>Ratio revenu avant impôt / Actifs productifs moyens (RRAI/APM)</t>
  </si>
  <si>
    <t>ADEQUATION DES FONDS PROPRES</t>
  </si>
  <si>
    <t>QUALITE DES ACTIFS</t>
  </si>
  <si>
    <t xml:space="preserve"> Ratio qualité des actifs 1</t>
  </si>
  <si>
    <t>Ratio qualité des actifs 2</t>
  </si>
  <si>
    <t xml:space="preserve"> GAIN ET RENTABILITE</t>
  </si>
  <si>
    <t>Ratio bénéfice net avant impôts / Total actif moyen</t>
  </si>
  <si>
    <t>Ratio revenu net après impôts/ Total des fonds propres moyens</t>
  </si>
  <si>
    <t>Revenu net après impôts (I)</t>
  </si>
  <si>
    <t>Ratio revenu net d'intérêt/Revenu brut</t>
  </si>
  <si>
    <t xml:space="preserve">Ratio de liquidité des actifs </t>
  </si>
  <si>
    <t>RatIo de liquidité de moins d'un an</t>
  </si>
  <si>
    <t>Ratio total des prêts / passif à CT</t>
  </si>
  <si>
    <t>Total des prêts</t>
  </si>
  <si>
    <t>Passif à CT</t>
  </si>
  <si>
    <t>Ratio prêts au secteur économique/ Prêts bruts</t>
  </si>
  <si>
    <t>Ratio Prêts en souffrance/ Prêts bruts</t>
  </si>
  <si>
    <t>Ratio Provision totale requise/ Prêts bruts</t>
  </si>
  <si>
    <t xml:space="preserve"> Prets bruts</t>
  </si>
  <si>
    <t>Ratio revenu avant impôt / Actifs productifs moyens</t>
  </si>
  <si>
    <t>SITU_01/AK63</t>
  </si>
  <si>
    <t>FINS_10:AA141</t>
  </si>
  <si>
    <t>FINS_10:AA143</t>
  </si>
  <si>
    <t>FINS_10: AA143</t>
  </si>
  <si>
    <t>FINS_09 : AC12</t>
  </si>
  <si>
    <t>FINS_09 : AC12-AC62</t>
  </si>
  <si>
    <t>FINS_10 : AA141</t>
  </si>
  <si>
    <t>SITU_01/AK12</t>
  </si>
  <si>
    <t>SITU_02/AD63- PRUD_03/AK11</t>
  </si>
  <si>
    <t>FINS_03: AM23-AM22</t>
  </si>
  <si>
    <t>FINS_13/AN18</t>
  </si>
  <si>
    <t>Provisions comptabilisées</t>
  </si>
  <si>
    <t>Montant Net des Concours accordés</t>
  </si>
  <si>
    <t>3 = 1- 2</t>
  </si>
  <si>
    <t>IGEC17_AE17</t>
  </si>
  <si>
    <t>IGEC17_AO17</t>
  </si>
  <si>
    <t>IGEC16_AF17</t>
  </si>
  <si>
    <t>IGEC16_AM17</t>
  </si>
  <si>
    <t>2=1/N9</t>
  </si>
  <si>
    <t>3=1-N11</t>
  </si>
  <si>
    <t xml:space="preserve">PRUD_04/S31  </t>
  </si>
  <si>
    <t>PRUD_05/W21</t>
  </si>
  <si>
    <t>PRUD_06 /Z17</t>
  </si>
  <si>
    <t>Nombre de dossiers en infraction(PRUD_04)</t>
  </si>
  <si>
    <t>FPNC_D18</t>
  </si>
  <si>
    <t>Si W19&gt;R13 ; W19-R13 ; 0</t>
  </si>
  <si>
    <t>IGEC_18: AT20</t>
  </si>
  <si>
    <t>IGEC_18: AT18</t>
  </si>
  <si>
    <t>IGEC_18: AT19</t>
  </si>
  <si>
    <t>IGEC_18: AT13</t>
  </si>
  <si>
    <t>IGEC_18: AT14</t>
  </si>
  <si>
    <t>IGEC_18: AT15</t>
  </si>
  <si>
    <t>IGEC_18: AT16</t>
  </si>
  <si>
    <t>IGEC_18: AT17</t>
  </si>
  <si>
    <t>IMF ne collectant pas de dépôt</t>
  </si>
  <si>
    <t>IMF collectant de dépôt</t>
  </si>
  <si>
    <t>RC0_001</t>
  </si>
  <si>
    <t>RC0_002</t>
  </si>
  <si>
    <t>RC0_003</t>
  </si>
  <si>
    <t>RC0_004</t>
  </si>
  <si>
    <t>RC0_005</t>
  </si>
  <si>
    <t>RC0_006</t>
  </si>
  <si>
    <t>RC0_007</t>
  </si>
  <si>
    <t>RC0_008</t>
  </si>
  <si>
    <t>RC0_009</t>
  </si>
  <si>
    <t>RC0_010</t>
  </si>
  <si>
    <t>RC0_011</t>
  </si>
  <si>
    <t>RC0_012</t>
  </si>
  <si>
    <t>RC0_013</t>
  </si>
  <si>
    <t>RC0_014</t>
  </si>
  <si>
    <t>RC0_015</t>
  </si>
  <si>
    <t>RC0_016</t>
  </si>
  <si>
    <t/>
  </si>
  <si>
    <t>RA0_001</t>
  </si>
  <si>
    <t>RA0_002</t>
  </si>
  <si>
    <t>RA0_003</t>
  </si>
  <si>
    <t>RA0_004</t>
  </si>
  <si>
    <t>RA0_005</t>
  </si>
  <si>
    <t>RA0_006</t>
  </si>
  <si>
    <t>RA0_007</t>
  </si>
  <si>
    <t>RA0_008</t>
  </si>
  <si>
    <t>RA0_009</t>
  </si>
  <si>
    <t>RA0_010</t>
  </si>
  <si>
    <t>RA0_011</t>
  </si>
  <si>
    <t>RA0_012</t>
  </si>
  <si>
    <t>RA0_013</t>
  </si>
  <si>
    <t>FP0_000</t>
  </si>
  <si>
    <t>FP0_001</t>
  </si>
  <si>
    <t>FP0_002</t>
  </si>
  <si>
    <t>FP0_003</t>
  </si>
  <si>
    <t>FP0_004</t>
  </si>
  <si>
    <t>FP0_005</t>
  </si>
  <si>
    <t>FP0_006</t>
  </si>
  <si>
    <t>FP0_007</t>
  </si>
  <si>
    <t>FP0_008</t>
  </si>
  <si>
    <t>FP0_009</t>
  </si>
  <si>
    <t>FP0_010</t>
  </si>
  <si>
    <t>FP0_011</t>
  </si>
  <si>
    <t>FP0_012</t>
  </si>
  <si>
    <t>FP0_013</t>
  </si>
  <si>
    <t>FP0_014</t>
  </si>
  <si>
    <t>FP0_015</t>
  </si>
  <si>
    <t>FP0_016</t>
  </si>
  <si>
    <t>FP0_017</t>
  </si>
  <si>
    <t>FP0_018</t>
  </si>
  <si>
    <t>FP0_019</t>
  </si>
  <si>
    <t>FP0_020</t>
  </si>
  <si>
    <t>FP0_021</t>
  </si>
  <si>
    <t>FP0_022</t>
  </si>
  <si>
    <t>FP0_023</t>
  </si>
  <si>
    <t>FP0_024</t>
  </si>
  <si>
    <t>FP0_025</t>
  </si>
  <si>
    <t>FP0_026</t>
  </si>
  <si>
    <t>FP0_027</t>
  </si>
  <si>
    <t>FP0_028</t>
  </si>
  <si>
    <t>FP0_029</t>
  </si>
  <si>
    <t>FP0_030</t>
  </si>
  <si>
    <t>FP0_031</t>
  </si>
  <si>
    <t>FP0_032</t>
  </si>
  <si>
    <t>FP0_033</t>
  </si>
  <si>
    <t>FP0_034</t>
  </si>
  <si>
    <t>FP0_035</t>
  </si>
  <si>
    <t>FP0_036</t>
  </si>
  <si>
    <t>FP0_037</t>
  </si>
  <si>
    <t>FP0_038</t>
  </si>
  <si>
    <t>FP0_039</t>
  </si>
  <si>
    <t>FP0_040</t>
  </si>
  <si>
    <t>ICD_001</t>
  </si>
  <si>
    <t>ICD_002</t>
  </si>
  <si>
    <t>ICD_003</t>
  </si>
  <si>
    <t>ICD_004</t>
  </si>
  <si>
    <t>ICD_005</t>
  </si>
  <si>
    <t>ICD_006</t>
  </si>
  <si>
    <t>ICD_007</t>
  </si>
  <si>
    <t>ICD_008</t>
  </si>
  <si>
    <t>ICD_009</t>
  </si>
  <si>
    <t>ICD_010</t>
  </si>
  <si>
    <t>ICD_011</t>
  </si>
  <si>
    <t>ICD_012</t>
  </si>
  <si>
    <t>ICD_013</t>
  </si>
  <si>
    <t>ICD_014</t>
  </si>
  <si>
    <t>ICD_015</t>
  </si>
  <si>
    <t>ICD_016</t>
  </si>
  <si>
    <t>ICD_017</t>
  </si>
  <si>
    <t>ICD_018</t>
  </si>
  <si>
    <t>ICD_019</t>
  </si>
  <si>
    <t>ICD_020</t>
  </si>
  <si>
    <t>ICD_021</t>
  </si>
  <si>
    <t>ICD_022</t>
  </si>
  <si>
    <t>ICD_023</t>
  </si>
  <si>
    <t>ICD_024</t>
  </si>
  <si>
    <t>ICD_025</t>
  </si>
  <si>
    <t>ICD_026</t>
  </si>
  <si>
    <t>ICD_027</t>
  </si>
  <si>
    <t>ICD_028</t>
  </si>
  <si>
    <t>ICD_029</t>
  </si>
  <si>
    <t>ICD_030</t>
  </si>
  <si>
    <t>ICD_031</t>
  </si>
  <si>
    <t>ICD_032</t>
  </si>
  <si>
    <t>ICD_033</t>
  </si>
  <si>
    <t>ICD_034</t>
  </si>
  <si>
    <t>ICD_035</t>
  </si>
  <si>
    <t>ICD_036</t>
  </si>
  <si>
    <t>ICD_037</t>
  </si>
  <si>
    <t>ICD_038</t>
  </si>
  <si>
    <t>ICD_039</t>
  </si>
  <si>
    <t>ICD_040</t>
  </si>
  <si>
    <t>ICD_041</t>
  </si>
  <si>
    <t>ICD_042</t>
  </si>
  <si>
    <t>ICD_043</t>
  </si>
  <si>
    <t>ICD_044</t>
  </si>
  <si>
    <t>ICD_045</t>
  </si>
  <si>
    <t>ICD_046</t>
  </si>
  <si>
    <t>INCD_001</t>
  </si>
  <si>
    <t>INCD_002</t>
  </si>
  <si>
    <t>INCD_003</t>
  </si>
  <si>
    <t>INCD_004</t>
  </si>
  <si>
    <t>INCD_005</t>
  </si>
  <si>
    <t>INCD_006</t>
  </si>
  <si>
    <t>INCD_007</t>
  </si>
  <si>
    <t>INCD_008</t>
  </si>
  <si>
    <t>INCD_009</t>
  </si>
  <si>
    <t>INCD_010</t>
  </si>
  <si>
    <t>INCD_011</t>
  </si>
  <si>
    <t>INCD_012</t>
  </si>
  <si>
    <t>INCD_013</t>
  </si>
  <si>
    <t>INCD_014</t>
  </si>
  <si>
    <t>INCD_015</t>
  </si>
  <si>
    <t>INCD_016</t>
  </si>
  <si>
    <t>INCD_017</t>
  </si>
  <si>
    <t>INCD_018</t>
  </si>
  <si>
    <t>INCD_019</t>
  </si>
  <si>
    <t>INCD_020</t>
  </si>
  <si>
    <t>INCD_021</t>
  </si>
  <si>
    <t>INCD_022</t>
  </si>
  <si>
    <t>INCD_023</t>
  </si>
  <si>
    <t>INCD_024</t>
  </si>
  <si>
    <t>INCD_025</t>
  </si>
  <si>
    <t>INCD_026</t>
  </si>
  <si>
    <t>INCD_027</t>
  </si>
  <si>
    <t>INCD_028</t>
  </si>
  <si>
    <t>INCD_029</t>
  </si>
  <si>
    <t>INCD_030</t>
  </si>
  <si>
    <t>INCD_031</t>
  </si>
  <si>
    <t>INCD_032</t>
  </si>
  <si>
    <t>INCD_033</t>
  </si>
  <si>
    <t>INCD_034</t>
  </si>
  <si>
    <t>INCD_035</t>
  </si>
  <si>
    <t>INCD_036</t>
  </si>
  <si>
    <t>INCD_037</t>
  </si>
  <si>
    <t>INCD_038</t>
  </si>
  <si>
    <t>INCD_039</t>
  </si>
  <si>
    <t>INCD_040</t>
  </si>
  <si>
    <t>INCD_041</t>
  </si>
  <si>
    <t>INCD_042</t>
  </si>
  <si>
    <t>INCD_043</t>
  </si>
  <si>
    <t>APR_04</t>
  </si>
  <si>
    <t>EPR_0800</t>
  </si>
  <si>
    <t>EPR_0810</t>
  </si>
  <si>
    <t>EPR_0820</t>
  </si>
  <si>
    <t>EPR_0830</t>
  </si>
  <si>
    <t>EPR_0840</t>
  </si>
  <si>
    <t>EPR_0850</t>
  </si>
  <si>
    <t>EPR_0860</t>
  </si>
  <si>
    <t>EPR_0870</t>
  </si>
  <si>
    <t>EPR_0880</t>
  </si>
  <si>
    <t>EPR_0890</t>
  </si>
  <si>
    <t>EPR_0900</t>
  </si>
  <si>
    <t>EPR_1320</t>
  </si>
  <si>
    <t>EPR_0010</t>
  </si>
  <si>
    <t>EPR_0020</t>
  </si>
  <si>
    <t>EPR_0030</t>
  </si>
  <si>
    <t>EPR_0040</t>
  </si>
  <si>
    <t>EPR_0050</t>
  </si>
  <si>
    <t>EPR_0060</t>
  </si>
  <si>
    <t>EPR_0070</t>
  </si>
  <si>
    <t>EPR_0080</t>
  </si>
  <si>
    <t>EPR_0110</t>
  </si>
  <si>
    <t>EPR_0120</t>
  </si>
  <si>
    <t>EPR_0130</t>
  </si>
  <si>
    <t>EPR_0140</t>
  </si>
  <si>
    <t>EPR_0150</t>
  </si>
  <si>
    <t>EPR_0160</t>
  </si>
  <si>
    <t>EPR_0170</t>
  </si>
  <si>
    <t>EPR_0180</t>
  </si>
  <si>
    <t>EPR_0190</t>
  </si>
  <si>
    <t>EPR_0230</t>
  </si>
  <si>
    <t>EPR_0260</t>
  </si>
  <si>
    <t>EPR_0270</t>
  </si>
  <si>
    <t>EPR_0280</t>
  </si>
  <si>
    <t>EPR_1330</t>
  </si>
  <si>
    <t>EPR_1340</t>
  </si>
  <si>
    <t>EPR_1380</t>
  </si>
  <si>
    <t>EPR_1400</t>
  </si>
  <si>
    <t>EPR_1420</t>
  </si>
  <si>
    <t>EPR_0200</t>
  </si>
  <si>
    <t>EPR_0210</t>
  </si>
  <si>
    <t>EPR_0220</t>
  </si>
  <si>
    <t>TT0_0270</t>
  </si>
  <si>
    <t>TE0_0270</t>
  </si>
  <si>
    <t>EPR_0600</t>
  </si>
  <si>
    <t>EPR_1000</t>
  </si>
  <si>
    <t>TT0_0280</t>
  </si>
  <si>
    <t>TS0_0290</t>
  </si>
  <si>
    <t>TD0_0300</t>
  </si>
  <si>
    <t>EPR_1510</t>
  </si>
  <si>
    <t>EPR_1520</t>
  </si>
  <si>
    <t>EPR_1530</t>
  </si>
  <si>
    <t>EPR_1540</t>
  </si>
  <si>
    <t>EPR_1550</t>
  </si>
  <si>
    <t>EPR_1560</t>
  </si>
  <si>
    <t>EPR_1570</t>
  </si>
  <si>
    <t>EPR_1580</t>
  </si>
  <si>
    <t>EPR_1590</t>
  </si>
  <si>
    <t>EPR_1600</t>
  </si>
  <si>
    <t>EPR_1610</t>
  </si>
  <si>
    <t>EPR_1620</t>
  </si>
  <si>
    <t>EPR_1630</t>
  </si>
  <si>
    <t>EPR_1640</t>
  </si>
  <si>
    <t>EPR_1650</t>
  </si>
  <si>
    <t>EPR_1660</t>
  </si>
  <si>
    <t>EPR_1670</t>
  </si>
  <si>
    <t>EPR_1690</t>
  </si>
  <si>
    <t>EPR_1680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</si>
</sst>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(* #,##0.00_);_(* \(#,##0.00\);_(* &quot;-&quot;??_);_(@_)"/>
    <numFmt numFmtId="167" formatCode="_(* #,##0_);_(* \(#,##0\);_(* &quot;-&quot;??_);_(@_)"/>
    <numFmt numFmtId="168" formatCode="[$-40C]dddd\ d\ mmmm\ yyyy"/>
    <numFmt numFmtId="169" formatCode="&quot; &quot;General"/>
    <numFmt numFmtId="170" formatCode="[$-40C]General"/>
    <numFmt numFmtId="171" formatCode="&quot;$&quot;0&quot; &quot;;&quot;($&quot;0&quot;)&quot;"/>
    <numFmt numFmtId="172" formatCode="_-* #,##0\ _€_-;\-* #,##0\ _€_-;_-* &quot;-&quot;??\ _€_-;_-@_-"/>
  </numFmts>
  <fonts count="6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10"/>
      <color rgb="FF000000"/>
      <name val="Helv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1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Arial Narrow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1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1"/>
    </font>
    <font>
      <sz val="9"/>
      <name val="Arial1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i/>
      <sz val="8"/>
      <color theme="1"/>
      <name val="Arial"/>
      <family val="2"/>
    </font>
    <font>
      <sz val="8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Arial1"/>
    </font>
    <font>
      <b/>
      <sz val="11"/>
      <name val="Arial1"/>
    </font>
    <font>
      <b/>
      <u/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7030A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2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solid">
        <fgColor rgb="FFFFF2CC"/>
        <bgColor rgb="FFFFF2CC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</borders>
  <cellStyleXfs count="260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7" fillId="0" borderId="0"/>
    <xf numFmtId="169" fontId="9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2" fillId="0" borderId="0">
      <alignment horizontal="left"/>
    </xf>
    <xf numFmtId="0" fontId="12" fillId="0" borderId="0">
      <alignment horizontal="left"/>
    </xf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>
      <alignment vertical="top"/>
    </xf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1" fillId="0" borderId="0">
      <alignment vertical="top"/>
    </xf>
    <xf numFmtId="0" fontId="19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1" fillId="0" borderId="0">
      <alignment vertical="top"/>
    </xf>
    <xf numFmtId="43" fontId="1" fillId="0" borderId="0" applyFont="0" applyFill="0" applyBorder="0" applyAlignment="0" applyProtection="0"/>
    <xf numFmtId="0" fontId="21" fillId="0" borderId="0">
      <alignment vertical="top"/>
    </xf>
    <xf numFmtId="0" fontId="16" fillId="0" borderId="0"/>
    <xf numFmtId="43" fontId="16" fillId="0" borderId="0" applyFont="0" applyFill="0" applyBorder="0" applyAlignment="0" applyProtection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16" fillId="0" borderId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43" fontId="20" fillId="0" borderId="0" applyFont="0" applyFill="0" applyBorder="0" applyAlignment="0" applyProtection="0"/>
    <xf numFmtId="0" fontId="1" fillId="0" borderId="0"/>
    <xf numFmtId="0" fontId="21" fillId="0" borderId="0">
      <alignment vertical="top"/>
    </xf>
    <xf numFmtId="0" fontId="16" fillId="0" borderId="0"/>
    <xf numFmtId="0" fontId="16" fillId="0" borderId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1" fillId="0" borderId="0">
      <alignment vertical="top"/>
    </xf>
    <xf numFmtId="43" fontId="1" fillId="0" borderId="0" applyFont="0" applyFill="0" applyBorder="0" applyAlignment="0" applyProtection="0"/>
    <xf numFmtId="0" fontId="21" fillId="0" borderId="0">
      <alignment vertical="top"/>
    </xf>
    <xf numFmtId="0" fontId="16" fillId="0" borderId="0"/>
    <xf numFmtId="43" fontId="16" fillId="0" borderId="0" applyFont="0" applyFill="0" applyBorder="0" applyAlignment="0" applyProtection="0"/>
    <xf numFmtId="0" fontId="1" fillId="0" borderId="0"/>
    <xf numFmtId="0" fontId="1" fillId="0" borderId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21" fillId="0" borderId="0">
      <alignment vertical="top"/>
    </xf>
    <xf numFmtId="0" fontId="16" fillId="0" borderId="0"/>
    <xf numFmtId="0" fontId="16" fillId="0" borderId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6" fillId="0" borderId="0"/>
    <xf numFmtId="0" fontId="16" fillId="0" borderId="0"/>
    <xf numFmtId="43" fontId="19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20" fillId="0" borderId="0"/>
    <xf numFmtId="0" fontId="20" fillId="0" borderId="0"/>
    <xf numFmtId="0" fontId="16" fillId="0" borderId="0"/>
    <xf numFmtId="43" fontId="16" fillId="0" borderId="0" applyFont="0" applyFill="0" applyBorder="0" applyAlignment="0" applyProtection="0"/>
    <xf numFmtId="0" fontId="23" fillId="0" borderId="0"/>
    <xf numFmtId="0" fontId="19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1" fontId="12" fillId="0" borderId="0">
      <alignment horizontal="left" vertical="center"/>
    </xf>
    <xf numFmtId="0" fontId="12" fillId="0" borderId="0">
      <alignment horizontal="left"/>
    </xf>
    <xf numFmtId="166" fontId="16" fillId="0" borderId="0" applyFont="0" applyFill="0" applyBorder="0" applyAlignment="0" applyProtection="0"/>
  </cellStyleXfs>
  <cellXfs count="824">
    <xf numFmtId="0" fontId="0" fillId="0" borderId="0" xfId="0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2" borderId="11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/>
    <xf numFmtId="0" fontId="6" fillId="0" borderId="0" xfId="0" applyFont="1"/>
    <xf numFmtId="169" fontId="8" fillId="0" borderId="19" xfId="10" applyFont="1" applyBorder="1" applyAlignment="1">
      <alignment horizontal="right" vertical="center" wrapText="1"/>
    </xf>
    <xf numFmtId="0" fontId="10" fillId="0" borderId="0" xfId="9" applyFont="1" applyAlignment="1">
      <alignment horizontal="left" vertical="center"/>
    </xf>
    <xf numFmtId="0" fontId="10" fillId="0" borderId="0" xfId="9" applyFont="1" applyAlignment="1" applyProtection="1">
      <alignment horizontal="left" vertical="center"/>
      <protection locked="0"/>
    </xf>
    <xf numFmtId="169" fontId="10" fillId="0" borderId="0" xfId="10" applyFont="1" applyAlignment="1" applyProtection="1">
      <alignment horizontal="center" vertical="center" wrapText="1"/>
      <protection locked="0"/>
    </xf>
    <xf numFmtId="0" fontId="10" fillId="0" borderId="0" xfId="11" applyFont="1" applyAlignment="1">
      <alignment horizontal="left" vertical="center"/>
    </xf>
    <xf numFmtId="0" fontId="8" fillId="0" borderId="0" xfId="9" applyFont="1" applyAlignment="1">
      <alignment horizontal="center" vertical="center" wrapText="1"/>
    </xf>
    <xf numFmtId="0" fontId="8" fillId="0" borderId="0" xfId="9" applyFont="1" applyAlignment="1">
      <alignment horizontal="left" vertical="center" wrapText="1"/>
    </xf>
    <xf numFmtId="0" fontId="14" fillId="0" borderId="0" xfId="9" applyFont="1" applyAlignment="1" applyProtection="1">
      <alignment horizontal="left" vertical="center"/>
      <protection hidden="1"/>
    </xf>
    <xf numFmtId="0" fontId="14" fillId="0" borderId="0" xfId="9" applyFont="1" applyAlignment="1" applyProtection="1">
      <alignment horizontal="left" vertical="center"/>
      <protection locked="0"/>
    </xf>
    <xf numFmtId="169" fontId="14" fillId="0" borderId="0" xfId="10" applyFont="1" applyAlignment="1" applyProtection="1">
      <alignment horizontal="center" vertical="center" wrapText="1"/>
      <protection locked="0"/>
    </xf>
    <xf numFmtId="0" fontId="13" fillId="0" borderId="0" xfId="9" applyFont="1" applyAlignment="1" applyProtection="1">
      <alignment horizontal="center" vertical="center" wrapText="1"/>
      <protection hidden="1"/>
    </xf>
    <xf numFmtId="0" fontId="14" fillId="0" borderId="0" xfId="9" applyFont="1" applyAlignment="1" applyProtection="1">
      <alignment vertical="center" wrapText="1"/>
      <protection hidden="1"/>
    </xf>
    <xf numFmtId="0" fontId="13" fillId="0" borderId="0" xfId="9" applyFont="1" applyAlignment="1" applyProtection="1">
      <alignment vertical="center" wrapText="1"/>
      <protection hidden="1"/>
    </xf>
    <xf numFmtId="0" fontId="13" fillId="0" borderId="0" xfId="9" applyFont="1" applyAlignment="1" applyProtection="1">
      <alignment horizontal="left" vertical="center"/>
      <protection hidden="1"/>
    </xf>
    <xf numFmtId="0" fontId="14" fillId="0" borderId="0" xfId="9" applyFont="1" applyAlignment="1" applyProtection="1">
      <alignment horizontal="left" vertical="center" wrapText="1"/>
      <protection hidden="1"/>
    </xf>
    <xf numFmtId="0" fontId="14" fillId="0" borderId="0" xfId="9" applyFont="1" applyAlignment="1" applyProtection="1">
      <alignment vertical="center"/>
      <protection hidden="1"/>
    </xf>
    <xf numFmtId="0" fontId="14" fillId="0" borderId="0" xfId="9" applyFont="1" applyAlignment="1" applyProtection="1">
      <alignment horizontal="left" vertical="top"/>
      <protection hidden="1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3" fillId="10" borderId="14" xfId="0" applyFont="1" applyFill="1" applyBorder="1"/>
    <xf numFmtId="0" fontId="3" fillId="10" borderId="15" xfId="0" applyFont="1" applyFill="1" applyBorder="1"/>
    <xf numFmtId="0" fontId="3" fillId="10" borderId="16" xfId="0" applyFont="1" applyFill="1" applyBorder="1"/>
    <xf numFmtId="0" fontId="2" fillId="10" borderId="8" xfId="0" applyFont="1" applyFill="1" applyBorder="1"/>
    <xf numFmtId="0" fontId="2" fillId="10" borderId="9" xfId="0" applyFont="1" applyFill="1" applyBorder="1"/>
    <xf numFmtId="0" fontId="2" fillId="10" borderId="10" xfId="0" applyFont="1" applyFill="1" applyBorder="1"/>
    <xf numFmtId="0" fontId="3" fillId="10" borderId="7" xfId="0" applyFont="1" applyFill="1" applyBorder="1"/>
    <xf numFmtId="0" fontId="2" fillId="10" borderId="6" xfId="0" applyFont="1" applyFill="1" applyBorder="1"/>
    <xf numFmtId="0" fontId="2" fillId="10" borderId="7" xfId="0" applyFont="1" applyFill="1" applyBorder="1"/>
    <xf numFmtId="0" fontId="3" fillId="10" borderId="0" xfId="0" applyFont="1" applyFill="1"/>
    <xf numFmtId="0" fontId="2" fillId="10" borderId="0" xfId="0" applyFont="1" applyFill="1"/>
    <xf numFmtId="0" fontId="3" fillId="10" borderId="6" xfId="0" applyFont="1" applyFill="1" applyBorder="1"/>
    <xf numFmtId="0" fontId="25" fillId="0" borderId="0" xfId="9" applyFont="1" applyAlignment="1" applyProtection="1">
      <alignment vertical="center" wrapText="1"/>
      <protection hidden="1"/>
    </xf>
    <xf numFmtId="0" fontId="26" fillId="0" borderId="0" xfId="9" applyFont="1" applyAlignment="1" applyProtection="1">
      <alignment horizontal="left" vertical="center"/>
      <protection hidden="1"/>
    </xf>
    <xf numFmtId="169" fontId="25" fillId="0" borderId="0" xfId="10" applyFont="1" applyAlignment="1" applyProtection="1">
      <alignment horizontal="center" vertical="center" wrapText="1"/>
      <protection hidden="1"/>
    </xf>
    <xf numFmtId="169" fontId="28" fillId="0" borderId="0" xfId="10" applyFont="1" applyAlignment="1" applyProtection="1">
      <alignment horizontal="center" vertical="center" wrapText="1"/>
      <protection hidden="1"/>
    </xf>
    <xf numFmtId="169" fontId="28" fillId="0" borderId="0" xfId="10" applyFont="1" applyAlignment="1" applyProtection="1">
      <alignment horizontal="right" vertical="center" wrapText="1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7" fillId="0" borderId="0" xfId="9" applyFont="1" applyAlignment="1" applyProtection="1">
      <alignment horizontal="left" vertical="center"/>
      <protection hidden="1"/>
    </xf>
    <xf numFmtId="0" fontId="29" fillId="0" borderId="0" xfId="9" applyFont="1" applyAlignment="1" applyProtection="1">
      <alignment horizontal="left" vertical="center"/>
      <protection locked="0"/>
    </xf>
    <xf numFmtId="169" fontId="29" fillId="0" borderId="0" xfId="10" applyFont="1" applyAlignment="1" applyProtection="1">
      <alignment horizontal="center" vertical="center" wrapText="1"/>
      <protection locked="0"/>
    </xf>
    <xf numFmtId="0" fontId="26" fillId="0" borderId="0" xfId="9" applyFont="1" applyAlignment="1" applyProtection="1">
      <alignment vertical="center"/>
      <protection hidden="1"/>
    </xf>
    <xf numFmtId="0" fontId="26" fillId="0" borderId="0" xfId="11" applyFont="1" applyAlignment="1" applyProtection="1">
      <alignment horizontal="left" vertical="center"/>
      <protection hidden="1"/>
    </xf>
    <xf numFmtId="0" fontId="25" fillId="0" borderId="0" xfId="9" applyFont="1" applyAlignment="1" applyProtection="1">
      <alignment horizontal="left" vertical="center"/>
      <protection hidden="1"/>
    </xf>
    <xf numFmtId="0" fontId="26" fillId="0" borderId="0" xfId="9" applyFont="1" applyAlignment="1" applyProtection="1">
      <alignment horizontal="center" vertical="center"/>
      <protection hidden="1"/>
    </xf>
    <xf numFmtId="0" fontId="30" fillId="0" borderId="29" xfId="9" applyFont="1" applyBorder="1" applyAlignment="1">
      <alignment vertical="center" wrapText="1"/>
    </xf>
    <xf numFmtId="0" fontId="26" fillId="0" borderId="0" xfId="9" applyFont="1" applyAlignment="1" applyProtection="1">
      <alignment horizontal="left" vertical="center" wrapText="1"/>
      <protection hidden="1"/>
    </xf>
    <xf numFmtId="0" fontId="30" fillId="0" borderId="32" xfId="9" applyFont="1" applyBorder="1" applyAlignment="1">
      <alignment vertical="center" wrapText="1"/>
    </xf>
    <xf numFmtId="0" fontId="30" fillId="0" borderId="32" xfId="9" applyFont="1" applyBorder="1" applyAlignment="1">
      <alignment vertical="center"/>
    </xf>
    <xf numFmtId="0" fontId="30" fillId="0" borderId="32" xfId="9" applyFont="1" applyBorder="1" applyAlignment="1">
      <alignment wrapText="1"/>
    </xf>
    <xf numFmtId="0" fontId="15" fillId="0" borderId="0" xfId="9" applyFont="1" applyAlignment="1" applyProtection="1">
      <alignment horizontal="left" vertical="center"/>
      <protection hidden="1"/>
    </xf>
    <xf numFmtId="0" fontId="33" fillId="0" borderId="0" xfId="9" applyFont="1" applyAlignment="1">
      <alignment horizontal="left" vertical="center"/>
    </xf>
    <xf numFmtId="169" fontId="33" fillId="0" borderId="0" xfId="10" applyFont="1" applyAlignment="1" applyProtection="1">
      <alignment horizontal="center" vertical="center" wrapText="1"/>
      <protection locked="0"/>
    </xf>
    <xf numFmtId="0" fontId="33" fillId="0" borderId="0" xfId="9" applyFont="1" applyAlignment="1" applyProtection="1">
      <alignment horizontal="left" vertical="center"/>
      <protection locked="0"/>
    </xf>
    <xf numFmtId="0" fontId="33" fillId="0" borderId="0" xfId="11" applyFont="1" applyAlignment="1">
      <alignment horizontal="left" vertical="center"/>
    </xf>
    <xf numFmtId="0" fontId="32" fillId="0" borderId="0" xfId="9" applyFont="1" applyAlignment="1">
      <alignment horizontal="center" vertical="center" wrapText="1"/>
    </xf>
    <xf numFmtId="0" fontId="32" fillId="0" borderId="0" xfId="9" applyFont="1" applyAlignment="1">
      <alignment horizontal="left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0" borderId="15" xfId="0" applyFont="1" applyBorder="1"/>
    <xf numFmtId="0" fontId="35" fillId="0" borderId="0" xfId="0" applyFont="1"/>
    <xf numFmtId="0" fontId="3" fillId="0" borderId="14" xfId="0" applyFont="1" applyBorder="1"/>
    <xf numFmtId="0" fontId="3" fillId="0" borderId="16" xfId="0" applyFont="1" applyBorder="1"/>
    <xf numFmtId="0" fontId="4" fillId="0" borderId="0" xfId="0" applyFont="1" applyAlignment="1">
      <alignment horizontal="center"/>
    </xf>
    <xf numFmtId="0" fontId="4" fillId="0" borderId="6" xfId="0" applyFont="1" applyBorder="1"/>
    <xf numFmtId="0" fontId="4" fillId="2" borderId="11" xfId="0" applyFont="1" applyFill="1" applyBorder="1" applyAlignment="1">
      <alignment horizontal="center"/>
    </xf>
    <xf numFmtId="0" fontId="38" fillId="0" borderId="4" xfId="0" applyFont="1" applyBorder="1"/>
    <xf numFmtId="0" fontId="38" fillId="0" borderId="0" xfId="0" applyFont="1"/>
    <xf numFmtId="0" fontId="38" fillId="2" borderId="11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8" xfId="0" applyFont="1" applyBorder="1"/>
    <xf numFmtId="0" fontId="38" fillId="0" borderId="9" xfId="0" applyFont="1" applyBorder="1"/>
    <xf numFmtId="0" fontId="38" fillId="0" borderId="5" xfId="0" applyFont="1" applyBorder="1"/>
    <xf numFmtId="0" fontId="38" fillId="0" borderId="7" xfId="0" applyFont="1" applyBorder="1"/>
    <xf numFmtId="0" fontId="38" fillId="0" borderId="10" xfId="0" applyFont="1" applyBorder="1"/>
    <xf numFmtId="0" fontId="5" fillId="0" borderId="0" xfId="0" applyFont="1" applyAlignment="1">
      <alignment horizontal="center"/>
    </xf>
    <xf numFmtId="0" fontId="37" fillId="0" borderId="0" xfId="0" applyFont="1"/>
    <xf numFmtId="0" fontId="3" fillId="10" borderId="9" xfId="0" applyFont="1" applyFill="1" applyBorder="1"/>
    <xf numFmtId="0" fontId="40" fillId="3" borderId="16" xfId="0" applyFont="1" applyFill="1" applyBorder="1" applyAlignment="1">
      <alignment horizontal="center"/>
    </xf>
    <xf numFmtId="0" fontId="38" fillId="2" borderId="2" xfId="0" applyFont="1" applyFill="1" applyBorder="1"/>
    <xf numFmtId="0" fontId="38" fillId="2" borderId="12" xfId="0" applyFont="1" applyFill="1" applyBorder="1"/>
    <xf numFmtId="0" fontId="38" fillId="2" borderId="17" xfId="0" applyFont="1" applyFill="1" applyBorder="1"/>
    <xf numFmtId="0" fontId="3" fillId="0" borderId="17" xfId="0" applyFont="1" applyBorder="1"/>
    <xf numFmtId="0" fontId="4" fillId="2" borderId="17" xfId="0" applyFont="1" applyFill="1" applyBorder="1"/>
    <xf numFmtId="0" fontId="4" fillId="2" borderId="2" xfId="0" applyFont="1" applyFill="1" applyBorder="1"/>
    <xf numFmtId="0" fontId="3" fillId="2" borderId="17" xfId="0" applyFont="1" applyFill="1" applyBorder="1"/>
    <xf numFmtId="0" fontId="3" fillId="2" borderId="2" xfId="0" applyFont="1" applyFill="1" applyBorder="1"/>
    <xf numFmtId="0" fontId="3" fillId="2" borderId="12" xfId="0" applyFont="1" applyFill="1" applyBorder="1"/>
    <xf numFmtId="0" fontId="3" fillId="0" borderId="1" xfId="0" applyFont="1" applyBorder="1"/>
    <xf numFmtId="0" fontId="44" fillId="0" borderId="0" xfId="0" applyFont="1"/>
    <xf numFmtId="0" fontId="2" fillId="0" borderId="14" xfId="0" applyFont="1" applyBorder="1"/>
    <xf numFmtId="0" fontId="10" fillId="7" borderId="0" xfId="9" applyFont="1" applyFill="1" applyAlignment="1">
      <alignment horizontal="left" vertical="center"/>
    </xf>
    <xf numFmtId="0" fontId="40" fillId="3" borderId="48" xfId="0" applyFont="1" applyFill="1" applyBorder="1" applyAlignment="1">
      <alignment horizontal="center"/>
    </xf>
    <xf numFmtId="0" fontId="40" fillId="3" borderId="48" xfId="0" applyFont="1" applyFill="1" applyBorder="1" applyAlignment="1">
      <alignment horizontal="left"/>
    </xf>
    <xf numFmtId="0" fontId="38" fillId="0" borderId="49" xfId="0" applyFont="1" applyBorder="1" applyAlignment="1">
      <alignment horizontal="left"/>
    </xf>
    <xf numFmtId="0" fontId="42" fillId="3" borderId="48" xfId="0" applyFont="1" applyFill="1" applyBorder="1" applyAlignment="1">
      <alignment horizontal="left"/>
    </xf>
    <xf numFmtId="0" fontId="42" fillId="0" borderId="48" xfId="0" applyFont="1" applyBorder="1" applyAlignment="1">
      <alignment horizontal="left"/>
    </xf>
    <xf numFmtId="0" fontId="3" fillId="0" borderId="22" xfId="0" applyFont="1" applyBorder="1"/>
    <xf numFmtId="0" fontId="46" fillId="0" borderId="0" xfId="9" applyFont="1" applyAlignment="1">
      <alignment horizontal="left" vertical="center"/>
    </xf>
    <xf numFmtId="0" fontId="41" fillId="0" borderId="0" xfId="9" applyFont="1" applyAlignment="1">
      <alignment horizontal="left" vertical="center"/>
    </xf>
    <xf numFmtId="0" fontId="46" fillId="0" borderId="0" xfId="9" applyFont="1" applyAlignment="1" applyProtection="1">
      <alignment horizontal="left" vertical="center"/>
      <protection locked="0"/>
    </xf>
    <xf numFmtId="0" fontId="41" fillId="0" borderId="0" xfId="9" applyFont="1" applyAlignment="1" applyProtection="1">
      <alignment horizontal="left" vertical="center"/>
      <protection locked="0"/>
    </xf>
    <xf numFmtId="169" fontId="41" fillId="0" borderId="0" xfId="10" applyFont="1" applyAlignment="1" applyProtection="1">
      <alignment horizontal="center" vertical="center" wrapText="1"/>
      <protection locked="0"/>
    </xf>
    <xf numFmtId="0" fontId="41" fillId="0" borderId="0" xfId="9" applyFont="1" applyAlignment="1" applyProtection="1">
      <alignment horizontal="center" vertical="center"/>
      <protection locked="0"/>
    </xf>
    <xf numFmtId="0" fontId="41" fillId="0" borderId="2" xfId="11" applyFont="1" applyBorder="1" applyAlignment="1">
      <alignment horizontal="left" vertical="center"/>
    </xf>
    <xf numFmtId="0" fontId="39" fillId="3" borderId="35" xfId="9" applyFont="1" applyFill="1" applyBorder="1" applyAlignment="1">
      <alignment horizontal="center" vertical="center" wrapText="1"/>
    </xf>
    <xf numFmtId="0" fontId="39" fillId="3" borderId="34" xfId="9" applyFont="1" applyFill="1" applyBorder="1" applyAlignment="1">
      <alignment horizontal="center" vertical="center" wrapText="1"/>
    </xf>
    <xf numFmtId="10" fontId="41" fillId="0" borderId="30" xfId="12" applyNumberFormat="1" applyFont="1" applyBorder="1" applyAlignment="1" applyProtection="1">
      <alignment horizontal="center" vertical="center"/>
      <protection hidden="1"/>
    </xf>
    <xf numFmtId="10" fontId="41" fillId="0" borderId="38" xfId="12" applyNumberFormat="1" applyFont="1" applyBorder="1" applyAlignment="1" applyProtection="1">
      <alignment horizontal="center" vertical="center"/>
      <protection hidden="1"/>
    </xf>
    <xf numFmtId="0" fontId="41" fillId="0" borderId="30" xfId="12" applyFont="1" applyBorder="1" applyAlignment="1" applyProtection="1">
      <alignment horizontal="center" vertical="center" wrapText="1"/>
      <protection hidden="1"/>
    </xf>
    <xf numFmtId="9" fontId="41" fillId="0" borderId="30" xfId="12" applyNumberFormat="1" applyFont="1" applyBorder="1" applyAlignment="1" applyProtection="1">
      <alignment horizontal="center" vertical="center"/>
      <protection hidden="1"/>
    </xf>
    <xf numFmtId="0" fontId="49" fillId="0" borderId="0" xfId="9" applyFont="1" applyAlignment="1" applyProtection="1">
      <alignment horizontal="left" vertical="center"/>
      <protection hidden="1"/>
    </xf>
    <xf numFmtId="0" fontId="39" fillId="0" borderId="0" xfId="9" applyFont="1" applyAlignment="1" applyProtection="1">
      <alignment horizontal="center" vertical="top" wrapText="1"/>
      <protection hidden="1"/>
    </xf>
    <xf numFmtId="169" fontId="39" fillId="0" borderId="0" xfId="10" applyFont="1" applyAlignment="1" applyProtection="1">
      <alignment horizontal="right" vertical="top" wrapText="1"/>
      <protection hidden="1"/>
    </xf>
    <xf numFmtId="0" fontId="41" fillId="0" borderId="0" xfId="9" applyFont="1" applyAlignment="1" applyProtection="1">
      <alignment vertical="center"/>
      <protection hidden="1"/>
    </xf>
    <xf numFmtId="49" fontId="39" fillId="0" borderId="0" xfId="9" applyNumberFormat="1" applyFont="1" applyAlignment="1" applyProtection="1">
      <alignment horizontal="left" vertical="top"/>
      <protection hidden="1"/>
    </xf>
    <xf numFmtId="169" fontId="39" fillId="0" borderId="0" xfId="10" applyFont="1" applyAlignment="1" applyProtection="1">
      <alignment horizontal="center" vertical="center" wrapText="1"/>
      <protection hidden="1"/>
    </xf>
    <xf numFmtId="0" fontId="49" fillId="0" borderId="0" xfId="9" applyFont="1" applyAlignment="1" applyProtection="1">
      <alignment horizontal="left" vertical="center"/>
      <protection locked="0"/>
    </xf>
    <xf numFmtId="0" fontId="41" fillId="0" borderId="0" xfId="9" applyFont="1" applyProtection="1">
      <protection locked="0"/>
    </xf>
    <xf numFmtId="49" fontId="41" fillId="0" borderId="0" xfId="9" applyNumberFormat="1" applyFont="1" applyAlignment="1" applyProtection="1">
      <alignment horizontal="left"/>
      <protection locked="0"/>
    </xf>
    <xf numFmtId="49" fontId="41" fillId="0" borderId="0" xfId="9" applyNumberFormat="1" applyFont="1" applyProtection="1">
      <protection locked="0"/>
    </xf>
    <xf numFmtId="169" fontId="39" fillId="0" borderId="0" xfId="10" applyFont="1" applyAlignment="1" applyProtection="1">
      <alignment horizontal="left" vertical="top" wrapText="1"/>
      <protection locked="0"/>
    </xf>
    <xf numFmtId="169" fontId="41" fillId="0" borderId="0" xfId="10" applyFont="1" applyAlignment="1" applyProtection="1">
      <alignment horizontal="left" vertical="top" wrapText="1"/>
      <protection locked="0"/>
    </xf>
    <xf numFmtId="0" fontId="50" fillId="0" borderId="22" xfId="9" applyFont="1" applyBorder="1" applyAlignment="1" applyProtection="1">
      <alignment horizontal="center" vertical="center" wrapText="1"/>
      <protection hidden="1"/>
    </xf>
    <xf numFmtId="0" fontId="39" fillId="3" borderId="39" xfId="9" applyFont="1" applyFill="1" applyBorder="1" applyAlignment="1" applyProtection="1">
      <alignment horizontal="center" vertical="center" wrapText="1"/>
      <protection hidden="1"/>
    </xf>
    <xf numFmtId="0" fontId="39" fillId="3" borderId="22" xfId="9" applyFont="1" applyFill="1" applyBorder="1" applyAlignment="1" applyProtection="1">
      <alignment horizontal="center" vertical="center" wrapText="1"/>
      <protection hidden="1"/>
    </xf>
    <xf numFmtId="0" fontId="49" fillId="0" borderId="22" xfId="9" applyFont="1" applyBorder="1" applyAlignment="1" applyProtection="1">
      <alignment horizontal="left" vertical="center"/>
      <protection hidden="1"/>
    </xf>
    <xf numFmtId="167" fontId="41" fillId="8" borderId="39" xfId="14" applyNumberFormat="1" applyFont="1" applyFill="1" applyBorder="1" applyAlignment="1" applyProtection="1">
      <alignment horizontal="center" vertical="center"/>
      <protection hidden="1"/>
    </xf>
    <xf numFmtId="0" fontId="39" fillId="0" borderId="39" xfId="9" applyFont="1" applyBorder="1" applyAlignment="1" applyProtection="1">
      <alignment horizontal="left" vertical="center"/>
      <protection hidden="1"/>
    </xf>
    <xf numFmtId="0" fontId="39" fillId="0" borderId="22" xfId="9" applyFont="1" applyBorder="1" applyAlignment="1" applyProtection="1">
      <alignment horizontal="left" vertical="center"/>
      <protection hidden="1"/>
    </xf>
    <xf numFmtId="0" fontId="41" fillId="0" borderId="22" xfId="9" applyFont="1" applyBorder="1" applyAlignment="1" applyProtection="1">
      <alignment horizontal="center" vertical="center"/>
      <protection hidden="1"/>
    </xf>
    <xf numFmtId="167" fontId="41" fillId="8" borderId="39" xfId="14" applyNumberFormat="1" applyFont="1" applyFill="1" applyBorder="1" applyAlignment="1" applyProtection="1">
      <alignment horizontal="left" vertical="center"/>
      <protection hidden="1"/>
    </xf>
    <xf numFmtId="167" fontId="41" fillId="8" borderId="40" xfId="14" applyNumberFormat="1" applyFont="1" applyFill="1" applyBorder="1" applyAlignment="1" applyProtection="1">
      <alignment horizontal="left" vertical="center"/>
      <protection hidden="1"/>
    </xf>
    <xf numFmtId="167" fontId="41" fillId="8" borderId="23" xfId="14" applyNumberFormat="1" applyFont="1" applyFill="1" applyBorder="1" applyAlignment="1" applyProtection="1">
      <alignment horizontal="left" vertical="center"/>
      <protection hidden="1"/>
    </xf>
    <xf numFmtId="0" fontId="49" fillId="0" borderId="22" xfId="9" applyFont="1" applyBorder="1" applyAlignment="1" applyProtection="1">
      <alignment vertical="center" wrapText="1"/>
      <protection hidden="1"/>
    </xf>
    <xf numFmtId="0" fontId="41" fillId="0" borderId="39" xfId="9" applyFont="1" applyBorder="1" applyAlignment="1" applyProtection="1">
      <alignment vertical="center" wrapText="1"/>
      <protection hidden="1"/>
    </xf>
    <xf numFmtId="0" fontId="41" fillId="0" borderId="22" xfId="9" applyFont="1" applyBorder="1" applyAlignment="1" applyProtection="1">
      <alignment horizontal="left" vertical="center" wrapText="1" indent="1"/>
      <protection hidden="1"/>
    </xf>
    <xf numFmtId="0" fontId="41" fillId="0" borderId="22" xfId="9" applyFont="1" applyBorder="1" applyAlignment="1" applyProtection="1">
      <alignment vertical="center" wrapText="1"/>
      <protection hidden="1"/>
    </xf>
    <xf numFmtId="172" fontId="41" fillId="9" borderId="22" xfId="17" applyNumberFormat="1" applyFont="1" applyFill="1" applyBorder="1" applyAlignment="1" applyProtection="1">
      <alignment horizontal="left" vertical="center"/>
      <protection locked="0"/>
    </xf>
    <xf numFmtId="9" fontId="41" fillId="0" borderId="22" xfId="9" applyNumberFormat="1" applyFont="1" applyBorder="1" applyAlignment="1" applyProtection="1">
      <alignment vertical="center" wrapText="1"/>
      <protection hidden="1"/>
    </xf>
    <xf numFmtId="0" fontId="51" fillId="0" borderId="22" xfId="9" applyFont="1" applyBorder="1" applyAlignment="1" applyProtection="1">
      <alignment vertical="center" wrapText="1"/>
      <protection hidden="1"/>
    </xf>
    <xf numFmtId="0" fontId="39" fillId="0" borderId="22" xfId="9" applyFont="1" applyBorder="1" applyAlignment="1" applyProtection="1">
      <alignment vertical="center" wrapText="1"/>
      <protection hidden="1"/>
    </xf>
    <xf numFmtId="172" fontId="39" fillId="5" borderId="22" xfId="17" applyNumberFormat="1" applyFont="1" applyFill="1" applyBorder="1" applyAlignment="1" applyProtection="1">
      <alignment horizontal="left" vertical="center"/>
      <protection hidden="1"/>
    </xf>
    <xf numFmtId="172" fontId="41" fillId="8" borderId="23" xfId="17" applyNumberFormat="1" applyFont="1" applyFill="1" applyBorder="1" applyAlignment="1" applyProtection="1">
      <alignment horizontal="left" vertical="center"/>
      <protection hidden="1"/>
    </xf>
    <xf numFmtId="0" fontId="52" fillId="0" borderId="22" xfId="9" applyFont="1" applyBorder="1" applyAlignment="1" applyProtection="1">
      <alignment horizontal="left" vertical="center" wrapText="1" indent="1"/>
      <protection hidden="1"/>
    </xf>
    <xf numFmtId="0" fontId="39" fillId="0" borderId="22" xfId="9" applyFont="1" applyBorder="1" applyAlignment="1" applyProtection="1">
      <alignment horizontal="left" vertical="center" wrapText="1" indent="1"/>
      <protection hidden="1"/>
    </xf>
    <xf numFmtId="0" fontId="41" fillId="0" borderId="0" xfId="9" applyFont="1" applyAlignment="1" applyProtection="1">
      <alignment vertical="center" wrapText="1"/>
      <protection hidden="1"/>
    </xf>
    <xf numFmtId="0" fontId="51" fillId="0" borderId="0" xfId="9" applyFont="1" applyAlignment="1" applyProtection="1">
      <alignment vertical="center" wrapText="1"/>
      <protection hidden="1"/>
    </xf>
    <xf numFmtId="0" fontId="51" fillId="0" borderId="39" xfId="9" applyFont="1" applyBorder="1" applyAlignment="1" applyProtection="1">
      <alignment vertical="center" wrapText="1"/>
      <protection hidden="1"/>
    </xf>
    <xf numFmtId="0" fontId="39" fillId="7" borderId="22" xfId="9" applyFont="1" applyFill="1" applyBorder="1" applyAlignment="1" applyProtection="1">
      <alignment vertical="center" wrapText="1"/>
      <protection hidden="1"/>
    </xf>
    <xf numFmtId="167" fontId="41" fillId="8" borderId="40" xfId="14" applyNumberFormat="1" applyFont="1" applyFill="1" applyBorder="1" applyAlignment="1" applyProtection="1">
      <alignment horizontal="center" vertical="center"/>
      <protection hidden="1"/>
    </xf>
    <xf numFmtId="167" fontId="41" fillId="8" borderId="23" xfId="14" applyNumberFormat="1" applyFont="1" applyFill="1" applyBorder="1" applyAlignment="1" applyProtection="1">
      <alignment horizontal="center" vertical="center"/>
      <protection hidden="1"/>
    </xf>
    <xf numFmtId="172" fontId="41" fillId="8" borderId="23" xfId="17" applyNumberFormat="1" applyFont="1" applyFill="1" applyBorder="1" applyAlignment="1" applyProtection="1">
      <alignment horizontal="center" vertical="center"/>
      <protection hidden="1"/>
    </xf>
    <xf numFmtId="0" fontId="45" fillId="0" borderId="39" xfId="9" applyFont="1" applyBorder="1" applyAlignment="1" applyProtection="1">
      <alignment vertical="center" wrapText="1"/>
      <protection hidden="1"/>
    </xf>
    <xf numFmtId="0" fontId="39" fillId="3" borderId="22" xfId="9" applyFont="1" applyFill="1" applyBorder="1" applyAlignment="1" applyProtection="1">
      <alignment vertical="center" wrapText="1"/>
      <protection hidden="1"/>
    </xf>
    <xf numFmtId="172" fontId="41" fillId="0" borderId="22" xfId="17" applyNumberFormat="1" applyFont="1" applyFill="1" applyBorder="1" applyAlignment="1" applyProtection="1">
      <alignment horizontal="center" vertical="center"/>
      <protection hidden="1"/>
    </xf>
    <xf numFmtId="0" fontId="53" fillId="0" borderId="22" xfId="9" applyFont="1" applyBorder="1" applyAlignment="1" applyProtection="1">
      <alignment horizontal="left" vertical="center" wrapText="1" indent="1"/>
      <protection hidden="1"/>
    </xf>
    <xf numFmtId="0" fontId="16" fillId="0" borderId="43" xfId="0" applyFont="1" applyBorder="1" applyAlignment="1">
      <alignment horizontal="left" vertical="center" wrapText="1" indent="1"/>
    </xf>
    <xf numFmtId="0" fontId="41" fillId="0" borderId="22" xfId="9" applyFont="1" applyBorder="1" applyAlignment="1" applyProtection="1">
      <alignment horizontal="left" vertical="center"/>
      <protection hidden="1"/>
    </xf>
    <xf numFmtId="0" fontId="50" fillId="0" borderId="22" xfId="9" applyFont="1" applyBorder="1" applyAlignment="1" applyProtection="1">
      <alignment horizontal="left" vertical="center"/>
      <protection hidden="1"/>
    </xf>
    <xf numFmtId="0" fontId="39" fillId="3" borderId="22" xfId="9" applyFont="1" applyFill="1" applyBorder="1" applyAlignment="1" applyProtection="1">
      <alignment horizontal="left" vertical="center"/>
      <protection hidden="1"/>
    </xf>
    <xf numFmtId="0" fontId="49" fillId="0" borderId="22" xfId="9" applyFont="1" applyBorder="1" applyAlignment="1" applyProtection="1">
      <alignment horizontal="left" vertical="center" wrapText="1"/>
      <protection hidden="1"/>
    </xf>
    <xf numFmtId="167" fontId="41" fillId="8" borderId="1" xfId="14" applyNumberFormat="1" applyFont="1" applyFill="1" applyBorder="1" applyAlignment="1" applyProtection="1">
      <alignment horizontal="center" vertical="center"/>
      <protection hidden="1"/>
    </xf>
    <xf numFmtId="172" fontId="41" fillId="0" borderId="22" xfId="17" applyNumberFormat="1" applyFont="1" applyFill="1" applyBorder="1" applyAlignment="1" applyProtection="1">
      <alignment horizontal="left" vertical="center"/>
      <protection locked="0"/>
    </xf>
    <xf numFmtId="172" fontId="39" fillId="9" borderId="22" xfId="17" applyNumberFormat="1" applyFont="1" applyFill="1" applyBorder="1" applyAlignment="1" applyProtection="1">
      <alignment horizontal="left" vertical="center"/>
      <protection locked="0"/>
    </xf>
    <xf numFmtId="172" fontId="39" fillId="9" borderId="22" xfId="17" applyNumberFormat="1" applyFont="1" applyFill="1" applyBorder="1" applyAlignment="1" applyProtection="1">
      <alignment horizontal="left" vertical="center" wrapText="1"/>
      <protection locked="0"/>
    </xf>
    <xf numFmtId="0" fontId="55" fillId="3" borderId="25" xfId="12" applyFont="1" applyFill="1" applyBorder="1" applyAlignment="1" applyProtection="1">
      <alignment horizontal="center" vertical="center" wrapText="1"/>
      <protection hidden="1"/>
    </xf>
    <xf numFmtId="0" fontId="55" fillId="3" borderId="26" xfId="12" applyFont="1" applyFill="1" applyBorder="1" applyAlignment="1" applyProtection="1">
      <alignment horizontal="center" vertical="center" wrapText="1"/>
      <protection hidden="1"/>
    </xf>
    <xf numFmtId="0" fontId="55" fillId="3" borderId="27" xfId="12" applyFont="1" applyFill="1" applyBorder="1" applyAlignment="1" applyProtection="1">
      <alignment horizontal="center" vertical="center" wrapText="1"/>
      <protection hidden="1"/>
    </xf>
    <xf numFmtId="49" fontId="55" fillId="3" borderId="28" xfId="12" applyNumberFormat="1" applyFont="1" applyFill="1" applyBorder="1" applyAlignment="1" applyProtection="1">
      <alignment horizontal="center" vertical="center" wrapText="1"/>
      <protection hidden="1"/>
    </xf>
    <xf numFmtId="0" fontId="56" fillId="0" borderId="22" xfId="9" applyFont="1" applyBorder="1" applyAlignment="1">
      <alignment horizontal="center" vertical="center" wrapText="1"/>
    </xf>
    <xf numFmtId="167" fontId="57" fillId="9" borderId="30" xfId="14" applyNumberFormat="1" applyFont="1" applyFill="1" applyBorder="1" applyAlignment="1" applyProtection="1">
      <alignment horizontal="left" vertical="center"/>
      <protection locked="0"/>
    </xf>
    <xf numFmtId="9" fontId="49" fillId="11" borderId="31" xfId="13" applyFont="1" applyFill="1" applyBorder="1" applyAlignment="1" applyProtection="1">
      <alignment horizontal="center" vertical="center"/>
    </xf>
    <xf numFmtId="167" fontId="58" fillId="5" borderId="30" xfId="14" applyNumberFormat="1" applyFont="1" applyFill="1" applyBorder="1" applyAlignment="1" applyProtection="1">
      <alignment horizontal="left" vertical="center"/>
      <protection hidden="1"/>
    </xf>
    <xf numFmtId="167" fontId="58" fillId="9" borderId="30" xfId="14" applyNumberFormat="1" applyFont="1" applyFill="1" applyBorder="1" applyAlignment="1" applyProtection="1">
      <alignment horizontal="left" vertical="center"/>
      <protection locked="0"/>
    </xf>
    <xf numFmtId="0" fontId="56" fillId="3" borderId="22" xfId="9" applyFont="1" applyFill="1" applyBorder="1" applyAlignment="1">
      <alignment horizontal="center" vertical="center" wrapText="1"/>
    </xf>
    <xf numFmtId="9" fontId="49" fillId="3" borderId="31" xfId="13" applyFont="1" applyFill="1" applyBorder="1" applyAlignment="1" applyProtection="1">
      <alignment horizontal="center" vertical="center"/>
    </xf>
    <xf numFmtId="167" fontId="49" fillId="9" borderId="30" xfId="14" applyNumberFormat="1" applyFont="1" applyFill="1" applyBorder="1" applyAlignment="1" applyProtection="1">
      <alignment horizontal="left" vertical="center" wrapText="1"/>
      <protection locked="0"/>
    </xf>
    <xf numFmtId="0" fontId="54" fillId="3" borderId="22" xfId="9" applyFont="1" applyFill="1" applyBorder="1" applyAlignment="1">
      <alignment horizontal="center" vertical="center" wrapText="1"/>
    </xf>
    <xf numFmtId="167" fontId="55" fillId="5" borderId="33" xfId="14" applyNumberFormat="1" applyFont="1" applyFill="1" applyBorder="1" applyAlignment="1" applyProtection="1">
      <alignment horizontal="left" vertical="center"/>
      <protection hidden="1"/>
    </xf>
    <xf numFmtId="0" fontId="58" fillId="8" borderId="22" xfId="257" applyNumberFormat="1" applyFont="1" applyFill="1" applyBorder="1" applyAlignment="1" applyProtection="1">
      <alignment horizontal="center" vertical="center"/>
      <protection hidden="1"/>
    </xf>
    <xf numFmtId="167" fontId="55" fillId="5" borderId="28" xfId="14" applyNumberFormat="1" applyFont="1" applyFill="1" applyBorder="1" applyAlignment="1" applyProtection="1">
      <alignment horizontal="left" vertical="center"/>
      <protection hidden="1"/>
    </xf>
    <xf numFmtId="0" fontId="26" fillId="7" borderId="0" xfId="9" applyFont="1" applyFill="1" applyAlignment="1" applyProtection="1">
      <alignment horizontal="left" vertical="center"/>
      <protection locked="0"/>
    </xf>
    <xf numFmtId="0" fontId="26" fillId="0" borderId="0" xfId="9" applyFont="1" applyAlignment="1">
      <alignment horizontal="left" vertical="center"/>
    </xf>
    <xf numFmtId="0" fontId="26" fillId="0" borderId="0" xfId="9" applyFont="1" applyAlignment="1" applyProtection="1">
      <alignment horizontal="left" vertical="center"/>
      <protection locked="0"/>
    </xf>
    <xf numFmtId="49" fontId="26" fillId="0" borderId="0" xfId="9" applyNumberFormat="1" applyFont="1" applyAlignment="1" applyProtection="1">
      <alignment horizontal="center" vertical="center"/>
      <protection locked="0"/>
    </xf>
    <xf numFmtId="169" fontId="26" fillId="0" borderId="0" xfId="10" applyFont="1" applyAlignment="1" applyProtection="1">
      <alignment horizontal="center" vertical="center" wrapText="1"/>
      <protection locked="0"/>
    </xf>
    <xf numFmtId="49" fontId="26" fillId="0" borderId="0" xfId="9" applyNumberFormat="1" applyFont="1" applyAlignment="1" applyProtection="1">
      <alignment horizontal="left" vertical="center"/>
      <protection locked="0"/>
    </xf>
    <xf numFmtId="0" fontId="26" fillId="0" borderId="0" xfId="9" applyFont="1" applyAlignment="1" applyProtection="1">
      <alignment horizontal="center" vertical="center"/>
      <protection locked="0"/>
    </xf>
    <xf numFmtId="0" fontId="26" fillId="0" borderId="2" xfId="11" applyFont="1" applyBorder="1" applyAlignment="1">
      <alignment horizontal="left" vertical="center"/>
    </xf>
    <xf numFmtId="0" fontId="26" fillId="0" borderId="0" xfId="11" applyFont="1" applyAlignment="1">
      <alignment horizontal="left" vertical="center"/>
    </xf>
    <xf numFmtId="0" fontId="26" fillId="3" borderId="48" xfId="9" applyFont="1" applyFill="1" applyBorder="1" applyAlignment="1" applyProtection="1">
      <alignment horizontal="center" vertical="center"/>
      <protection locked="0"/>
    </xf>
    <xf numFmtId="0" fontId="25" fillId="3" borderId="21" xfId="9" applyFont="1" applyFill="1" applyBorder="1" applyAlignment="1">
      <alignment horizontal="center" vertical="center" wrapText="1"/>
    </xf>
    <xf numFmtId="0" fontId="26" fillId="7" borderId="49" xfId="9" applyFont="1" applyFill="1" applyBorder="1" applyAlignment="1" applyProtection="1">
      <alignment horizontal="center" vertical="center"/>
      <protection locked="0"/>
    </xf>
    <xf numFmtId="0" fontId="26" fillId="4" borderId="22" xfId="12" applyFont="1" applyFill="1" applyBorder="1" applyAlignment="1" applyProtection="1">
      <alignment horizontal="left" vertical="center"/>
      <protection hidden="1"/>
    </xf>
    <xf numFmtId="0" fontId="14" fillId="0" borderId="22" xfId="9" applyFont="1" applyBorder="1" applyAlignment="1">
      <alignment horizontal="left" vertical="center"/>
    </xf>
    <xf numFmtId="0" fontId="26" fillId="7" borderId="43" xfId="9" applyFont="1" applyFill="1" applyBorder="1" applyAlignment="1" applyProtection="1">
      <alignment horizontal="center" vertical="center"/>
      <protection locked="0"/>
    </xf>
    <xf numFmtId="0" fontId="60" fillId="0" borderId="0" xfId="0" applyFont="1"/>
    <xf numFmtId="0" fontId="60" fillId="0" borderId="4" xfId="0" applyFont="1" applyBorder="1"/>
    <xf numFmtId="0" fontId="60" fillId="2" borderId="2" xfId="0" applyFont="1" applyFill="1" applyBorder="1"/>
    <xf numFmtId="0" fontId="60" fillId="2" borderId="12" xfId="0" applyFont="1" applyFill="1" applyBorder="1"/>
    <xf numFmtId="0" fontId="60" fillId="2" borderId="11" xfId="0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13" xfId="0" applyFont="1" applyBorder="1" applyAlignment="1">
      <alignment horizontal="center"/>
    </xf>
    <xf numFmtId="0" fontId="60" fillId="0" borderId="9" xfId="0" applyFont="1" applyBorder="1"/>
    <xf numFmtId="0" fontId="59" fillId="3" borderId="4" xfId="0" applyFont="1" applyFill="1" applyBorder="1" applyAlignment="1">
      <alignment horizontal="center" vertical="center"/>
    </xf>
    <xf numFmtId="0" fontId="59" fillId="3" borderId="5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7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0" xfId="0" applyFont="1" applyFill="1" applyBorder="1" applyAlignment="1">
      <alignment horizontal="center" vertical="center"/>
    </xf>
    <xf numFmtId="0" fontId="59" fillId="0" borderId="15" xfId="0" applyFont="1" applyBorder="1" applyAlignment="1">
      <alignment horizontal="center"/>
    </xf>
    <xf numFmtId="0" fontId="59" fillId="0" borderId="16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41" fillId="0" borderId="4" xfId="12" applyFont="1" applyBorder="1" applyAlignment="1" applyProtection="1">
      <alignment vertical="center"/>
      <protection hidden="1"/>
    </xf>
    <xf numFmtId="0" fontId="41" fillId="0" borderId="36" xfId="12" applyFont="1" applyBorder="1" applyAlignment="1" applyProtection="1">
      <alignment vertical="center"/>
      <protection hidden="1"/>
    </xf>
    <xf numFmtId="0" fontId="7" fillId="0" borderId="22" xfId="0" applyFont="1" applyBorder="1"/>
    <xf numFmtId="0" fontId="7" fillId="0" borderId="0" xfId="0" applyFont="1"/>
    <xf numFmtId="0" fontId="31" fillId="0" borderId="0" xfId="0" applyFont="1"/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165" fontId="36" fillId="7" borderId="48" xfId="17" applyFont="1" applyFill="1" applyBorder="1" applyAlignment="1">
      <alignment horizontal="center" vertical="center"/>
    </xf>
    <xf numFmtId="0" fontId="36" fillId="3" borderId="4" xfId="0" applyFont="1" applyFill="1" applyBorder="1" applyAlignment="1">
      <alignment vertical="center" wrapText="1"/>
    </xf>
    <xf numFmtId="0" fontId="36" fillId="3" borderId="0" xfId="0" applyFont="1" applyFill="1" applyAlignment="1">
      <alignment vertical="center" wrapText="1"/>
    </xf>
    <xf numFmtId="0" fontId="36" fillId="3" borderId="9" xfId="0" applyFont="1" applyFill="1" applyBorder="1" applyAlignment="1">
      <alignment vertical="center" wrapText="1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0" fontId="44" fillId="0" borderId="15" xfId="0" applyFont="1" applyBorder="1" applyAlignment="1">
      <alignment horizontal="right"/>
    </xf>
    <xf numFmtId="0" fontId="44" fillId="10" borderId="0" xfId="0" applyFont="1" applyFill="1" applyAlignment="1">
      <alignment horizontal="right"/>
    </xf>
    <xf numFmtId="0" fontId="44" fillId="10" borderId="15" xfId="0" applyFont="1" applyFill="1" applyBorder="1" applyAlignment="1">
      <alignment horizontal="right"/>
    </xf>
    <xf numFmtId="0" fontId="44" fillId="10" borderId="9" xfId="0" applyFont="1" applyFill="1" applyBorder="1" applyAlignment="1">
      <alignment horizontal="right"/>
    </xf>
    <xf numFmtId="0" fontId="35" fillId="10" borderId="9" xfId="0" applyFont="1" applyFill="1" applyBorder="1" applyAlignment="1">
      <alignment horizontal="right"/>
    </xf>
    <xf numFmtId="0" fontId="2" fillId="3" borderId="14" xfId="0" applyFont="1" applyFill="1" applyBorder="1" applyAlignment="1">
      <alignment horizontal="right" vertical="center"/>
    </xf>
    <xf numFmtId="0" fontId="2" fillId="3" borderId="15" xfId="0" applyFont="1" applyFill="1" applyBorder="1" applyAlignment="1">
      <alignment horizontal="right" vertical="center"/>
    </xf>
    <xf numFmtId="0" fontId="3" fillId="0" borderId="48" xfId="0" applyFont="1" applyBorder="1" applyAlignment="1">
      <alignment wrapText="1"/>
    </xf>
    <xf numFmtId="0" fontId="50" fillId="0" borderId="53" xfId="9" applyFont="1" applyBorder="1" applyAlignment="1" applyProtection="1">
      <alignment horizontal="center" vertical="center" wrapText="1"/>
      <protection hidden="1"/>
    </xf>
    <xf numFmtId="0" fontId="50" fillId="0" borderId="54" xfId="9" applyFont="1" applyBorder="1" applyAlignment="1" applyProtection="1">
      <alignment horizontal="left" vertical="center"/>
      <protection hidden="1"/>
    </xf>
    <xf numFmtId="0" fontId="14" fillId="0" borderId="43" xfId="9" applyFont="1" applyBorder="1" applyAlignment="1" applyProtection="1">
      <alignment horizontal="left" vertical="center"/>
      <protection hidden="1"/>
    </xf>
    <xf numFmtId="0" fontId="39" fillId="3" borderId="39" xfId="9" applyFont="1" applyFill="1" applyBorder="1" applyAlignment="1" applyProtection="1">
      <alignment vertical="center" wrapText="1"/>
      <protection hidden="1"/>
    </xf>
    <xf numFmtId="0" fontId="41" fillId="0" borderId="39" xfId="9" applyFont="1" applyBorder="1" applyAlignment="1" applyProtection="1">
      <alignment horizontal="left" vertical="center" wrapText="1"/>
      <protection hidden="1"/>
    </xf>
    <xf numFmtId="0" fontId="39" fillId="3" borderId="39" xfId="9" applyFont="1" applyFill="1" applyBorder="1" applyAlignment="1" applyProtection="1">
      <alignment horizontal="left" vertical="center"/>
      <protection hidden="1"/>
    </xf>
    <xf numFmtId="0" fontId="39" fillId="3" borderId="53" xfId="9" applyFont="1" applyFill="1" applyBorder="1" applyAlignment="1" applyProtection="1">
      <alignment horizontal="center" vertical="center" wrapText="1"/>
      <protection hidden="1"/>
    </xf>
    <xf numFmtId="0" fontId="41" fillId="0" borderId="54" xfId="9" applyFont="1" applyBorder="1" applyAlignment="1" applyProtection="1">
      <alignment vertical="center" wrapText="1"/>
      <protection hidden="1"/>
    </xf>
    <xf numFmtId="167" fontId="41" fillId="8" borderId="49" xfId="14" applyNumberFormat="1" applyFont="1" applyFill="1" applyBorder="1" applyAlignment="1" applyProtection="1">
      <alignment horizontal="center" vertical="center"/>
      <protection hidden="1"/>
    </xf>
    <xf numFmtId="167" fontId="41" fillId="8" borderId="55" xfId="14" applyNumberFormat="1" applyFont="1" applyFill="1" applyBorder="1" applyAlignment="1" applyProtection="1">
      <alignment horizontal="left" vertical="center"/>
      <protection hidden="1"/>
    </xf>
    <xf numFmtId="167" fontId="41" fillId="8" borderId="55" xfId="14" applyNumberFormat="1" applyFont="1" applyFill="1" applyBorder="1" applyAlignment="1" applyProtection="1">
      <alignment horizontal="center" vertical="center"/>
      <protection hidden="1"/>
    </xf>
    <xf numFmtId="0" fontId="14" fillId="0" borderId="43" xfId="9" applyFont="1" applyBorder="1" applyAlignment="1" applyProtection="1">
      <alignment vertical="center"/>
      <protection hidden="1"/>
    </xf>
    <xf numFmtId="0" fontId="47" fillId="0" borderId="16" xfId="9" applyFont="1" applyBorder="1" applyAlignment="1">
      <alignment horizontal="center" vertical="center" wrapText="1"/>
    </xf>
    <xf numFmtId="0" fontId="46" fillId="0" borderId="7" xfId="9" applyFont="1" applyBorder="1" applyAlignment="1">
      <alignment horizontal="center" vertical="center"/>
    </xf>
    <xf numFmtId="0" fontId="46" fillId="0" borderId="16" xfId="9" applyFont="1" applyBorder="1" applyAlignment="1">
      <alignment horizontal="center" vertical="center"/>
    </xf>
    <xf numFmtId="0" fontId="46" fillId="0" borderId="10" xfId="9" applyFont="1" applyBorder="1" applyAlignment="1">
      <alignment horizontal="center" vertical="center"/>
    </xf>
    <xf numFmtId="0" fontId="56" fillId="0" borderId="41" xfId="9" applyFont="1" applyBorder="1" applyAlignment="1">
      <alignment horizontal="left" vertical="center" wrapText="1"/>
    </xf>
    <xf numFmtId="0" fontId="56" fillId="0" borderId="42" xfId="9" applyFont="1" applyBorder="1" applyAlignment="1">
      <alignment horizontal="left" vertical="center" wrapText="1"/>
    </xf>
    <xf numFmtId="0" fontId="56" fillId="0" borderId="42" xfId="9" applyFont="1" applyBorder="1" applyAlignment="1">
      <alignment horizontal="left" vertical="center"/>
    </xf>
    <xf numFmtId="0" fontId="25" fillId="3" borderId="56" xfId="9" applyFont="1" applyFill="1" applyBorder="1" applyAlignment="1">
      <alignment horizontal="center" vertical="center" wrapText="1"/>
    </xf>
    <xf numFmtId="10" fontId="26" fillId="5" borderId="56" xfId="13" applyNumberFormat="1" applyFont="1" applyFill="1" applyBorder="1" applyAlignment="1" applyProtection="1">
      <alignment horizontal="right" vertical="center"/>
      <protection hidden="1"/>
    </xf>
    <xf numFmtId="0" fontId="26" fillId="5" borderId="56" xfId="13" applyNumberFormat="1" applyFont="1" applyFill="1" applyBorder="1" applyAlignment="1" applyProtection="1">
      <alignment horizontal="right" vertical="center"/>
      <protection hidden="1"/>
    </xf>
    <xf numFmtId="167" fontId="26" fillId="5" borderId="56" xfId="14" applyNumberFormat="1" applyFont="1" applyFill="1" applyBorder="1" applyAlignment="1" applyProtection="1">
      <alignment vertical="center"/>
      <protection hidden="1"/>
    </xf>
    <xf numFmtId="167" fontId="25" fillId="5" borderId="56" xfId="14" applyNumberFormat="1" applyFont="1" applyFill="1" applyBorder="1" applyAlignment="1" applyProtection="1">
      <alignment vertical="center"/>
      <protection hidden="1"/>
    </xf>
    <xf numFmtId="0" fontId="26" fillId="0" borderId="52" xfId="9" applyFont="1" applyBorder="1" applyAlignment="1">
      <alignment horizontal="center" vertical="center"/>
    </xf>
    <xf numFmtId="0" fontId="61" fillId="0" borderId="49" xfId="9" applyFont="1" applyBorder="1" applyAlignment="1">
      <alignment vertical="center" wrapText="1"/>
    </xf>
    <xf numFmtId="0" fontId="26" fillId="0" borderId="49" xfId="9" applyFont="1" applyBorder="1" applyAlignment="1">
      <alignment horizontal="left" vertical="center"/>
    </xf>
    <xf numFmtId="170" fontId="60" fillId="6" borderId="49" xfId="15" applyNumberFormat="1" applyFont="1" applyFill="1" applyBorder="1" applyAlignment="1" applyProtection="1">
      <alignment horizontal="center" vertical="center" wrapText="1"/>
      <protection hidden="1"/>
    </xf>
    <xf numFmtId="170" fontId="60" fillId="7" borderId="49" xfId="9" applyNumberFormat="1" applyFont="1" applyFill="1" applyBorder="1" applyAlignment="1" applyProtection="1">
      <alignment horizontal="center" vertical="center"/>
      <protection locked="0" hidden="1"/>
    </xf>
    <xf numFmtId="0" fontId="26" fillId="7" borderId="49" xfId="12" applyFont="1" applyFill="1" applyBorder="1" applyAlignment="1" applyProtection="1">
      <alignment horizontal="center" vertical="center" wrapText="1"/>
      <protection hidden="1"/>
    </xf>
    <xf numFmtId="0" fontId="25" fillId="0" borderId="49" xfId="9" applyFont="1" applyBorder="1" applyAlignment="1">
      <alignment vertical="center" wrapText="1"/>
    </xf>
    <xf numFmtId="0" fontId="26" fillId="7" borderId="43" xfId="12" applyFont="1" applyFill="1" applyBorder="1" applyAlignment="1" applyProtection="1">
      <alignment horizontal="center" vertical="center" wrapText="1"/>
      <protection hidden="1"/>
    </xf>
    <xf numFmtId="0" fontId="41" fillId="0" borderId="54" xfId="9" applyFont="1" applyBorder="1" applyAlignment="1" applyProtection="1">
      <alignment horizontal="right" vertical="center" wrapText="1"/>
      <protection hidden="1"/>
    </xf>
    <xf numFmtId="0" fontId="39" fillId="0" borderId="54" xfId="9" applyFont="1" applyBorder="1" applyAlignment="1" applyProtection="1">
      <alignment vertical="center" wrapText="1"/>
      <protection hidden="1"/>
    </xf>
    <xf numFmtId="0" fontId="7" fillId="0" borderId="39" xfId="0" applyFont="1" applyBorder="1"/>
    <xf numFmtId="0" fontId="35" fillId="3" borderId="15" xfId="0" applyFont="1" applyFill="1" applyBorder="1" applyAlignment="1">
      <alignment horizontal="left"/>
    </xf>
    <xf numFmtId="0" fontId="3" fillId="0" borderId="48" xfId="0" applyFont="1" applyBorder="1"/>
    <xf numFmtId="0" fontId="44" fillId="0" borderId="16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0" borderId="9" xfId="0" applyFont="1" applyBorder="1" applyAlignment="1">
      <alignment horizontal="left"/>
    </xf>
    <xf numFmtId="0" fontId="63" fillId="12" borderId="59" xfId="0" applyFont="1" applyFill="1" applyBorder="1" applyAlignment="1">
      <alignment horizontal="left" vertical="center" wrapText="1"/>
    </xf>
    <xf numFmtId="0" fontId="64" fillId="12" borderId="59" xfId="0" applyFont="1" applyFill="1" applyBorder="1" applyAlignment="1">
      <alignment horizontal="justify" vertical="center" wrapText="1"/>
    </xf>
    <xf numFmtId="0" fontId="64" fillId="13" borderId="60" xfId="0" applyFont="1" applyFill="1" applyBorder="1" applyAlignment="1">
      <alignment horizontal="center" vertical="center" wrapText="1"/>
    </xf>
    <xf numFmtId="0" fontId="64" fillId="13" borderId="61" xfId="0" applyFont="1" applyFill="1" applyBorder="1" applyAlignment="1">
      <alignment horizontal="center" vertical="center" wrapText="1"/>
    </xf>
    <xf numFmtId="0" fontId="64" fillId="13" borderId="60" xfId="0" applyFont="1" applyFill="1" applyBorder="1" applyAlignment="1">
      <alignment vertical="center" wrapText="1"/>
    </xf>
    <xf numFmtId="0" fontId="63" fillId="13" borderId="61" xfId="0" applyFont="1" applyFill="1" applyBorder="1" applyAlignment="1">
      <alignment vertical="center" wrapText="1"/>
    </xf>
    <xf numFmtId="0" fontId="63" fillId="13" borderId="60" xfId="0" applyFont="1" applyFill="1" applyBorder="1" applyAlignment="1">
      <alignment vertical="center" wrapText="1"/>
    </xf>
    <xf numFmtId="0" fontId="64" fillId="12" borderId="60" xfId="0" applyFont="1" applyFill="1" applyBorder="1" applyAlignment="1">
      <alignment vertical="center" wrapText="1"/>
    </xf>
    <xf numFmtId="0" fontId="0" fillId="0" borderId="67" xfId="0" applyBorder="1"/>
    <xf numFmtId="0" fontId="64" fillId="13" borderId="63" xfId="0" applyFont="1" applyFill="1" applyBorder="1" applyAlignment="1">
      <alignment vertical="center" wrapText="1"/>
    </xf>
    <xf numFmtId="0" fontId="3" fillId="0" borderId="68" xfId="0" applyFont="1" applyBorder="1"/>
    <xf numFmtId="0" fontId="63" fillId="13" borderId="66" xfId="0" applyFont="1" applyFill="1" applyBorder="1" applyAlignment="1">
      <alignment vertical="center" wrapText="1"/>
    </xf>
    <xf numFmtId="0" fontId="3" fillId="0" borderId="69" xfId="0" applyFont="1" applyBorder="1"/>
    <xf numFmtId="0" fontId="63" fillId="13" borderId="70" xfId="0" applyFont="1" applyFill="1" applyBorder="1" applyAlignment="1">
      <alignment vertical="center" wrapText="1"/>
    </xf>
    <xf numFmtId="0" fontId="65" fillId="7" borderId="64" xfId="0" applyFont="1" applyFill="1" applyBorder="1" applyAlignment="1">
      <alignment vertical="center" wrapText="1"/>
    </xf>
    <xf numFmtId="0" fontId="66" fillId="7" borderId="0" xfId="0" applyFont="1" applyFill="1"/>
    <xf numFmtId="0" fontId="41" fillId="0" borderId="28" xfId="12" applyFont="1" applyBorder="1" applyAlignment="1" applyProtection="1">
      <alignment horizontal="left" vertical="center"/>
      <protection hidden="1"/>
    </xf>
    <xf numFmtId="0" fontId="41" fillId="0" borderId="30" xfId="12" applyFont="1" applyBorder="1" applyAlignment="1" applyProtection="1">
      <alignment horizontal="left" vertical="center"/>
      <protection hidden="1"/>
    </xf>
    <xf numFmtId="0" fontId="39" fillId="0" borderId="37" xfId="9" applyFont="1" applyBorder="1" applyAlignment="1">
      <alignment horizontal="left" vertical="center" wrapText="1"/>
    </xf>
    <xf numFmtId="0" fontId="48" fillId="0" borderId="37" xfId="9" applyFont="1" applyBorder="1" applyAlignment="1">
      <alignment horizontal="left" vertical="center" wrapText="1"/>
    </xf>
    <xf numFmtId="0" fontId="41" fillId="0" borderId="44" xfId="12" applyFont="1" applyBorder="1" applyAlignment="1" applyProtection="1">
      <alignment horizontal="left" vertical="center"/>
      <protection hidden="1"/>
    </xf>
    <xf numFmtId="0" fontId="41" fillId="0" borderId="38" xfId="12" applyFont="1" applyBorder="1" applyAlignment="1" applyProtection="1">
      <alignment horizontal="left" vertical="center"/>
      <protection hidden="1"/>
    </xf>
    <xf numFmtId="0" fontId="41" fillId="0" borderId="28" xfId="12" applyFont="1" applyBorder="1" applyAlignment="1" applyProtection="1">
      <alignment horizontal="left" vertical="center" wrapText="1"/>
      <protection hidden="1"/>
    </xf>
    <xf numFmtId="0" fontId="41" fillId="0" borderId="30" xfId="12" applyFont="1" applyBorder="1" applyAlignment="1" applyProtection="1">
      <alignment horizontal="left" vertical="center" wrapText="1"/>
      <protection hidden="1"/>
    </xf>
    <xf numFmtId="0" fontId="39" fillId="3" borderId="35" xfId="9" applyFont="1" applyFill="1" applyBorder="1" applyAlignment="1">
      <alignment horizontal="center" vertical="center" wrapText="1"/>
    </xf>
    <xf numFmtId="0" fontId="39" fillId="3" borderId="34" xfId="9" applyFont="1" applyFill="1" applyBorder="1" applyAlignment="1">
      <alignment horizontal="center" vertical="center" wrapText="1"/>
    </xf>
    <xf numFmtId="0" fontId="39" fillId="0" borderId="36" xfId="9" applyFont="1" applyBorder="1" applyAlignment="1">
      <alignment horizontal="left" vertical="center" wrapText="1"/>
    </xf>
    <xf numFmtId="0" fontId="48" fillId="0" borderId="36" xfId="9" applyFont="1" applyBorder="1" applyAlignment="1">
      <alignment horizontal="left" vertical="center" wrapText="1"/>
    </xf>
    <xf numFmtId="0" fontId="39" fillId="0" borderId="0" xfId="9" applyFont="1" applyAlignment="1">
      <alignment horizontal="center" vertical="top"/>
    </xf>
    <xf numFmtId="0" fontId="39" fillId="0" borderId="0" xfId="9" applyFont="1" applyAlignment="1" applyProtection="1">
      <alignment horizontal="center" vertical="top" wrapText="1"/>
      <protection hidden="1"/>
    </xf>
    <xf numFmtId="0" fontId="50" fillId="3" borderId="22" xfId="9" applyFont="1" applyFill="1" applyBorder="1" applyAlignment="1" applyProtection="1">
      <alignment horizontal="center" vertical="center"/>
      <protection hidden="1"/>
    </xf>
    <xf numFmtId="0" fontId="54" fillId="3" borderId="18" xfId="9" applyFont="1" applyFill="1" applyBorder="1" applyAlignment="1">
      <alignment horizontal="center" vertical="center" wrapText="1"/>
    </xf>
    <xf numFmtId="0" fontId="54" fillId="3" borderId="11" xfId="9" applyFont="1" applyFill="1" applyBorder="1" applyAlignment="1">
      <alignment horizontal="center" vertical="center" wrapText="1"/>
    </xf>
    <xf numFmtId="0" fontId="55" fillId="0" borderId="18" xfId="9" applyFont="1" applyBorder="1" applyAlignment="1" applyProtection="1">
      <alignment horizontal="center" vertical="center"/>
      <protection hidden="1"/>
    </xf>
    <xf numFmtId="0" fontId="55" fillId="0" borderId="11" xfId="9" applyFont="1" applyBorder="1" applyAlignment="1" applyProtection="1">
      <alignment horizontal="center" vertical="center"/>
      <protection hidden="1"/>
    </xf>
    <xf numFmtId="0" fontId="55" fillId="0" borderId="0" xfId="9" applyFont="1" applyAlignment="1" applyProtection="1">
      <alignment horizontal="center" vertical="top" wrapText="1"/>
      <protection hidden="1"/>
    </xf>
    <xf numFmtId="0" fontId="55" fillId="0" borderId="2" xfId="9" applyFont="1" applyBorder="1" applyAlignment="1" applyProtection="1">
      <alignment horizontal="center" vertical="top" wrapText="1"/>
      <protection hidden="1"/>
    </xf>
    <xf numFmtId="0" fontId="26" fillId="0" borderId="39" xfId="12" applyFont="1" applyBorder="1" applyAlignment="1" applyProtection="1">
      <alignment vertical="center"/>
      <protection hidden="1"/>
    </xf>
    <xf numFmtId="0" fontId="26" fillId="0" borderId="22" xfId="12" applyFont="1" applyBorder="1" applyAlignment="1" applyProtection="1">
      <alignment vertical="center"/>
      <protection hidden="1"/>
    </xf>
    <xf numFmtId="0" fontId="25" fillId="3" borderId="39" xfId="9" applyFont="1" applyFill="1" applyBorder="1" applyAlignment="1">
      <alignment horizontal="left" vertical="center" wrapText="1"/>
    </xf>
    <xf numFmtId="0" fontId="25" fillId="3" borderId="22" xfId="9" applyFont="1" applyFill="1" applyBorder="1" applyAlignment="1">
      <alignment horizontal="left" vertical="center" wrapText="1"/>
    </xf>
    <xf numFmtId="0" fontId="25" fillId="3" borderId="56" xfId="9" applyFont="1" applyFill="1" applyBorder="1" applyAlignment="1">
      <alignment horizontal="left" vertical="center" wrapText="1"/>
    </xf>
    <xf numFmtId="0" fontId="26" fillId="0" borderId="39" xfId="12" applyFont="1" applyBorder="1" applyAlignment="1" applyProtection="1">
      <alignment vertical="center" wrapText="1"/>
      <protection hidden="1"/>
    </xf>
    <xf numFmtId="0" fontId="26" fillId="0" borderId="22" xfId="12" applyFont="1" applyBorder="1" applyAlignment="1" applyProtection="1">
      <alignment vertical="center" wrapText="1"/>
      <protection hidden="1"/>
    </xf>
    <xf numFmtId="0" fontId="26" fillId="0" borderId="39" xfId="12" applyFont="1" applyBorder="1" applyAlignment="1" applyProtection="1">
      <alignment horizontal="left" vertical="center"/>
      <protection hidden="1"/>
    </xf>
    <xf numFmtId="0" fontId="26" fillId="0" borderId="22" xfId="12" applyFont="1" applyBorder="1" applyAlignment="1" applyProtection="1">
      <alignment horizontal="left" vertical="center"/>
      <protection hidden="1"/>
    </xf>
    <xf numFmtId="0" fontId="25" fillId="0" borderId="0" xfId="9" applyFont="1" applyAlignment="1">
      <alignment horizontal="center" vertical="top"/>
    </xf>
    <xf numFmtId="0" fontId="25" fillId="3" borderId="50" xfId="9" applyFont="1" applyFill="1" applyBorder="1" applyAlignment="1">
      <alignment horizontal="center" vertical="center" wrapText="1"/>
    </xf>
    <xf numFmtId="0" fontId="25" fillId="3" borderId="20" xfId="9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9" fillId="3" borderId="3" xfId="0" applyFont="1" applyFill="1" applyBorder="1" applyAlignment="1">
      <alignment horizontal="center" vertical="center"/>
    </xf>
    <xf numFmtId="0" fontId="59" fillId="3" borderId="4" xfId="0" applyFont="1" applyFill="1" applyBorder="1" applyAlignment="1">
      <alignment horizontal="center" vertical="center"/>
    </xf>
    <xf numFmtId="0" fontId="59" fillId="3" borderId="5" xfId="0" applyFont="1" applyFill="1" applyBorder="1" applyAlignment="1">
      <alignment horizontal="center" vertical="center"/>
    </xf>
    <xf numFmtId="0" fontId="59" fillId="3" borderId="6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7" xfId="0" applyFont="1" applyFill="1" applyBorder="1" applyAlignment="1">
      <alignment horizontal="center" vertical="center"/>
    </xf>
    <xf numFmtId="0" fontId="59" fillId="3" borderId="8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0" xfId="0" applyFont="1" applyFill="1" applyBorder="1" applyAlignment="1">
      <alignment horizontal="center" vertical="center"/>
    </xf>
    <xf numFmtId="0" fontId="59" fillId="3" borderId="14" xfId="0" applyFont="1" applyFill="1" applyBorder="1" applyAlignment="1">
      <alignment horizontal="center"/>
    </xf>
    <xf numFmtId="0" fontId="59" fillId="3" borderId="15" xfId="0" applyFont="1" applyFill="1" applyBorder="1" applyAlignment="1">
      <alignment horizontal="center"/>
    </xf>
    <xf numFmtId="0" fontId="59" fillId="3" borderId="16" xfId="0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7" xfId="0" applyFont="1" applyBorder="1" applyAlignment="1">
      <alignment horizontal="center"/>
    </xf>
    <xf numFmtId="0" fontId="14" fillId="0" borderId="6" xfId="0" applyFont="1" applyBorder="1" applyAlignment="1">
      <alignment horizontal="left" wrapText="1" indent="1"/>
    </xf>
    <xf numFmtId="0" fontId="14" fillId="0" borderId="0" xfId="0" applyFont="1" applyAlignment="1">
      <alignment horizontal="left" wrapText="1" indent="1"/>
    </xf>
    <xf numFmtId="0" fontId="14" fillId="0" borderId="8" xfId="0" applyFont="1" applyBorder="1" applyAlignment="1">
      <alignment horizontal="left" wrapText="1" indent="1"/>
    </xf>
    <xf numFmtId="0" fontId="14" fillId="0" borderId="9" xfId="0" applyFont="1" applyBorder="1" applyAlignment="1">
      <alignment horizontal="left" wrapText="1" indent="1"/>
    </xf>
    <xf numFmtId="0" fontId="60" fillId="0" borderId="6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0" fillId="0" borderId="7" xfId="0" applyFont="1" applyBorder="1" applyAlignment="1">
      <alignment horizontal="left"/>
    </xf>
    <xf numFmtId="0" fontId="60" fillId="0" borderId="9" xfId="0" applyFont="1" applyBorder="1" applyAlignment="1">
      <alignment horizontal="center"/>
    </xf>
    <xf numFmtId="0" fontId="60" fillId="0" borderId="10" xfId="0" applyFont="1" applyBorder="1" applyAlignment="1">
      <alignment horizontal="center"/>
    </xf>
    <xf numFmtId="0" fontId="60" fillId="0" borderId="8" xfId="0" applyFont="1" applyBorder="1" applyAlignment="1">
      <alignment horizontal="left"/>
    </xf>
    <xf numFmtId="0" fontId="60" fillId="0" borderId="9" xfId="0" applyFont="1" applyBorder="1" applyAlignment="1">
      <alignment horizontal="left"/>
    </xf>
    <xf numFmtId="0" fontId="60" fillId="0" borderId="10" xfId="0" applyFont="1" applyBorder="1" applyAlignment="1">
      <alignment horizontal="left"/>
    </xf>
    <xf numFmtId="0" fontId="60" fillId="0" borderId="4" xfId="0" applyFont="1" applyBorder="1" applyAlignment="1">
      <alignment horizontal="center"/>
    </xf>
    <xf numFmtId="0" fontId="60" fillId="0" borderId="5" xfId="0" applyFont="1" applyBorder="1" applyAlignment="1">
      <alignment horizontal="center"/>
    </xf>
    <xf numFmtId="0" fontId="60" fillId="0" borderId="3" xfId="0" applyFont="1" applyBorder="1" applyAlignment="1">
      <alignment horizontal="left"/>
    </xf>
    <xf numFmtId="0" fontId="60" fillId="0" borderId="4" xfId="0" applyFont="1" applyBorder="1" applyAlignment="1">
      <alignment horizontal="left"/>
    </xf>
    <xf numFmtId="0" fontId="60" fillId="0" borderId="5" xfId="0" applyFont="1" applyBorder="1" applyAlignment="1">
      <alignment horizontal="left"/>
    </xf>
    <xf numFmtId="0" fontId="14" fillId="0" borderId="3" xfId="0" applyFont="1" applyBorder="1" applyAlignment="1">
      <alignment horizontal="left" wrapText="1" indent="1"/>
    </xf>
    <xf numFmtId="0" fontId="14" fillId="0" borderId="4" xfId="0" applyFont="1" applyBorder="1" applyAlignment="1">
      <alignment horizontal="left" wrapText="1" indent="1"/>
    </xf>
    <xf numFmtId="0" fontId="59" fillId="0" borderId="3" xfId="0" applyFont="1" applyBorder="1" applyAlignment="1">
      <alignment horizontal="left" wrapText="1" indent="1"/>
    </xf>
    <xf numFmtId="0" fontId="59" fillId="0" borderId="4" xfId="0" applyFont="1" applyBorder="1" applyAlignment="1">
      <alignment horizontal="left" wrapText="1" indent="1"/>
    </xf>
    <xf numFmtId="0" fontId="59" fillId="0" borderId="5" xfId="0" applyFont="1" applyBorder="1" applyAlignment="1">
      <alignment horizontal="left" wrapText="1" indent="1"/>
    </xf>
    <xf numFmtId="0" fontId="60" fillId="0" borderId="3" xfId="0" applyFont="1" applyBorder="1" applyAlignment="1">
      <alignment horizontal="center"/>
    </xf>
    <xf numFmtId="0" fontId="60" fillId="2" borderId="17" xfId="0" applyFont="1" applyFill="1" applyBorder="1" applyAlignment="1">
      <alignment horizontal="center"/>
    </xf>
    <xf numFmtId="0" fontId="60" fillId="2" borderId="2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0" fillId="0" borderId="0" xfId="0" applyFont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59" fillId="0" borderId="14" xfId="0" applyFont="1" applyBorder="1" applyAlignment="1">
      <alignment horizontal="left"/>
    </xf>
    <xf numFmtId="0" fontId="59" fillId="0" borderId="15" xfId="0" applyFont="1" applyBorder="1" applyAlignment="1">
      <alignment horizontal="left"/>
    </xf>
    <xf numFmtId="0" fontId="59" fillId="0" borderId="16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60" fillId="0" borderId="14" xfId="0" applyFont="1" applyBorder="1" applyAlignment="1">
      <alignment horizontal="center"/>
    </xf>
    <xf numFmtId="0" fontId="60" fillId="0" borderId="15" xfId="0" applyFont="1" applyBorder="1" applyAlignment="1">
      <alignment horizontal="center"/>
    </xf>
    <xf numFmtId="0" fontId="60" fillId="0" borderId="16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59" fillId="0" borderId="45" xfId="0" applyFont="1" applyBorder="1" applyAlignment="1">
      <alignment horizontal="center"/>
    </xf>
    <xf numFmtId="0" fontId="59" fillId="0" borderId="4" xfId="0" applyFont="1" applyBorder="1" applyAlignment="1">
      <alignment horizontal="center"/>
    </xf>
    <xf numFmtId="0" fontId="59" fillId="0" borderId="5" xfId="0" applyFont="1" applyBorder="1" applyAlignment="1">
      <alignment horizontal="center"/>
    </xf>
    <xf numFmtId="0" fontId="60" fillId="0" borderId="13" xfId="0" applyFont="1" applyBorder="1" applyAlignment="1">
      <alignment horizontal="center"/>
    </xf>
    <xf numFmtId="0" fontId="38" fillId="0" borderId="6" xfId="0" applyFont="1" applyBorder="1" applyAlignment="1">
      <alignment horizontal="left" indent="1"/>
    </xf>
    <xf numFmtId="0" fontId="38" fillId="0" borderId="0" xfId="0" applyFont="1" applyAlignment="1">
      <alignment horizontal="left" indent="1"/>
    </xf>
    <xf numFmtId="0" fontId="38" fillId="0" borderId="7" xfId="0" applyFont="1" applyBorder="1" applyAlignment="1">
      <alignment horizontal="left" indent="1"/>
    </xf>
    <xf numFmtId="0" fontId="40" fillId="0" borderId="14" xfId="0" applyFont="1" applyBorder="1" applyAlignment="1">
      <alignment horizontal="left"/>
    </xf>
    <xf numFmtId="0" fontId="40" fillId="0" borderId="15" xfId="0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38" fillId="0" borderId="6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0" fontId="40" fillId="0" borderId="15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38" fillId="2" borderId="17" xfId="0" applyFont="1" applyFill="1" applyBorder="1" applyAlignment="1">
      <alignment horizontal="center"/>
    </xf>
    <xf numFmtId="0" fontId="38" fillId="2" borderId="2" xfId="0" applyFont="1" applyFill="1" applyBorder="1" applyAlignment="1">
      <alignment horizontal="center"/>
    </xf>
    <xf numFmtId="0" fontId="38" fillId="2" borderId="12" xfId="0" applyFont="1" applyFill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40" fillId="3" borderId="14" xfId="0" applyFont="1" applyFill="1" applyBorder="1" applyAlignment="1">
      <alignment horizontal="left"/>
    </xf>
    <xf numFmtId="0" fontId="40" fillId="3" borderId="15" xfId="0" applyFont="1" applyFill="1" applyBorder="1" applyAlignment="1">
      <alignment horizontal="left"/>
    </xf>
    <xf numFmtId="0" fontId="40" fillId="3" borderId="16" xfId="0" applyFont="1" applyFill="1" applyBorder="1" applyAlignment="1">
      <alignment horizontal="left"/>
    </xf>
    <xf numFmtId="0" fontId="40" fillId="0" borderId="16" xfId="0" applyFont="1" applyBorder="1" applyAlignment="1">
      <alignment horizontal="left"/>
    </xf>
    <xf numFmtId="0" fontId="40" fillId="3" borderId="14" xfId="0" applyFont="1" applyFill="1" applyBorder="1" applyAlignment="1">
      <alignment horizontal="center"/>
    </xf>
    <xf numFmtId="0" fontId="40" fillId="3" borderId="15" xfId="0" applyFont="1" applyFill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40" fillId="0" borderId="3" xfId="0" applyFont="1" applyBorder="1" applyAlignment="1">
      <alignment horizontal="left"/>
    </xf>
    <xf numFmtId="0" fontId="40" fillId="0" borderId="4" xfId="0" applyFont="1" applyBorder="1" applyAlignment="1">
      <alignment horizontal="left"/>
    </xf>
    <xf numFmtId="0" fontId="40" fillId="0" borderId="5" xfId="0" applyFont="1" applyBorder="1" applyAlignment="1">
      <alignment horizontal="left"/>
    </xf>
    <xf numFmtId="0" fontId="40" fillId="0" borderId="3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36" fillId="3" borderId="43" xfId="0" applyFont="1" applyFill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3" borderId="52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right"/>
    </xf>
    <xf numFmtId="0" fontId="17" fillId="0" borderId="15" xfId="0" applyFont="1" applyBorder="1" applyAlignment="1">
      <alignment horizontal="right"/>
    </xf>
    <xf numFmtId="0" fontId="17" fillId="0" borderId="16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6" fillId="0" borderId="14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6" fillId="0" borderId="14" xfId="0" applyFont="1" applyBorder="1" applyAlignment="1">
      <alignment horizontal="left"/>
    </xf>
    <xf numFmtId="0" fontId="36" fillId="0" borderId="15" xfId="0" applyFont="1" applyBorder="1" applyAlignment="1">
      <alignment horizontal="left"/>
    </xf>
    <xf numFmtId="0" fontId="36" fillId="0" borderId="16" xfId="0" applyFont="1" applyBorder="1" applyAlignment="1">
      <alignment horizontal="left"/>
    </xf>
    <xf numFmtId="0" fontId="37" fillId="7" borderId="2" xfId="0" applyFont="1" applyFill="1" applyBorder="1" applyAlignment="1">
      <alignment horizontal="center"/>
    </xf>
    <xf numFmtId="0" fontId="37" fillId="7" borderId="12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36" fillId="7" borderId="3" xfId="17" applyFont="1" applyFill="1" applyBorder="1" applyAlignment="1">
      <alignment horizontal="center" vertical="center"/>
    </xf>
    <xf numFmtId="165" fontId="36" fillId="7" borderId="4" xfId="17" applyFont="1" applyFill="1" applyBorder="1" applyAlignment="1">
      <alignment horizontal="center" vertical="center"/>
    </xf>
    <xf numFmtId="165" fontId="36" fillId="7" borderId="5" xfId="17" applyFont="1" applyFill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5" fontId="37" fillId="0" borderId="3" xfId="0" applyNumberFormat="1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0" borderId="62" xfId="0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1" fillId="3" borderId="22" xfId="0" applyFont="1" applyFill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31" fillId="3" borderId="14" xfId="0" applyFont="1" applyFill="1" applyBorder="1" applyAlignment="1">
      <alignment horizontal="center" vertical="center"/>
    </xf>
    <xf numFmtId="0" fontId="31" fillId="3" borderId="15" xfId="0" applyFont="1" applyFill="1" applyBorder="1" applyAlignment="1">
      <alignment horizontal="center" vertical="center"/>
    </xf>
    <xf numFmtId="0" fontId="31" fillId="3" borderId="16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31" fillId="3" borderId="4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horizontal="left"/>
    </xf>
    <xf numFmtId="0" fontId="31" fillId="0" borderId="9" xfId="0" applyFont="1" applyBorder="1" applyAlignment="1">
      <alignment horizontal="left"/>
    </xf>
    <xf numFmtId="165" fontId="7" fillId="0" borderId="3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5" fontId="31" fillId="0" borderId="22" xfId="17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165" fontId="31" fillId="0" borderId="22" xfId="18" applyNumberFormat="1" applyFont="1" applyFill="1" applyBorder="1" applyAlignment="1">
      <alignment horizontal="center"/>
    </xf>
    <xf numFmtId="9" fontId="31" fillId="0" borderId="22" xfId="18" applyFont="1" applyFill="1" applyBorder="1" applyAlignment="1">
      <alignment horizontal="center"/>
    </xf>
    <xf numFmtId="0" fontId="31" fillId="0" borderId="16" xfId="0" applyFont="1" applyBorder="1" applyAlignment="1">
      <alignment horizontal="left"/>
    </xf>
    <xf numFmtId="0" fontId="62" fillId="10" borderId="14" xfId="0" applyFont="1" applyFill="1" applyBorder="1" applyAlignment="1">
      <alignment horizontal="center"/>
    </xf>
    <xf numFmtId="0" fontId="62" fillId="10" borderId="15" xfId="0" applyFont="1" applyFill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31" fillId="0" borderId="57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1" fillId="0" borderId="5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3" borderId="2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165" fontId="7" fillId="0" borderId="3" xfId="17" applyFont="1" applyFill="1" applyBorder="1" applyAlignment="1">
      <alignment horizontal="center"/>
    </xf>
    <xf numFmtId="165" fontId="7" fillId="0" borderId="4" xfId="17" applyFont="1" applyFill="1" applyBorder="1" applyAlignment="1">
      <alignment horizontal="center"/>
    </xf>
    <xf numFmtId="165" fontId="7" fillId="0" borderId="5" xfId="17" applyFont="1" applyFill="1" applyBorder="1" applyAlignment="1">
      <alignment horizontal="center"/>
    </xf>
    <xf numFmtId="0" fontId="31" fillId="0" borderId="45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9" fontId="3" fillId="0" borderId="3" xfId="18" applyFont="1" applyBorder="1" applyAlignment="1">
      <alignment horizontal="center" vertical="center"/>
    </xf>
    <xf numFmtId="9" fontId="3" fillId="0" borderId="4" xfId="18" applyFont="1" applyBorder="1" applyAlignment="1">
      <alignment horizontal="center" vertical="center"/>
    </xf>
    <xf numFmtId="9" fontId="3" fillId="0" borderId="6" xfId="18" applyFont="1" applyBorder="1" applyAlignment="1">
      <alignment horizontal="center" vertical="center"/>
    </xf>
    <xf numFmtId="9" fontId="3" fillId="0" borderId="0" xfId="18" applyFont="1" applyBorder="1" applyAlignment="1">
      <alignment horizontal="center" vertical="center"/>
    </xf>
    <xf numFmtId="9" fontId="2" fillId="0" borderId="3" xfId="18" applyFont="1" applyBorder="1" applyAlignment="1">
      <alignment horizontal="center" vertical="center"/>
    </xf>
    <xf numFmtId="9" fontId="2" fillId="0" borderId="4" xfId="18" applyFont="1" applyBorder="1" applyAlignment="1">
      <alignment horizontal="center" vertical="center"/>
    </xf>
    <xf numFmtId="9" fontId="2" fillId="0" borderId="5" xfId="18" applyFont="1" applyBorder="1" applyAlignment="1">
      <alignment horizontal="center" vertical="center"/>
    </xf>
    <xf numFmtId="9" fontId="2" fillId="0" borderId="8" xfId="18" applyFont="1" applyBorder="1" applyAlignment="1">
      <alignment horizontal="center" vertical="center"/>
    </xf>
    <xf numFmtId="9" fontId="2" fillId="0" borderId="9" xfId="18" applyFont="1" applyBorder="1" applyAlignment="1">
      <alignment horizontal="center" vertical="center"/>
    </xf>
    <xf numFmtId="9" fontId="2" fillId="0" borderId="10" xfId="18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3" fillId="0" borderId="0" xfId="17" applyFont="1" applyBorder="1" applyAlignment="1">
      <alignment horizontal="center"/>
    </xf>
    <xf numFmtId="165" fontId="3" fillId="0" borderId="7" xfId="17" applyFont="1" applyBorder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43" fillId="0" borderId="6" xfId="0" applyFont="1" applyBorder="1" applyAlignment="1">
      <alignment horizontal="left" indent="1"/>
    </xf>
    <xf numFmtId="0" fontId="43" fillId="0" borderId="0" xfId="0" applyFont="1" applyAlignment="1">
      <alignment horizontal="left" indent="1"/>
    </xf>
    <xf numFmtId="0" fontId="43" fillId="0" borderId="7" xfId="0" applyFont="1" applyBorder="1" applyAlignment="1">
      <alignment horizontal="left" indent="1"/>
    </xf>
    <xf numFmtId="165" fontId="43" fillId="0" borderId="0" xfId="17" applyFont="1" applyBorder="1" applyAlignment="1">
      <alignment horizontal="left" indent="1"/>
    </xf>
    <xf numFmtId="165" fontId="43" fillId="0" borderId="7" xfId="17" applyFont="1" applyBorder="1" applyAlignment="1">
      <alignment horizontal="left" indent="1"/>
    </xf>
    <xf numFmtId="9" fontId="43" fillId="0" borderId="0" xfId="18" applyFont="1" applyBorder="1" applyAlignment="1">
      <alignment horizontal="left" vertical="center" indent="1"/>
    </xf>
    <xf numFmtId="9" fontId="43" fillId="0" borderId="7" xfId="18" applyFont="1" applyBorder="1" applyAlignment="1">
      <alignment horizontal="left" vertical="center" indent="1"/>
    </xf>
    <xf numFmtId="0" fontId="3" fillId="10" borderId="14" xfId="0" applyFont="1" applyFill="1" applyBorder="1" applyAlignment="1">
      <alignment horizontal="left" indent="2"/>
    </xf>
    <xf numFmtId="0" fontId="3" fillId="10" borderId="15" xfId="0" applyFont="1" applyFill="1" applyBorder="1" applyAlignment="1">
      <alignment horizontal="left" indent="2"/>
    </xf>
    <xf numFmtId="0" fontId="3" fillId="10" borderId="16" xfId="0" applyFont="1" applyFill="1" applyBorder="1" applyAlignment="1">
      <alignment horizontal="left" indent="2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5" fontId="3" fillId="0" borderId="4" xfId="17" applyFont="1" applyBorder="1" applyAlignment="1">
      <alignment horizontal="center"/>
    </xf>
    <xf numFmtId="165" fontId="3" fillId="0" borderId="5" xfId="17" applyFont="1" applyBorder="1" applyAlignment="1">
      <alignment horizontal="center"/>
    </xf>
    <xf numFmtId="165" fontId="3" fillId="0" borderId="6" xfId="17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 indent="2"/>
    </xf>
    <xf numFmtId="0" fontId="3" fillId="0" borderId="9" xfId="0" applyFont="1" applyBorder="1" applyAlignment="1">
      <alignment horizontal="left" indent="2"/>
    </xf>
    <xf numFmtId="0" fontId="3" fillId="0" borderId="10" xfId="0" applyFont="1" applyBorder="1" applyAlignment="1">
      <alignment horizontal="left" indent="2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 indent="2"/>
    </xf>
    <xf numFmtId="0" fontId="3" fillId="0" borderId="0" xfId="0" applyFont="1" applyAlignment="1">
      <alignment horizontal="left" indent="2"/>
    </xf>
    <xf numFmtId="0" fontId="3" fillId="0" borderId="7" xfId="0" applyFont="1" applyBorder="1" applyAlignment="1">
      <alignment horizontal="left" indent="2"/>
    </xf>
    <xf numFmtId="0" fontId="2" fillId="0" borderId="5" xfId="0" applyFont="1" applyBorder="1" applyAlignment="1">
      <alignment horizontal="left"/>
    </xf>
    <xf numFmtId="165" fontId="2" fillId="0" borderId="4" xfId="17" applyFont="1" applyBorder="1" applyAlignment="1">
      <alignment horizontal="center"/>
    </xf>
    <xf numFmtId="165" fontId="2" fillId="0" borderId="5" xfId="17" applyFont="1" applyBorder="1" applyAlignment="1">
      <alignment horizontal="center"/>
    </xf>
    <xf numFmtId="165" fontId="2" fillId="0" borderId="0" xfId="17" applyFont="1" applyBorder="1" applyAlignment="1">
      <alignment horizontal="center"/>
    </xf>
    <xf numFmtId="165" fontId="2" fillId="0" borderId="7" xfId="17" applyFont="1" applyBorder="1" applyAlignment="1">
      <alignment horizontal="center"/>
    </xf>
    <xf numFmtId="165" fontId="3" fillId="0" borderId="9" xfId="17" applyFont="1" applyBorder="1" applyAlignment="1">
      <alignment horizontal="center"/>
    </xf>
    <xf numFmtId="165" fontId="3" fillId="0" borderId="10" xfId="17" applyFont="1" applyBorder="1" applyAlignment="1">
      <alignment horizontal="center"/>
    </xf>
    <xf numFmtId="9" fontId="3" fillId="0" borderId="5" xfId="18" applyFont="1" applyBorder="1" applyAlignment="1">
      <alignment horizontal="center" vertical="center"/>
    </xf>
    <xf numFmtId="9" fontId="3" fillId="0" borderId="7" xfId="18" applyFont="1" applyBorder="1" applyAlignment="1">
      <alignment horizontal="center" vertical="center"/>
    </xf>
    <xf numFmtId="9" fontId="3" fillId="0" borderId="8" xfId="18" applyFont="1" applyBorder="1" applyAlignment="1">
      <alignment horizontal="center" vertical="center"/>
    </xf>
    <xf numFmtId="9" fontId="3" fillId="0" borderId="9" xfId="18" applyFont="1" applyBorder="1" applyAlignment="1">
      <alignment horizontal="center" vertical="center"/>
    </xf>
    <xf numFmtId="9" fontId="3" fillId="0" borderId="10" xfId="18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65" fontId="2" fillId="0" borderId="3" xfId="17" applyFont="1" applyBorder="1" applyAlignment="1">
      <alignment horizontal="center"/>
    </xf>
    <xf numFmtId="165" fontId="2" fillId="0" borderId="6" xfId="17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" fillId="10" borderId="14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0" borderId="10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7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35" fillId="3" borderId="15" xfId="0" applyFont="1" applyFill="1" applyBorder="1" applyAlignment="1">
      <alignment horizontal="center"/>
    </xf>
    <xf numFmtId="0" fontId="44" fillId="0" borderId="15" xfId="0" applyFont="1" applyBorder="1" applyAlignment="1">
      <alignment horizontal="right"/>
    </xf>
    <xf numFmtId="9" fontId="2" fillId="3" borderId="14" xfId="18" applyFont="1" applyFill="1" applyBorder="1" applyAlignment="1">
      <alignment horizontal="center"/>
    </xf>
    <xf numFmtId="9" fontId="2" fillId="3" borderId="15" xfId="18" applyFont="1" applyFill="1" applyBorder="1" applyAlignment="1">
      <alignment horizontal="center"/>
    </xf>
    <xf numFmtId="9" fontId="2" fillId="3" borderId="16" xfId="18" applyFont="1" applyFill="1" applyBorder="1" applyAlignment="1">
      <alignment horizontal="center"/>
    </xf>
    <xf numFmtId="0" fontId="44" fillId="0" borderId="45" xfId="0" applyFont="1" applyBorder="1" applyAlignment="1">
      <alignment horizontal="center"/>
    </xf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165" fontId="3" fillId="0" borderId="3" xfId="17" applyFont="1" applyBorder="1" applyAlignment="1">
      <alignment horizontal="center"/>
    </xf>
    <xf numFmtId="0" fontId="44" fillId="0" borderId="4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4" xfId="17" applyFont="1" applyBorder="1" applyAlignment="1">
      <alignment horizontal="center"/>
    </xf>
    <xf numFmtId="165" fontId="3" fillId="0" borderId="15" xfId="17" applyFont="1" applyBorder="1" applyAlignment="1">
      <alignment horizontal="center"/>
    </xf>
    <xf numFmtId="165" fontId="3" fillId="0" borderId="16" xfId="17" applyFont="1" applyBorder="1" applyAlignment="1">
      <alignment horizontal="center"/>
    </xf>
    <xf numFmtId="0" fontId="35" fillId="3" borderId="15" xfId="0" applyFont="1" applyFill="1" applyBorder="1" applyAlignment="1">
      <alignment horizontal="right"/>
    </xf>
    <xf numFmtId="0" fontId="44" fillId="0" borderId="9" xfId="0" applyFont="1" applyBorder="1" applyAlignment="1">
      <alignment horizontal="right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4" fillId="0" borderId="0" xfId="0" applyFont="1" applyAlignment="1">
      <alignment horizontal="right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44" fillId="0" borderId="4" xfId="0" applyFont="1" applyBorder="1" applyAlignment="1">
      <alignment horizontal="right"/>
    </xf>
    <xf numFmtId="0" fontId="3" fillId="0" borderId="3" xfId="0" applyFont="1" applyBorder="1"/>
    <xf numFmtId="0" fontId="3" fillId="0" borderId="4" xfId="0" applyFont="1" applyBorder="1"/>
    <xf numFmtId="165" fontId="3" fillId="0" borderId="6" xfId="17" applyFont="1" applyBorder="1" applyAlignment="1">
      <alignment horizontal="center" wrapText="1"/>
    </xf>
    <xf numFmtId="165" fontId="3" fillId="0" borderId="0" xfId="17" applyFont="1" applyBorder="1" applyAlignment="1">
      <alignment horizontal="center" wrapText="1"/>
    </xf>
    <xf numFmtId="165" fontId="3" fillId="0" borderId="7" xfId="17" applyFont="1" applyBorder="1" applyAlignment="1">
      <alignment horizontal="center" wrapText="1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44" fillId="0" borderId="6" xfId="0" applyFont="1" applyBorder="1"/>
    <xf numFmtId="0" fontId="44" fillId="0" borderId="0" xfId="0" applyFont="1"/>
    <xf numFmtId="0" fontId="44" fillId="0" borderId="7" xfId="0" applyFont="1" applyBorder="1"/>
    <xf numFmtId="165" fontId="3" fillId="7" borderId="14" xfId="17" applyFont="1" applyFill="1" applyBorder="1" applyAlignment="1">
      <alignment horizontal="center"/>
    </xf>
    <xf numFmtId="165" fontId="3" fillId="7" borderId="15" xfId="17" applyFont="1" applyFill="1" applyBorder="1" applyAlignment="1">
      <alignment horizontal="center"/>
    </xf>
    <xf numFmtId="165" fontId="3" fillId="7" borderId="16" xfId="17" applyFont="1" applyFill="1" applyBorder="1" applyAlignment="1">
      <alignment horizontal="center"/>
    </xf>
    <xf numFmtId="0" fontId="35" fillId="0" borderId="14" xfId="0" applyFont="1" applyBorder="1" applyAlignment="1">
      <alignment horizontal="left"/>
    </xf>
    <xf numFmtId="0" fontId="35" fillId="0" borderId="15" xfId="0" applyFont="1" applyBorder="1" applyAlignment="1">
      <alignment horizontal="left"/>
    </xf>
    <xf numFmtId="0" fontId="35" fillId="0" borderId="16" xfId="0" applyFont="1" applyBorder="1" applyAlignment="1">
      <alignment horizontal="left"/>
    </xf>
    <xf numFmtId="0" fontId="44" fillId="0" borderId="17" xfId="0" applyFont="1" applyBorder="1" applyAlignment="1">
      <alignment horizontal="right"/>
    </xf>
    <xf numFmtId="0" fontId="44" fillId="0" borderId="2" xfId="0" applyFont="1" applyBorder="1" applyAlignment="1">
      <alignment horizontal="right"/>
    </xf>
    <xf numFmtId="0" fontId="44" fillId="0" borderId="12" xfId="0" applyFont="1" applyBorder="1" applyAlignment="1">
      <alignment horizontal="right"/>
    </xf>
    <xf numFmtId="165" fontId="2" fillId="3" borderId="15" xfId="17" applyFont="1" applyFill="1" applyBorder="1" applyAlignment="1">
      <alignment horizontal="center"/>
    </xf>
    <xf numFmtId="165" fontId="2" fillId="3" borderId="16" xfId="17" applyFont="1" applyFill="1" applyBorder="1" applyAlignment="1">
      <alignment horizontal="center"/>
    </xf>
    <xf numFmtId="0" fontId="35" fillId="3" borderId="9" xfId="0" applyFont="1" applyFill="1" applyBorder="1" applyAlignment="1">
      <alignment horizontal="right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9" fontId="3" fillId="7" borderId="3" xfId="18" applyFont="1" applyFill="1" applyBorder="1" applyAlignment="1">
      <alignment horizontal="center" vertical="center"/>
    </xf>
    <xf numFmtId="9" fontId="3" fillId="7" borderId="4" xfId="18" applyFont="1" applyFill="1" applyBorder="1" applyAlignment="1">
      <alignment horizontal="center" vertical="center"/>
    </xf>
    <xf numFmtId="9" fontId="3" fillId="7" borderId="5" xfId="18" applyFont="1" applyFill="1" applyBorder="1" applyAlignment="1">
      <alignment horizontal="center" vertical="center"/>
    </xf>
    <xf numFmtId="9" fontId="3" fillId="7" borderId="8" xfId="18" applyFont="1" applyFill="1" applyBorder="1" applyAlignment="1">
      <alignment horizontal="center" vertical="center"/>
    </xf>
    <xf numFmtId="9" fontId="3" fillId="7" borderId="9" xfId="18" applyFont="1" applyFill="1" applyBorder="1" applyAlignment="1">
      <alignment horizontal="center" vertical="center"/>
    </xf>
    <xf numFmtId="9" fontId="3" fillId="7" borderId="10" xfId="18" applyFont="1" applyFill="1" applyBorder="1" applyAlignment="1">
      <alignment horizontal="center" vertical="center"/>
    </xf>
    <xf numFmtId="0" fontId="44" fillId="0" borderId="3" xfId="0" applyFont="1" applyBorder="1"/>
    <xf numFmtId="0" fontId="44" fillId="0" borderId="4" xfId="0" applyFont="1" applyBorder="1"/>
    <xf numFmtId="0" fontId="44" fillId="0" borderId="5" xfId="0" applyFont="1" applyBorder="1"/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165" fontId="3" fillId="7" borderId="3" xfId="17" applyFont="1" applyFill="1" applyBorder="1" applyAlignment="1">
      <alignment horizontal="center"/>
    </xf>
    <xf numFmtId="165" fontId="3" fillId="7" borderId="4" xfId="17" applyFont="1" applyFill="1" applyBorder="1" applyAlignment="1">
      <alignment horizontal="center"/>
    </xf>
    <xf numFmtId="165" fontId="3" fillId="7" borderId="5" xfId="17" applyFont="1" applyFill="1" applyBorder="1" applyAlignment="1">
      <alignment horizontal="center"/>
    </xf>
    <xf numFmtId="0" fontId="3" fillId="0" borderId="6" xfId="0" applyFont="1" applyBorder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7" xfId="0" applyFont="1" applyBorder="1" applyAlignment="1">
      <alignment horizontal="left" vertical="center" indent="2"/>
    </xf>
    <xf numFmtId="165" fontId="3" fillId="0" borderId="14" xfId="17" applyFont="1" applyBorder="1" applyAlignment="1">
      <alignment horizontal="center" vertical="center"/>
    </xf>
    <xf numFmtId="165" fontId="3" fillId="0" borderId="15" xfId="17" applyFont="1" applyBorder="1" applyAlignment="1">
      <alignment horizontal="center" vertical="center"/>
    </xf>
    <xf numFmtId="165" fontId="3" fillId="0" borderId="16" xfId="17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2"/>
    </xf>
    <xf numFmtId="0" fontId="3" fillId="0" borderId="9" xfId="0" applyFont="1" applyBorder="1" applyAlignment="1">
      <alignment horizontal="left" vertical="center" indent="2"/>
    </xf>
    <xf numFmtId="0" fontId="3" fillId="0" borderId="10" xfId="0" applyFont="1" applyBorder="1" applyAlignment="1">
      <alignment horizontal="left" vertical="center" indent="2"/>
    </xf>
    <xf numFmtId="165" fontId="3" fillId="0" borderId="8" xfId="17" applyFont="1" applyBorder="1" applyAlignment="1">
      <alignment horizontal="center" wrapText="1"/>
    </xf>
    <xf numFmtId="165" fontId="3" fillId="0" borderId="9" xfId="17" applyFont="1" applyBorder="1" applyAlignment="1">
      <alignment horizontal="center" wrapText="1"/>
    </xf>
    <xf numFmtId="165" fontId="3" fillId="0" borderId="10" xfId="17" applyFont="1" applyBorder="1" applyAlignment="1">
      <alignment horizontal="center" wrapText="1"/>
    </xf>
    <xf numFmtId="0" fontId="44" fillId="0" borderId="24" xfId="0" applyFont="1" applyBorder="1" applyAlignment="1">
      <alignment horizontal="right"/>
    </xf>
    <xf numFmtId="0" fontId="44" fillId="0" borderId="16" xfId="0" applyFont="1" applyBorder="1" applyAlignment="1">
      <alignment horizontal="right"/>
    </xf>
    <xf numFmtId="0" fontId="44" fillId="0" borderId="8" xfId="0" applyFont="1" applyBorder="1"/>
    <xf numFmtId="0" fontId="44" fillId="0" borderId="9" xfId="0" applyFont="1" applyBorder="1"/>
    <xf numFmtId="165" fontId="2" fillId="3" borderId="14" xfId="17" applyFont="1" applyFill="1" applyBorder="1" applyAlignment="1">
      <alignment horizontal="center"/>
    </xf>
    <xf numFmtId="0" fontId="35" fillId="3" borderId="14" xfId="0" applyFont="1" applyFill="1" applyBorder="1" applyAlignment="1">
      <alignment horizontal="left"/>
    </xf>
    <xf numFmtId="0" fontId="35" fillId="3" borderId="15" xfId="0" applyFont="1" applyFill="1" applyBorder="1" applyAlignment="1">
      <alignment horizontal="left"/>
    </xf>
    <xf numFmtId="0" fontId="35" fillId="3" borderId="1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44" fillId="0" borderId="58" xfId="0" applyFont="1" applyBorder="1" applyAlignment="1">
      <alignment horizontal="right"/>
    </xf>
    <xf numFmtId="0" fontId="44" fillId="0" borderId="13" xfId="0" applyFont="1" applyBorder="1" applyAlignment="1">
      <alignment horizontal="right"/>
    </xf>
    <xf numFmtId="0" fontId="44" fillId="0" borderId="57" xfId="0" applyFont="1" applyBorder="1" applyAlignment="1">
      <alignment horizontal="righ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165" fontId="3" fillId="0" borderId="8" xfId="17" applyFont="1" applyBorder="1" applyAlignment="1">
      <alignment horizontal="center"/>
    </xf>
    <xf numFmtId="0" fontId="3" fillId="0" borderId="5" xfId="0" applyFont="1" applyBorder="1"/>
    <xf numFmtId="0" fontId="44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5" fillId="3" borderId="14" xfId="0" applyFont="1" applyFill="1" applyBorder="1" applyAlignment="1">
      <alignment horizontal="right"/>
    </xf>
    <xf numFmtId="0" fontId="44" fillId="0" borderId="14" xfId="0" applyFont="1" applyBorder="1" applyAlignment="1">
      <alignment horizontal="right"/>
    </xf>
    <xf numFmtId="0" fontId="35" fillId="0" borderId="14" xfId="0" applyFont="1" applyBorder="1" applyAlignment="1">
      <alignment horizontal="right"/>
    </xf>
    <xf numFmtId="0" fontId="35" fillId="0" borderId="15" xfId="0" applyFont="1" applyBorder="1" applyAlignment="1">
      <alignment horizontal="right"/>
    </xf>
    <xf numFmtId="0" fontId="35" fillId="0" borderId="16" xfId="0" applyFont="1" applyBorder="1" applyAlignment="1">
      <alignment horizontal="right"/>
    </xf>
  </cellXfs>
  <cellStyles count="260">
    <cellStyle name="Comma 2" xfId="25" xr:uid="{38D35E7C-4D61-4EB1-92E3-05435DC4AEC2}"/>
    <cellStyle name="Comma 2 2" xfId="33" xr:uid="{FC631C0C-F2D5-4DA6-86A6-F31423A5DAD6}"/>
    <cellStyle name="Comma 2 2 2" xfId="85" xr:uid="{08162FEF-92C4-4CD7-8EA5-1312EB37D239}"/>
    <cellStyle name="Comma 2 2 2 2" xfId="219" xr:uid="{CD08DAF8-A291-4C02-922F-186D0B1C205D}"/>
    <cellStyle name="Comma 2 2 2 3" xfId="193" xr:uid="{97D2A215-C202-415A-A3EB-ACF464B5A769}"/>
    <cellStyle name="Comma 2 2 3" xfId="129" xr:uid="{F6A8A767-1E66-476D-9392-77BB95D93B6A}"/>
    <cellStyle name="Comma 2 2 3 2" xfId="192" xr:uid="{E4B2B7B7-751B-4BD3-8318-55EFADD01C84}"/>
    <cellStyle name="Comma 2 2 4" xfId="218" xr:uid="{19E2166A-CB58-4A93-B110-C731339D24D8}"/>
    <cellStyle name="Comma 2 2 5" xfId="172" xr:uid="{98E9DB95-2127-4CD9-A006-24F28FDC63E9}"/>
    <cellStyle name="Comma 2 3" xfId="67" xr:uid="{BF18BF01-9542-4E85-8A7D-71D97885FE6A}"/>
    <cellStyle name="Comma 2 3 2" xfId="115" xr:uid="{869F6876-3CEF-472A-B828-7A6372E79072}"/>
    <cellStyle name="Comma 2 3 2 2" xfId="220" xr:uid="{D7CD094E-CD51-4D54-9660-E1AFD0B803E8}"/>
    <cellStyle name="Comma 2 3 3" xfId="156" xr:uid="{DC52707B-DFFA-412D-BC3E-F31A8A1333D4}"/>
    <cellStyle name="Comma 2 3 4" xfId="194" xr:uid="{1E2DDD2F-D4F3-46C4-8E99-79CB70F56787}"/>
    <cellStyle name="Comma 2 4" xfId="81" xr:uid="{80A046D2-B3C0-45D6-BB17-240D6E70EBB7}"/>
    <cellStyle name="Comma 2 4 2" xfId="191" xr:uid="{9E435D26-9AF0-43CB-804A-DF7CB52498BF}"/>
    <cellStyle name="Comma 2 5" xfId="125" xr:uid="{9CBEED41-4AEC-4C5E-A713-174EC8FB38E6}"/>
    <cellStyle name="Comma 2 5 2" xfId="217" xr:uid="{89E91B67-C135-43E7-8FEB-8738959D5D8E}"/>
    <cellStyle name="Comma 2 6" xfId="171" xr:uid="{97CB663E-4ECF-49AD-A06D-A9D65A0069EC}"/>
    <cellStyle name="Comma 3" xfId="31" xr:uid="{5D9DBFFA-91C6-4D43-B12F-5CE38B6DEA59}"/>
    <cellStyle name="Comma 3 2" xfId="174" xr:uid="{8729F4FB-BC1F-4782-8F27-8E0785AF439D}"/>
    <cellStyle name="Comma 3 2 2" xfId="197" xr:uid="{9EB7E7EE-84A6-4953-B1A8-EECC5284046E}"/>
    <cellStyle name="Comma 3 2 2 2" xfId="223" xr:uid="{AEF73A79-4BB8-479C-92F6-A6FBBB82304D}"/>
    <cellStyle name="Comma 3 2 3" xfId="196" xr:uid="{095CC606-93CA-471F-8DBE-447F3F4705B5}"/>
    <cellStyle name="Comma 3 2 4" xfId="222" xr:uid="{6A34B185-C51A-40E3-A930-AA9A5F83919F}"/>
    <cellStyle name="Comma 3 3" xfId="198" xr:uid="{5F605CAD-66E3-4C75-976C-52E6515470F2}"/>
    <cellStyle name="Comma 3 3 2" xfId="224" xr:uid="{BF4A5211-2C78-4E5E-A0E9-F9F180A1ADFD}"/>
    <cellStyle name="Comma 3 4" xfId="195" xr:uid="{9085D493-CA30-46D5-BE98-DE96AC65A761}"/>
    <cellStyle name="Comma 3 5" xfId="221" xr:uid="{24C21B24-A342-4147-BABE-C53AD6981BFD}"/>
    <cellStyle name="Comma 3 6" xfId="173" xr:uid="{601CB7E5-3FEB-41CC-9DBA-7855593BB154}"/>
    <cellStyle name="Comma 4" xfId="72" xr:uid="{3011CD0F-0E4D-4548-B934-AA15FF469B4D}"/>
    <cellStyle name="Comma 4 2" xfId="118" xr:uid="{60BFD619-4424-4D76-A49E-CA26E21D3079}"/>
    <cellStyle name="Comma 4 2 2" xfId="201" xr:uid="{94450CE0-5829-47DB-B72A-06A8FE505F02}"/>
    <cellStyle name="Comma 4 2 2 2" xfId="227" xr:uid="{CF16FA4A-20E4-4A03-B702-8F683B8DC4DB}"/>
    <cellStyle name="Comma 4 2 3" xfId="200" xr:uid="{51955997-9B47-43B8-AB31-200159391277}"/>
    <cellStyle name="Comma 4 2 4" xfId="226" xr:uid="{C145C1E7-7720-4C0E-9B27-5A071D46B678}"/>
    <cellStyle name="Comma 4 2 5" xfId="176" xr:uid="{76ECE1FF-D64E-4295-9A8C-49024922BA30}"/>
    <cellStyle name="Comma 4 3" xfId="159" xr:uid="{E0E0FCDB-BF89-4438-A4F7-F852A280317D}"/>
    <cellStyle name="Comma 4 3 2" xfId="228" xr:uid="{4E624472-8A7C-45A0-8963-9584A6DAEF75}"/>
    <cellStyle name="Comma 4 3 3" xfId="202" xr:uid="{9EDB0290-9D87-4388-B19E-F0C8C23E9D59}"/>
    <cellStyle name="Comma 4 4" xfId="199" xr:uid="{CDF1BC13-579F-4729-8BEE-010362C681FA}"/>
    <cellStyle name="Comma 4 5" xfId="225" xr:uid="{7F568D90-2230-4BAA-B40E-7CB162D63024}"/>
    <cellStyle name="Comma 4 6" xfId="175" xr:uid="{4F26EEF1-618A-4F2A-9226-7A2981D2B695}"/>
    <cellStyle name="Lien hypertexte 2" xfId="177" xr:uid="{70295213-5F9E-4A38-82D8-8F0353733D52}"/>
    <cellStyle name="Milliers" xfId="17" builtinId="3"/>
    <cellStyle name="Milliers [0] 2" xfId="41" xr:uid="{C86DAD78-79B4-437B-9360-C9B381524388}"/>
    <cellStyle name="Milliers [0] 2 2" xfId="91" xr:uid="{00AADE99-E271-4561-9EF7-8F65FC04DE89}"/>
    <cellStyle name="Milliers [0] 2 3" xfId="135" xr:uid="{6895EA7B-D4C8-44D4-9CA5-AA374AD58EA3}"/>
    <cellStyle name="Milliers [0] 3" xfId="20" xr:uid="{00000000-0005-0000-0000-00006C000000}"/>
    <cellStyle name="Milliers 10" xfId="50" xr:uid="{5116797F-240F-4D9C-97F7-79F8776C15C0}"/>
    <cellStyle name="Milliers 10 2" xfId="99" xr:uid="{AF5A0C6A-2A23-4AC0-8522-9A2E14035EB8}"/>
    <cellStyle name="Milliers 10 3" xfId="143" xr:uid="{D6283A55-5183-4090-9834-CCF0BD95CCB1}"/>
    <cellStyle name="Milliers 11" xfId="51" xr:uid="{06E07A91-5D72-438E-B8DE-161A33FB088D}"/>
    <cellStyle name="Milliers 11 2" xfId="100" xr:uid="{92175C89-9F1E-42D8-86AA-4D85B51EDF44}"/>
    <cellStyle name="Milliers 11 3" xfId="144" xr:uid="{4CDA2A66-655A-4935-8D8B-F1903D27B939}"/>
    <cellStyle name="Milliers 12" xfId="52" xr:uid="{BE5B190C-C1D9-43FE-A1DD-585E5536B19E}"/>
    <cellStyle name="Milliers 12 2" xfId="101" xr:uid="{967DEBE5-8E13-49F1-A49B-5507A0D7B9A1}"/>
    <cellStyle name="Milliers 12 3" xfId="145" xr:uid="{77CD91AE-3C13-418C-8E54-74F4039A797E}"/>
    <cellStyle name="Milliers 13" xfId="53" xr:uid="{B140611F-D838-4126-A16B-65BBF71B886E}"/>
    <cellStyle name="Milliers 13 2" xfId="102" xr:uid="{44564987-23FD-4C81-BAE7-26D294584E59}"/>
    <cellStyle name="Milliers 13 3" xfId="146" xr:uid="{6DFF7955-A8A3-4913-83B5-65CDC9BFC60C}"/>
    <cellStyle name="Milliers 14" xfId="54" xr:uid="{0D3F354E-6E25-49FF-8146-8D28B24AD4B5}"/>
    <cellStyle name="Milliers 14 2" xfId="103" xr:uid="{E4A10F30-B9A3-4963-9398-CE8055C61C7E}"/>
    <cellStyle name="Milliers 14 3" xfId="147" xr:uid="{A1261412-724B-4216-AE60-718117E1D244}"/>
    <cellStyle name="Milliers 15" xfId="55" xr:uid="{0BF4C7FF-BE56-43F5-9D39-8CFFDE6CDCC5}"/>
    <cellStyle name="Milliers 15 2" xfId="104" xr:uid="{4C90E85B-E6E4-4C86-B676-FFAA333A430B}"/>
    <cellStyle name="Milliers 15 3" xfId="148" xr:uid="{C530CB22-8EAA-42F1-A0A1-1C1E64DB2511}"/>
    <cellStyle name="Milliers 16" xfId="56" xr:uid="{C518A660-CF83-4D86-85B6-007D05A6DE82}"/>
    <cellStyle name="Milliers 16 2" xfId="105" xr:uid="{87725332-73F2-4FA5-9D7F-4C060368C0D7}"/>
    <cellStyle name="Milliers 16 3" xfId="149" xr:uid="{428EF5FF-B8EE-4D87-84B1-BA50911F96BA}"/>
    <cellStyle name="Milliers 17" xfId="57" xr:uid="{44ADE2B7-7F9C-41B4-B2B3-89756EF07B09}"/>
    <cellStyle name="Milliers 17 2" xfId="106" xr:uid="{B42741A9-21C6-4B40-9D17-FA02A1DA1A15}"/>
    <cellStyle name="Milliers 17 3" xfId="150" xr:uid="{58452DBE-8A33-48DD-9079-0E9918620998}"/>
    <cellStyle name="Milliers 18" xfId="59" xr:uid="{23C034F5-8CE2-4EDE-A746-F6E05E13A35E}"/>
    <cellStyle name="Milliers 18 2" xfId="108" xr:uid="{84B3D57B-7891-4E6F-BC6A-D6302C34B016}"/>
    <cellStyle name="Milliers 18 3" xfId="152" xr:uid="{D22683CF-1D5F-44F2-8E0D-29EB680BAABA}"/>
    <cellStyle name="Milliers 19" xfId="62" xr:uid="{D3693066-E114-498F-B265-B0F9ADD3C26C}"/>
    <cellStyle name="Milliers 19 2" xfId="111" xr:uid="{01F8AE24-FFAF-4C07-8FF9-94264B33E44F}"/>
    <cellStyle name="Milliers 19 3" xfId="154" xr:uid="{BD89DCF9-376B-498E-A8B1-7ADA24D7F1C5}"/>
    <cellStyle name="Milliers 2" xfId="8" xr:uid="{00000000-0005-0000-0000-000000000000}"/>
    <cellStyle name="Milliers 2 2" xfId="87" xr:uid="{9508D05A-183C-4E57-AC8E-D6A97F2D971A}"/>
    <cellStyle name="Milliers 2 2 2" xfId="206" xr:uid="{806F0896-60D7-4687-B618-CF1BF5B41EDF}"/>
    <cellStyle name="Milliers 2 2 2 2" xfId="232" xr:uid="{32D86713-0E77-4401-84C6-427D469144CC}"/>
    <cellStyle name="Milliers 2 2 3" xfId="205" xr:uid="{317B1984-C302-4E18-A772-79A5403E5BAD}"/>
    <cellStyle name="Milliers 2 2 4" xfId="231" xr:uid="{7EE23FA0-DF16-4D80-9655-6CB58B651E63}"/>
    <cellStyle name="Milliers 2 2 5" xfId="180" xr:uid="{739B6DAB-74F3-45C6-A537-C870FADBB31C}"/>
    <cellStyle name="Milliers 2 3" xfId="131" xr:uid="{39CFC137-F3D8-4022-A9C6-D2490BA64752}"/>
    <cellStyle name="Milliers 2 3 2" xfId="233" xr:uid="{B0998CCF-E380-4A83-88B5-1744B785A5C8}"/>
    <cellStyle name="Milliers 2 3 3" xfId="207" xr:uid="{400D23CA-3321-43FA-9E79-BE372D02B1B6}"/>
    <cellStyle name="Milliers 2 4" xfId="204" xr:uid="{5FD4F8C2-288E-47F9-A151-9285F3495D90}"/>
    <cellStyle name="Milliers 2 5" xfId="230" xr:uid="{6ABDEC58-36A3-4EC8-8962-59E6D8AE50D3}"/>
    <cellStyle name="Milliers 2 6" xfId="179" xr:uid="{E55E78D5-2F75-4BC5-9BC2-829064D6E4CC}"/>
    <cellStyle name="Milliers 2 7" xfId="35" xr:uid="{888E08DD-49A9-483A-AB1F-47B70591C714}"/>
    <cellStyle name="Milliers 20" xfId="75" xr:uid="{B232FD39-961C-4EF4-9589-3364FD695E35}"/>
    <cellStyle name="Milliers 20 2" xfId="119" xr:uid="{909C5EF9-72E0-4D53-A991-A38FE5520E4D}"/>
    <cellStyle name="Milliers 20 3" xfId="161" xr:uid="{814670CE-BBC0-4850-818D-22824ED30146}"/>
    <cellStyle name="Milliers 21" xfId="83" xr:uid="{9DAB0ED0-10E4-4059-945F-23C0C682A77B}"/>
    <cellStyle name="Milliers 22" xfId="92" xr:uid="{E943D7DB-66A6-4019-9CFB-E6F859672751}"/>
    <cellStyle name="Milliers 23" xfId="127" xr:uid="{EF7B0F40-CC2B-400B-9EE3-F7D863D3BC01}"/>
    <cellStyle name="Milliers 24" xfId="160" xr:uid="{8D114DBE-DB9B-4D3E-B0D4-A15759473747}"/>
    <cellStyle name="Milliers 25" xfId="151" xr:uid="{875B6EF6-8ED2-4726-B517-BB0C10E89D02}"/>
    <cellStyle name="Milliers 26" xfId="136" xr:uid="{97D8F0B8-7F8D-4C67-A414-A79E4EF725D0}"/>
    <cellStyle name="Milliers 27" xfId="162" xr:uid="{53376310-B421-4F57-92D3-38045587006A}"/>
    <cellStyle name="Milliers 28" xfId="165" xr:uid="{F60F16F3-5F21-489B-9793-1BEDD0DD7D74}"/>
    <cellStyle name="Milliers 29" xfId="167" xr:uid="{1F931D16-DC83-4E39-9311-52EFF1AC7C6A}"/>
    <cellStyle name="Milliers 3" xfId="7" xr:uid="{00000000-0005-0000-0000-000001000000}"/>
    <cellStyle name="Milliers 3 2" xfId="89" xr:uid="{9550B2FE-A972-4821-BEB2-AE068CF962B2}"/>
    <cellStyle name="Milliers 3 2 2" xfId="235" xr:uid="{9E9185EE-0F76-48E8-8E30-88AB797A76B6}"/>
    <cellStyle name="Milliers 3 2 3" xfId="209" xr:uid="{8629C770-9D5B-4598-B268-179501A71D5C}"/>
    <cellStyle name="Milliers 3 3" xfId="133" xr:uid="{BC47A3AC-F703-4066-A7A3-41067816D71F}"/>
    <cellStyle name="Milliers 3 3 2" xfId="208" xr:uid="{D358151E-045F-4143-AC0D-D8CDFA3783EA}"/>
    <cellStyle name="Milliers 3 4" xfId="234" xr:uid="{9983651D-44F4-4F81-B725-7D2269AAC6FF}"/>
    <cellStyle name="Milliers 3 5" xfId="181" xr:uid="{4114BE36-18AD-414E-9BD7-0B4F31FCC0FC}"/>
    <cellStyle name="Milliers 3 6" xfId="39" xr:uid="{C97C5CE4-8D1E-41C8-BE94-C9112DC12E6A}"/>
    <cellStyle name="Milliers 30" xfId="2" xr:uid="{00000000-0005-0000-0000-000002000000}"/>
    <cellStyle name="Milliers 30 2" xfId="168" xr:uid="{DA2EEA54-6E42-41C5-A745-03E4784DFD28}"/>
    <cellStyle name="Milliers 31" xfId="3" xr:uid="{00000000-0005-0000-0000-000003000000}"/>
    <cellStyle name="Milliers 31 2" xfId="188" xr:uid="{3DB27E11-82FE-40A5-BDB0-1E5998D2CFE7}"/>
    <cellStyle name="Milliers 32" xfId="5" xr:uid="{00000000-0005-0000-0000-000004000000}"/>
    <cellStyle name="Milliers 32 2" xfId="247" xr:uid="{5554859E-1D36-4766-AE5C-D156BD71F70F}"/>
    <cellStyle name="Milliers 33" xfId="6" xr:uid="{00000000-0005-0000-0000-000005000000}"/>
    <cellStyle name="Milliers 33 2" xfId="244" xr:uid="{6C8D2926-6F62-410B-86BC-EC3E24E445B0}"/>
    <cellStyle name="Milliers 34" xfId="250" xr:uid="{16DA1BC2-6A4D-469F-A8A2-B1595310C441}"/>
    <cellStyle name="Milliers 35" xfId="248" xr:uid="{4E3CB8F6-BB5A-41A2-A3B1-C44C5F1D03FB}"/>
    <cellStyle name="Milliers 36" xfId="249" xr:uid="{F077E5D4-1ABB-4904-9F92-2ACD42C71157}"/>
    <cellStyle name="Milliers 37" xfId="245" xr:uid="{34150532-3110-4D3B-9685-98BD6C9D784A}"/>
    <cellStyle name="Milliers 38" xfId="252" xr:uid="{665ADCBF-2253-4255-9043-151FA0A2E688}"/>
    <cellStyle name="Milliers 39" xfId="255" xr:uid="{FB21381E-8A53-4B6C-BFE6-691662F99FE2}"/>
    <cellStyle name="Milliers 4" xfId="14" xr:uid="{499BE1CE-BF18-41AA-AA49-F44425ACD1E4}"/>
    <cellStyle name="Milliers 4 2" xfId="93" xr:uid="{4881C422-6352-44C1-A4CF-C34734BFDC9D}"/>
    <cellStyle name="Milliers 4 2 2" xfId="211" xr:uid="{C3288E93-944B-48D4-9E57-F7DD44E5B247}"/>
    <cellStyle name="Milliers 4 2 3" xfId="237" xr:uid="{17BA7D25-8FC2-4A2E-B433-9F899CD3AFDB}"/>
    <cellStyle name="Milliers 4 2 4" xfId="182" xr:uid="{1A125B94-E6F1-42E1-806C-088D065C3BA2}"/>
    <cellStyle name="Milliers 4 3" xfId="137" xr:uid="{09158786-E1C7-4CB5-8A08-DB74C6CD5518}"/>
    <cellStyle name="Milliers 4 3 2" xfId="210" xr:uid="{D34E5F50-CA09-4E76-8FE0-BD48BF87184F}"/>
    <cellStyle name="Milliers 4 4" xfId="236" xr:uid="{B51E61D2-786D-457D-B9BA-E72A029C39AD}"/>
    <cellStyle name="Milliers 4 5" xfId="169" xr:uid="{BB611D99-DDDA-47BE-998F-090049FA2578}"/>
    <cellStyle name="Milliers 4 6" xfId="44" xr:uid="{73AB41FF-CAE7-4A2C-91E2-8CEEFCBC9872}"/>
    <cellStyle name="Milliers 40" xfId="254" xr:uid="{A50BEE88-7634-4804-BFDD-175899052CAD}"/>
    <cellStyle name="Milliers 41" xfId="253" xr:uid="{8372799F-5333-450D-80FB-21242B5BD236}"/>
    <cellStyle name="Milliers 42" xfId="243" xr:uid="{B9A63025-A763-4072-81FA-6E7D5924C982}"/>
    <cellStyle name="Milliers 43" xfId="246" xr:uid="{DEEF30D1-22D6-4631-A89C-5273824A2DA4}"/>
    <cellStyle name="Milliers 44" xfId="251" xr:uid="{BBC0CD50-0418-4EEE-9FEA-360688BD4A5F}"/>
    <cellStyle name="Milliers 45" xfId="29" xr:uid="{FCF1741B-F5FA-40B9-826E-23C73838A43C}"/>
    <cellStyle name="Milliers 46" xfId="19" xr:uid="{00000000-0005-0000-0000-00006B000000}"/>
    <cellStyle name="Milliers 47" xfId="256" xr:uid="{00000000-0005-0000-0000-00002D010000}"/>
    <cellStyle name="Milliers 48" xfId="259" xr:uid="{F92AB613-D965-4B10-AA5D-79086BF856B4}"/>
    <cellStyle name="Milliers 5" xfId="21" xr:uid="{BF210675-2DA0-4F6E-B98D-4157E68E4414}"/>
    <cellStyle name="Milliers 5 2" xfId="94" xr:uid="{6B692718-51CE-4256-8F8A-D3766FA86563}"/>
    <cellStyle name="Milliers 5 2 2" xfId="212" xr:uid="{8710E4E6-2CDB-48A5-91F7-A09439FBAD85}"/>
    <cellStyle name="Milliers 5 3" xfId="138" xr:uid="{60435859-4353-4066-BA45-087BB89D5135}"/>
    <cellStyle name="Milliers 5 3 2" xfId="238" xr:uid="{A0CE40E9-CA84-43CB-97CC-62CF67F81CC7}"/>
    <cellStyle name="Milliers 5 4" xfId="178" xr:uid="{69F212D0-78C1-4665-B5F3-F04AD3C2D9BC}"/>
    <cellStyle name="Milliers 5 5" xfId="45" xr:uid="{3FA2F186-0032-480A-823D-733898088CCC}"/>
    <cellStyle name="Milliers 6" xfId="47" xr:uid="{ED161638-B707-403C-BA44-CE5C5AD9D711}"/>
    <cellStyle name="Milliers 6 2" xfId="96" xr:uid="{3DADDA46-1F91-45BA-843B-CA44FD337D69}"/>
    <cellStyle name="Milliers 6 3" xfId="140" xr:uid="{6E0787ED-09A8-4443-A03E-620075D137D7}"/>
    <cellStyle name="Milliers 6 4" xfId="203" xr:uid="{EC59BBA5-A7B2-4CBB-AC6F-C7FACD2644F8}"/>
    <cellStyle name="Milliers 7" xfId="46" xr:uid="{2A75AC4D-A615-4333-851A-F527897AA962}"/>
    <cellStyle name="Milliers 7 2" xfId="95" xr:uid="{C45F08B9-DB56-4438-86F1-E7E993FD5333}"/>
    <cellStyle name="Milliers 7 3" xfId="139" xr:uid="{8BEBFD96-2736-4D73-8AD5-A1094C1C74EA}"/>
    <cellStyle name="Milliers 7 4" xfId="229" xr:uid="{79D268D4-B4DE-44B4-AE85-2C48CE6B3276}"/>
    <cellStyle name="Milliers 8" xfId="48" xr:uid="{B6F4D799-BCCA-4A30-BFF5-8C681F4FFC0D}"/>
    <cellStyle name="Milliers 8 2" xfId="97" xr:uid="{AA58231B-D2E8-4CAC-85F0-466166EC530D}"/>
    <cellStyle name="Milliers 8 3" xfId="141" xr:uid="{F1FCA56E-894E-446F-882C-DB5DD18DB4FE}"/>
    <cellStyle name="Milliers 9" xfId="49" xr:uid="{90713A5A-871B-4787-9D1F-9CF8D9ADF8C7}"/>
    <cellStyle name="Milliers 9 2" xfId="98" xr:uid="{CC91901A-3077-4DB2-B645-8EBD16F4A177}"/>
    <cellStyle name="Milliers 9 3" xfId="142" xr:uid="{6EFF4193-1ABA-48FE-B160-4796C1DEE3C2}"/>
    <cellStyle name="Monétaire 2" xfId="184" xr:uid="{FC78DBB1-B893-4445-A0D2-7FE3579C1A53}"/>
    <cellStyle name="Monétaire 2 2" xfId="215" xr:uid="{3F979DC3-6FEF-4F7A-B8B3-C0BF0A04292D}"/>
    <cellStyle name="Monétaire 2 2 2" xfId="241" xr:uid="{FD68139C-5041-43D0-947C-527412556B45}"/>
    <cellStyle name="Monétaire 2 3" xfId="214" xr:uid="{14F360E7-72FC-4455-BFD1-3BDA070D276E}"/>
    <cellStyle name="Monétaire 2 4" xfId="240" xr:uid="{63D81B69-CFAB-47C5-9C73-541338BD9F03}"/>
    <cellStyle name="Monétaire 2 5" xfId="257" xr:uid="{EB5F74B5-EE68-4A77-A32E-BE51002AE5C4}"/>
    <cellStyle name="Monétaire 3" xfId="183" xr:uid="{62CCDDA8-B921-44CF-BAFE-212D75707980}"/>
    <cellStyle name="Monétaire 3 2" xfId="216" xr:uid="{E8DAA942-69B7-4767-9D48-0C420A536B41}"/>
    <cellStyle name="Monétaire 3 3" xfId="242" xr:uid="{95F309A7-0EE6-4808-8DDD-85969AE96E6B}"/>
    <cellStyle name="Monétaire 4" xfId="213" xr:uid="{C1C967CC-5A57-4CCC-97A7-48D31A7E69AD}"/>
    <cellStyle name="Monétaire 5" xfId="239" xr:uid="{4EA8FE0A-0636-48B7-A283-1121D2E215E5}"/>
    <cellStyle name="Normal" xfId="0" builtinId="0"/>
    <cellStyle name="Normal 10" xfId="63" xr:uid="{34BFCBAE-78C5-4A2D-9E0B-90E9B2563701}"/>
    <cellStyle name="Normal 10 2" xfId="112" xr:uid="{0F94B64C-F186-48B1-B697-727B786FE0DB}"/>
    <cellStyle name="Normal 11" xfId="64" xr:uid="{75CB939B-30E1-4C76-BB6D-069EE36BAC9C}"/>
    <cellStyle name="Normal 11 2" xfId="113" xr:uid="{BF8B27A2-BEE0-4AC3-8C9E-072F2659A833}"/>
    <cellStyle name="Normal 11 3" xfId="185" xr:uid="{82A2C09E-6A27-42F6-87C4-5BE34BBE6B00}"/>
    <cellStyle name="Normal 12" xfId="69" xr:uid="{19062B5C-5021-4E7A-8AD2-689D9C887270}"/>
    <cellStyle name="Normal 13" xfId="76" xr:uid="{C004CCD6-8C19-44F9-AF5F-B807D0C7C54F}"/>
    <cellStyle name="Normal 13 2" xfId="120" xr:uid="{5869DA39-CEC3-4664-8AC1-C9B02F2F00F6}"/>
    <cellStyle name="Normal 14" xfId="77" xr:uid="{DC3EEB4A-72F6-4D6A-AED0-038E3D077DD0}"/>
    <cellStyle name="Normal 14 2" xfId="121" xr:uid="{7A10130B-D15E-4532-980A-6A6470F9519F}"/>
    <cellStyle name="Normal 15" xfId="166" xr:uid="{FCE947E6-058B-4C38-8C6B-672CB0CEFDB0}"/>
    <cellStyle name="Normal 16" xfId="23" xr:uid="{D2BC752E-EB00-473C-8C4D-33ADE3855E73}"/>
    <cellStyle name="Normal 2" xfId="1" xr:uid="{00000000-0005-0000-0000-000007000000}"/>
    <cellStyle name="Normal 2 2" xfId="11" xr:uid="{98362CB6-0439-4E6D-A4C4-DB5E011B36C9}"/>
    <cellStyle name="Normal 2 2 2" xfId="12" xr:uid="{DC53511D-D37D-4DEA-9F32-7406170CA882}"/>
    <cellStyle name="Normal 2 2 2 2" xfId="84" xr:uid="{94BCCC9B-00BA-4124-BAFD-36B990AC4AE2}"/>
    <cellStyle name="Normal 2 2 2 3" xfId="128" xr:uid="{B7E10959-CD95-4E57-8E8E-85350E663C5F}"/>
    <cellStyle name="Normal 2 2 2 4" xfId="170" xr:uid="{3433F0CC-4D67-4B96-B463-8FDDA0D55D0C}"/>
    <cellStyle name="Normal 2 2 2 5" xfId="32" xr:uid="{A9A2339D-8EEF-4D1F-9EBB-35BCC443FD2E}"/>
    <cellStyle name="Normal 2 2 3" xfId="66" xr:uid="{D7D38D87-CCAA-4551-976D-72C1F8BCB0F5}"/>
    <cellStyle name="Normal 2 2 3 2" xfId="114" xr:uid="{8EAE78E7-784D-4B32-AE55-5E1C4E331DD9}"/>
    <cellStyle name="Normal 2 2 3 3" xfId="155" xr:uid="{04A19CE6-A124-44C6-9BE9-49FD03FCD72A}"/>
    <cellStyle name="Normal 2 2 4" xfId="71" xr:uid="{1604ADE5-1E4D-4541-9966-12792B2F71C5}"/>
    <cellStyle name="Normal 2 2 4 2" xfId="78" xr:uid="{4CAAFCE7-F725-499E-B13B-3E666D79A46C}"/>
    <cellStyle name="Normal 2 2 4 2 2" xfId="79" xr:uid="{D28E58C4-96EF-4F62-85F7-BC0A739C11FB}"/>
    <cellStyle name="Normal 2 2 4 2 2 2" xfId="123" xr:uid="{DFB30C5B-0EC4-4FED-9EE5-A4FF18E0D277}"/>
    <cellStyle name="Normal 2 2 4 2 2 3" xfId="164" xr:uid="{30597047-46CF-4A62-A278-4358331F2CBF}"/>
    <cellStyle name="Normal 2 2 4 2 3" xfId="122" xr:uid="{1CA2C182-05E6-45D8-B414-7B2B285665D1}"/>
    <cellStyle name="Normal 2 2 4 2 4" xfId="163" xr:uid="{99189CC9-DB49-4247-8439-6E1A006A3145}"/>
    <cellStyle name="Normal 2 2 4 3" xfId="117" xr:uid="{95A79FD1-AB6C-4ABD-A483-3F65E8659A23}"/>
    <cellStyle name="Normal 2 2 4 4" xfId="158" xr:uid="{4CF17D9E-41E0-4371-B842-B82D315D3A80}"/>
    <cellStyle name="Normal 2 2 4 5" xfId="187" xr:uid="{1187EC73-94F3-4709-8EEA-CC1ACA7D1DEF}"/>
    <cellStyle name="Normal 2 2 5" xfId="80" xr:uid="{4E2D543B-DB4B-4E51-BADE-8757E55A7BE7}"/>
    <cellStyle name="Normal 2 2 6" xfId="124" xr:uid="{35D33331-48E1-4405-BE20-FF7593D4E1D0}"/>
    <cellStyle name="Normal 2 2 7" xfId="186" xr:uid="{6E28A784-1B0E-4301-8E7E-4CC583C601EB}"/>
    <cellStyle name="Normal 2 2 8" xfId="24" xr:uid="{41F1FA18-4CDD-43F7-852D-5657E170AD5A}"/>
    <cellStyle name="Normal 2 3" xfId="15" xr:uid="{1C4609DE-4121-4E69-85DC-11FB84644997}"/>
    <cellStyle name="Normal 2 3 2" xfId="42" xr:uid="{AB01E4F6-E7CE-462C-BECE-EFF0519E3957}"/>
    <cellStyle name="Normal 2 4" xfId="73" xr:uid="{BB4CF0BE-02E9-4FCA-AE76-3ED3889C257C}"/>
    <cellStyle name="Normal 2 5" xfId="22" xr:uid="{4EA7AD00-8BE9-48C7-8AD4-52AEC4D6AF4B}"/>
    <cellStyle name="Normal 3" xfId="9" xr:uid="{47710F42-3ABB-4C23-AC94-48F3F9856C25}"/>
    <cellStyle name="Normal 3 2" xfId="16" xr:uid="{DC2F244A-8B9E-4A28-89F0-F164BA8D299F}"/>
    <cellStyle name="Normal 3 2 2" xfId="43" xr:uid="{0A435121-7E11-4465-9261-118607EB895C}"/>
    <cellStyle name="Normal 3 3" xfId="189" xr:uid="{ED42DEF4-6C76-4027-9027-FD3DEC1A3FE9}"/>
    <cellStyle name="Normal 3 4" xfId="28" xr:uid="{264C4E2E-2634-4E88-93E2-D3ABC64E9C41}"/>
    <cellStyle name="Normal 4" xfId="30" xr:uid="{7DE2B9F4-4A04-4882-9991-86A20534CEBD}"/>
    <cellStyle name="Normal 4 2" xfId="74" xr:uid="{79C49820-5CE0-44A7-ACA9-A15427FCEFE8}"/>
    <cellStyle name="Normal 4 3" xfId="190" xr:uid="{8AD65002-0CE1-44F0-AED7-FA653A09C7DB}"/>
    <cellStyle name="Normal 5" xfId="37" xr:uid="{314B8E2D-77D4-4400-8F22-42AE93BEA604}"/>
    <cellStyle name="Normal 6" xfId="38" xr:uid="{1D7648A7-5029-4B7E-9D33-E9AC2145859A}"/>
    <cellStyle name="Normal 6 2" xfId="88" xr:uid="{705DEA24-EC10-4851-B762-0ACEDF0A1AD5}"/>
    <cellStyle name="Normal 6 3" xfId="132" xr:uid="{220FDA54-6CF5-452B-A568-909C644D3316}"/>
    <cellStyle name="Normal 7" xfId="58" xr:uid="{7EF73188-5FFA-4DDF-BDE0-34D04A26F5BF}"/>
    <cellStyle name="Normal 7 2" xfId="107" xr:uid="{A4837104-A531-43A0-B826-6A18FCA869D4}"/>
    <cellStyle name="Normal 8" xfId="60" xr:uid="{44C6C56F-1DB1-4EFD-95D8-A4BF7AB21737}"/>
    <cellStyle name="Normal 8 2" xfId="109" xr:uid="{E2D930FC-AB99-4C77-AF4D-ED70D7239CCA}"/>
    <cellStyle name="Normal 8 3" xfId="258" xr:uid="{AAB02DC6-BD3F-4DB7-8CD3-3C00EFBCDA45}"/>
    <cellStyle name="Normal 9" xfId="61" xr:uid="{4A62A1B5-476B-4D4E-BDD6-C7B17A7EBBE7}"/>
    <cellStyle name="Normal 9 2" xfId="110" xr:uid="{77BC22ED-C7ED-4B91-BFC0-0B76713F1A9D}"/>
    <cellStyle name="Normal 9 3" xfId="153" xr:uid="{94A811A7-FE00-4E52-9F00-1A81411CDE73}"/>
    <cellStyle name="Normal_FCCOVER" xfId="10" xr:uid="{291C2136-47F9-4FDD-83CB-35C5C99593E5}"/>
    <cellStyle name="Percent 2" xfId="27" xr:uid="{64E37823-0A05-4882-907A-1E1FD8E59E7B}"/>
    <cellStyle name="Percent 2 2" xfId="26" xr:uid="{DE55C4AD-E21F-4534-BD26-27A78D893B19}"/>
    <cellStyle name="Percent 2 2 2" xfId="34" xr:uid="{41354AA5-9ADA-4961-8D8D-4B2415B62396}"/>
    <cellStyle name="Percent 2 2 2 2" xfId="86" xr:uid="{4E07C8EB-F3F8-4678-A4D6-BB55F9DE0809}"/>
    <cellStyle name="Percent 2 2 2 3" xfId="130" xr:uid="{80DAB3CC-01BD-418E-8725-CC4BA8525AAC}"/>
    <cellStyle name="Percent 2 2 3" xfId="68" xr:uid="{C799E442-B04E-43CC-A15B-4DEA2BB5255B}"/>
    <cellStyle name="Percent 2 2 3 2" xfId="116" xr:uid="{7C9449A3-81AC-4F3B-9021-8FAF001F99DA}"/>
    <cellStyle name="Percent 2 2 3 3" xfId="157" xr:uid="{625FE895-92FA-4BEF-BFBC-CA1969E9CA41}"/>
    <cellStyle name="Percent 2 2 4" xfId="82" xr:uid="{38D9B963-F9D4-445C-A461-186A6549A619}"/>
    <cellStyle name="Percent 2 2 5" xfId="126" xr:uid="{D6400196-01AF-4594-9119-184C7DD53FF7}"/>
    <cellStyle name="Percent 3" xfId="70" xr:uid="{D448A9D2-325D-427F-9045-03E351190FBD}"/>
    <cellStyle name="Pourcentage" xfId="18" builtinId="5"/>
    <cellStyle name="Pourcentage 2" xfId="4" xr:uid="{00000000-0005-0000-0000-000008000000}"/>
    <cellStyle name="Pourcentage 2 2" xfId="90" xr:uid="{142DF5BA-FD54-484A-8078-C8FD176BE32A}"/>
    <cellStyle name="Pourcentage 2 3" xfId="134" xr:uid="{4C7F2812-7A7E-489B-83DF-88FC71FC0A05}"/>
    <cellStyle name="Pourcentage 2 4" xfId="40" xr:uid="{9F32C4A4-8A53-4A94-A2C1-0BBD43045C18}"/>
    <cellStyle name="Pourcentage 3" xfId="13" xr:uid="{059D9880-D3ED-472A-A77B-FDAED66037E9}"/>
    <cellStyle name="Pourcentage 3 2" xfId="65" xr:uid="{BCD2E5FB-250F-4570-A6F4-2EC63A30E6F2}"/>
    <cellStyle name="Pourcentage 4" xfId="36" xr:uid="{F21635DA-5E4B-4409-AD5F-A428958AD890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2" defaultTableStyle="TableStyleMedium2" defaultPivotStyle="PivotStyleLight16">
    <tableStyle name="free" pivot="0" count="1" xr9:uid="{00000000-0011-0000-FFFF-FFFF00000000}">
      <tableStyleElement type="wholeTable" dxfId="1"/>
    </tableStyle>
    <tableStyle name="Style de tableau 1" pivot="0" count="1" xr9:uid="{00000000-0011-0000-FFFF-FFFF01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0589-DCCC-45E5-ADC1-0F11C90AEE83}">
  <sheetPr>
    <tabColor rgb="FF00B050"/>
  </sheetPr>
  <dimension ref="A1:K22"/>
  <sheetViews>
    <sheetView view="pageBreakPreview" zoomScaleNormal="100" zoomScaleSheetLayoutView="100" workbookViewId="0">
      <selection activeCell="B14" sqref="B14"/>
    </sheetView>
  </sheetViews>
  <sheetFormatPr baseColWidth="10" defaultColWidth="11.44140625" defaultRowHeight="11.4"/>
  <cols>
    <col min="1" max="1" width="11.44140625" style="65"/>
    <col min="2" max="2" width="10.77734375" style="65" customWidth="1"/>
    <col min="3" max="4" width="11.44140625" style="65"/>
    <col min="5" max="5" width="55.77734375" style="65" customWidth="1"/>
    <col min="6" max="6" width="16.77734375" style="65" customWidth="1"/>
    <col min="7" max="7" width="32.77734375" style="65" customWidth="1"/>
    <col min="8" max="16384" width="11.44140625" style="65"/>
  </cols>
  <sheetData>
    <row r="1" spans="1:11" ht="14.4">
      <c r="B1" s="114"/>
      <c r="C1" s="323" t="s">
        <v>95</v>
      </c>
      <c r="D1" s="323"/>
      <c r="E1" s="323"/>
      <c r="F1" s="323"/>
      <c r="G1" s="323"/>
    </row>
    <row r="2" spans="1:11" ht="14.4">
      <c r="B2" s="114"/>
      <c r="C2" s="115"/>
      <c r="D2" s="115"/>
      <c r="E2" s="115"/>
      <c r="F2" s="115"/>
      <c r="G2" s="115"/>
    </row>
    <row r="3" spans="1:11" s="67" customFormat="1" ht="14.4">
      <c r="B3" s="116"/>
      <c r="C3" s="119"/>
      <c r="D3" s="117"/>
      <c r="E3" s="118"/>
      <c r="F3" s="118"/>
      <c r="G3" s="118"/>
      <c r="H3" s="66"/>
      <c r="I3" s="66"/>
      <c r="J3" s="66"/>
      <c r="K3" s="66"/>
    </row>
    <row r="4" spans="1:11" ht="15" thickBot="1">
      <c r="B4" s="114"/>
      <c r="C4" s="120"/>
      <c r="D4" s="120"/>
      <c r="E4" s="120"/>
      <c r="F4" s="120"/>
      <c r="G4" s="120"/>
      <c r="H4" s="68"/>
      <c r="I4" s="68"/>
      <c r="J4" s="68"/>
      <c r="K4" s="68"/>
    </row>
    <row r="5" spans="1:11" s="69" customFormat="1" ht="29.4" thickBot="1">
      <c r="A5" s="267" t="s">
        <v>237</v>
      </c>
      <c r="B5" s="267" t="s">
        <v>216</v>
      </c>
      <c r="C5" s="319" t="s">
        <v>188</v>
      </c>
      <c r="D5" s="320"/>
      <c r="E5" s="320"/>
      <c r="F5" s="121" t="s">
        <v>96</v>
      </c>
      <c r="G5" s="122" t="s">
        <v>97</v>
      </c>
    </row>
    <row r="6" spans="1:11" s="70" customFormat="1" ht="15" thickBot="1">
      <c r="A6" s="296" t="s">
        <v>471</v>
      </c>
      <c r="B6" s="267">
        <v>1</v>
      </c>
      <c r="C6" s="321" t="s">
        <v>315</v>
      </c>
      <c r="D6" s="322"/>
      <c r="E6" s="322"/>
      <c r="F6" s="322"/>
      <c r="G6" s="322"/>
    </row>
    <row r="7" spans="1:11" ht="15" thickBot="1">
      <c r="A7" s="295" t="s">
        <v>472</v>
      </c>
      <c r="B7" s="268" t="s">
        <v>218</v>
      </c>
      <c r="C7" s="311" t="s">
        <v>316</v>
      </c>
      <c r="D7" s="312"/>
      <c r="E7" s="312"/>
      <c r="F7" s="123">
        <v>6.5000000000000002E-2</v>
      </c>
      <c r="G7" s="123" t="e">
        <f>+PRUD_01!G10</f>
        <v>#VALUE!</v>
      </c>
    </row>
    <row r="8" spans="1:11" ht="15" thickBot="1">
      <c r="A8" s="295" t="s">
        <v>473</v>
      </c>
      <c r="B8" s="268" t="s">
        <v>219</v>
      </c>
      <c r="C8" s="311" t="s">
        <v>317</v>
      </c>
      <c r="D8" s="312"/>
      <c r="E8" s="312"/>
      <c r="F8" s="123">
        <v>0.08</v>
      </c>
      <c r="G8" s="123" t="e">
        <f>PRUD_01!G11</f>
        <v>#VALUE!</v>
      </c>
    </row>
    <row r="9" spans="1:11" ht="15" thickBot="1">
      <c r="A9" s="295" t="s">
        <v>474</v>
      </c>
      <c r="B9" s="268" t="s">
        <v>293</v>
      </c>
      <c r="C9" s="311" t="s">
        <v>318</v>
      </c>
      <c r="D9" s="312"/>
      <c r="E9" s="312"/>
      <c r="F9" s="123">
        <v>0.15</v>
      </c>
      <c r="G9" s="123" t="e">
        <f>PRUD_01!G12</f>
        <v>#VALUE!</v>
      </c>
    </row>
    <row r="10" spans="1:11" ht="15" thickBot="1">
      <c r="A10" s="295" t="s">
        <v>475</v>
      </c>
      <c r="B10" s="268" t="s">
        <v>295</v>
      </c>
      <c r="C10" s="311" t="s">
        <v>319</v>
      </c>
      <c r="D10" s="312"/>
      <c r="E10" s="312"/>
      <c r="F10" s="123">
        <v>0.15</v>
      </c>
      <c r="G10" s="123" t="e">
        <f>PRUD_01!G13</f>
        <v>#VALUE!</v>
      </c>
    </row>
    <row r="11" spans="1:11" ht="18.75" customHeight="1" thickBot="1">
      <c r="A11" s="296" t="s">
        <v>471</v>
      </c>
      <c r="B11" s="269">
        <v>2</v>
      </c>
      <c r="C11" s="313" t="s">
        <v>320</v>
      </c>
      <c r="D11" s="314"/>
      <c r="E11" s="314"/>
      <c r="F11" s="314"/>
      <c r="G11" s="314"/>
    </row>
    <row r="12" spans="1:11" ht="15" thickBot="1">
      <c r="A12" s="295" t="s">
        <v>476</v>
      </c>
      <c r="B12" s="268" t="s">
        <v>299</v>
      </c>
      <c r="C12" s="315" t="s">
        <v>321</v>
      </c>
      <c r="D12" s="316"/>
      <c r="E12" s="316"/>
      <c r="F12" s="124">
        <v>0.2</v>
      </c>
      <c r="G12" s="124">
        <f>PRUD_02!V26</f>
        <v>0</v>
      </c>
    </row>
    <row r="13" spans="1:11" ht="21.75" customHeight="1" thickBot="1">
      <c r="A13" s="295" t="s">
        <v>477</v>
      </c>
      <c r="B13" s="268" t="s">
        <v>220</v>
      </c>
      <c r="C13" s="317" t="s">
        <v>322</v>
      </c>
      <c r="D13" s="318"/>
      <c r="E13" s="318"/>
      <c r="F13" s="123">
        <v>1</v>
      </c>
      <c r="G13" s="123" t="e">
        <f>PRUD_03!AF32</f>
        <v>#DIV/0!</v>
      </c>
    </row>
    <row r="14" spans="1:11" ht="19.05" customHeight="1" thickBot="1">
      <c r="A14" s="296" t="s">
        <v>471</v>
      </c>
      <c r="B14" s="269">
        <v>3</v>
      </c>
      <c r="C14" s="313" t="s">
        <v>323</v>
      </c>
      <c r="D14" s="314"/>
      <c r="E14" s="314"/>
      <c r="F14" s="314"/>
      <c r="G14" s="314"/>
    </row>
    <row r="15" spans="1:11" ht="26.55" customHeight="1" thickBot="1">
      <c r="A15" s="295" t="s">
        <v>478</v>
      </c>
      <c r="B15" s="268" t="s">
        <v>223</v>
      </c>
      <c r="C15" s="231" t="s">
        <v>324</v>
      </c>
      <c r="D15" s="231"/>
      <c r="E15" s="232"/>
      <c r="F15" s="123">
        <v>0.1</v>
      </c>
      <c r="G15" s="125" t="s">
        <v>442</v>
      </c>
    </row>
    <row r="16" spans="1:11" ht="16.95" customHeight="1" thickBot="1">
      <c r="A16" s="295" t="s">
        <v>479</v>
      </c>
      <c r="B16" s="268" t="s">
        <v>224</v>
      </c>
      <c r="C16" s="317" t="s">
        <v>325</v>
      </c>
      <c r="D16" s="318"/>
      <c r="E16" s="318"/>
      <c r="F16" s="123">
        <v>0.1</v>
      </c>
      <c r="G16" s="123" t="e">
        <f>PRUD_05!W20</f>
        <v>#VALUE!</v>
      </c>
    </row>
    <row r="17" spans="1:7" ht="15" thickBot="1">
      <c r="A17" s="295" t="s">
        <v>480</v>
      </c>
      <c r="B17" s="268" t="s">
        <v>259</v>
      </c>
      <c r="C17" s="311" t="s">
        <v>326</v>
      </c>
      <c r="D17" s="312"/>
      <c r="E17" s="312"/>
      <c r="F17" s="123">
        <v>0.05</v>
      </c>
      <c r="G17" s="123" t="e">
        <f>PRUD_06!Z11</f>
        <v>#VALUE!</v>
      </c>
    </row>
    <row r="18" spans="1:7" ht="15" thickBot="1">
      <c r="A18" s="295" t="s">
        <v>481</v>
      </c>
      <c r="B18" s="268" t="s">
        <v>313</v>
      </c>
      <c r="C18" s="311" t="s">
        <v>327</v>
      </c>
      <c r="D18" s="312"/>
      <c r="E18" s="312"/>
      <c r="F18" s="123">
        <v>0.25</v>
      </c>
      <c r="G18" s="123" t="e">
        <f>PRUD_06!Z15</f>
        <v>#VALUE!</v>
      </c>
    </row>
    <row r="19" spans="1:7" ht="15" thickBot="1">
      <c r="A19" s="296" t="s">
        <v>482</v>
      </c>
      <c r="B19" s="268" t="s">
        <v>314</v>
      </c>
      <c r="C19" s="311" t="s">
        <v>328</v>
      </c>
      <c r="D19" s="312"/>
      <c r="E19" s="312"/>
      <c r="F19" s="123">
        <v>0.5</v>
      </c>
      <c r="G19" s="126" t="e">
        <f>PRUD_06!Z20</f>
        <v>#VALUE!</v>
      </c>
    </row>
    <row r="20" spans="1:7" ht="15" thickBot="1">
      <c r="A20" s="296" t="s">
        <v>471</v>
      </c>
      <c r="B20" s="269">
        <v>4</v>
      </c>
      <c r="C20" s="313" t="s">
        <v>79</v>
      </c>
      <c r="D20" s="314"/>
      <c r="E20" s="314"/>
      <c r="F20" s="314"/>
      <c r="G20" s="314"/>
    </row>
    <row r="21" spans="1:7" ht="15" thickBot="1">
      <c r="A21" s="296" t="s">
        <v>483</v>
      </c>
      <c r="B21" s="268" t="s">
        <v>225</v>
      </c>
      <c r="C21" s="311" t="s">
        <v>329</v>
      </c>
      <c r="D21" s="312"/>
      <c r="E21" s="312"/>
      <c r="F21" s="123">
        <v>0.15</v>
      </c>
      <c r="G21" s="123" t="e">
        <f>PRUD_06!Z30</f>
        <v>#VALUE!</v>
      </c>
    </row>
    <row r="22" spans="1:7" ht="15" thickBot="1">
      <c r="A22" s="296" t="s">
        <v>484</v>
      </c>
      <c r="B22" s="270" t="s">
        <v>264</v>
      </c>
      <c r="C22" s="311" t="s">
        <v>330</v>
      </c>
      <c r="D22" s="312"/>
      <c r="E22" s="312"/>
      <c r="F22" s="123">
        <v>0.05</v>
      </c>
      <c r="G22" s="123" t="e">
        <f>PRUD_06!Z36</f>
        <v>#VALUE!</v>
      </c>
    </row>
  </sheetData>
  <mergeCells count="18">
    <mergeCell ref="C8:E8"/>
    <mergeCell ref="C5:E5"/>
    <mergeCell ref="C6:G6"/>
    <mergeCell ref="C7:E7"/>
    <mergeCell ref="C1:G1"/>
    <mergeCell ref="C17:E17"/>
    <mergeCell ref="C9:E9"/>
    <mergeCell ref="C11:G11"/>
    <mergeCell ref="C12:E12"/>
    <mergeCell ref="C13:E13"/>
    <mergeCell ref="C14:G14"/>
    <mergeCell ref="C16:E16"/>
    <mergeCell ref="C10:E10"/>
    <mergeCell ref="C18:E18"/>
    <mergeCell ref="C19:E19"/>
    <mergeCell ref="C20:G20"/>
    <mergeCell ref="C21:E21"/>
    <mergeCell ref="C22:E22"/>
  </mergeCells>
  <pageMargins left="0.7" right="0.7" top="0.75" bottom="0.75" header="0.3" footer="0.3"/>
  <pageSetup paperSize="9" scale="80" orientation="landscape" verticalDpi="300" r:id="rId1"/>
  <headerFooter>
    <oddHeader>&amp;L&amp;"Calibri"&amp;10&amp;K000000PUBLIC&amp;1#</oddHeader>
    <oddFooter>&amp;L&amp;1#&amp;"Calibri"&amp;10&amp;K000000PUBLIC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3CD4-9739-4F77-B83C-994F8B0AF0A4}">
  <sheetPr>
    <tabColor rgb="FF00B0F0"/>
  </sheetPr>
  <dimension ref="A1:M19"/>
  <sheetViews>
    <sheetView view="pageBreakPreview" zoomScaleNormal="76" zoomScaleSheetLayoutView="100" workbookViewId="0">
      <selection activeCell="C19" sqref="C19"/>
    </sheetView>
  </sheetViews>
  <sheetFormatPr baseColWidth="10" defaultColWidth="11.44140625" defaultRowHeight="15"/>
  <cols>
    <col min="1" max="1" width="9.21875" style="20" customWidth="1"/>
    <col min="2" max="2" width="7.77734375" style="28" customWidth="1"/>
    <col min="3" max="3" width="120.21875" style="29" customWidth="1"/>
    <col min="4" max="4" width="18.77734375" style="20" customWidth="1"/>
    <col min="5" max="16384" width="11.44140625" style="20"/>
  </cols>
  <sheetData>
    <row r="1" spans="1:13" ht="29.25" customHeight="1">
      <c r="A1" s="127"/>
      <c r="B1" s="324" t="s">
        <v>241</v>
      </c>
      <c r="C1" s="324"/>
      <c r="D1" s="129"/>
    </row>
    <row r="2" spans="1:13" ht="31.95" customHeight="1">
      <c r="A2" s="127"/>
      <c r="B2" s="130"/>
      <c r="C2" s="131"/>
      <c r="D2" s="132"/>
    </row>
    <row r="3" spans="1:13" s="21" customFormat="1" ht="9" customHeight="1">
      <c r="A3" s="133"/>
      <c r="B3" s="134"/>
      <c r="C3" s="135"/>
      <c r="D3" s="117"/>
      <c r="F3" s="22"/>
      <c r="G3" s="22"/>
      <c r="H3" s="22"/>
      <c r="I3" s="22"/>
      <c r="J3" s="22"/>
      <c r="K3" s="22"/>
      <c r="L3" s="22"/>
      <c r="M3" s="22"/>
    </row>
    <row r="4" spans="1:13" s="21" customFormat="1" ht="16.5" customHeight="1">
      <c r="A4" s="133"/>
      <c r="B4" s="136"/>
      <c r="C4" s="137"/>
      <c r="D4" s="117"/>
    </row>
    <row r="5" spans="1:13" s="21" customFormat="1" ht="15.6" thickBot="1">
      <c r="A5" s="133"/>
      <c r="B5" s="136"/>
      <c r="C5" s="138"/>
      <c r="D5" s="117"/>
    </row>
    <row r="6" spans="1:13" s="23" customFormat="1" ht="23.1" customHeight="1" thickBot="1">
      <c r="A6" s="255" t="s">
        <v>237</v>
      </c>
      <c r="B6" s="261" t="s">
        <v>216</v>
      </c>
      <c r="C6" s="140" t="s">
        <v>35</v>
      </c>
      <c r="D6" s="141" t="s">
        <v>50</v>
      </c>
    </row>
    <row r="7" spans="1:13" s="27" customFormat="1" ht="15.6" thickBot="1">
      <c r="A7" s="296" t="s">
        <v>517</v>
      </c>
      <c r="B7" s="262">
        <v>1</v>
      </c>
      <c r="C7" s="258" t="s">
        <v>122</v>
      </c>
      <c r="D7" s="158" t="s">
        <v>240</v>
      </c>
    </row>
    <row r="8" spans="1:13" s="26" customFormat="1" ht="16.2" thickBot="1">
      <c r="A8" s="256"/>
      <c r="B8" s="263"/>
      <c r="C8" s="166"/>
      <c r="D8" s="168"/>
    </row>
    <row r="9" spans="1:13" ht="15.6" thickBot="1">
      <c r="A9" s="296" t="s">
        <v>518</v>
      </c>
      <c r="B9" s="262">
        <v>2</v>
      </c>
      <c r="C9" s="258" t="s">
        <v>305</v>
      </c>
      <c r="D9" s="179"/>
    </row>
    <row r="10" spans="1:13" s="26" customFormat="1" ht="16.2" thickBot="1">
      <c r="A10" s="256"/>
      <c r="B10" s="264"/>
      <c r="C10" s="148" t="s">
        <v>190</v>
      </c>
      <c r="D10" s="159"/>
    </row>
    <row r="11" spans="1:13" ht="25.05" customHeight="1" thickBot="1">
      <c r="A11" s="295" t="s">
        <v>519</v>
      </c>
      <c r="B11" s="287" t="s">
        <v>299</v>
      </c>
      <c r="C11" s="259" t="s">
        <v>307</v>
      </c>
      <c r="D11" s="181" t="s">
        <v>245</v>
      </c>
    </row>
    <row r="12" spans="1:13" ht="24.75" customHeight="1" thickBot="1">
      <c r="A12" s="295" t="s">
        <v>520</v>
      </c>
      <c r="B12" s="287" t="s">
        <v>220</v>
      </c>
      <c r="C12" s="151" t="s">
        <v>311</v>
      </c>
      <c r="D12" s="181" t="s">
        <v>440</v>
      </c>
    </row>
    <row r="13" spans="1:13" ht="15.6" thickBot="1">
      <c r="A13" s="295" t="s">
        <v>521</v>
      </c>
      <c r="B13" s="287" t="s">
        <v>221</v>
      </c>
      <c r="C13" s="259" t="s">
        <v>308</v>
      </c>
      <c r="D13" s="180" t="s">
        <v>439</v>
      </c>
    </row>
    <row r="14" spans="1:13" ht="15.6" thickBot="1">
      <c r="A14" s="295" t="s">
        <v>522</v>
      </c>
      <c r="B14" s="287" t="s">
        <v>222</v>
      </c>
      <c r="C14" s="259" t="s">
        <v>309</v>
      </c>
      <c r="D14" s="181" t="s">
        <v>441</v>
      </c>
    </row>
    <row r="15" spans="1:13" ht="15.6" thickBot="1">
      <c r="A15" s="295" t="s">
        <v>523</v>
      </c>
      <c r="B15" s="287" t="s">
        <v>306</v>
      </c>
      <c r="C15" s="259" t="s">
        <v>310</v>
      </c>
      <c r="D15" s="181" t="s">
        <v>272</v>
      </c>
    </row>
    <row r="16" spans="1:13" ht="23.25" customHeight="1" thickBot="1">
      <c r="A16" s="296" t="s">
        <v>524</v>
      </c>
      <c r="B16" s="262">
        <v>3</v>
      </c>
      <c r="C16" s="260" t="s">
        <v>48</v>
      </c>
      <c r="D16" s="158">
        <f>SUM(D11:D12)</f>
        <v>0</v>
      </c>
    </row>
    <row r="17" spans="1:4" s="26" customFormat="1" ht="16.2" thickBot="1">
      <c r="A17" s="256"/>
      <c r="B17" s="265"/>
      <c r="C17" s="166"/>
      <c r="D17" s="168"/>
    </row>
    <row r="18" spans="1:4" s="26" customFormat="1" ht="16.2" thickBot="1">
      <c r="A18" s="296" t="s">
        <v>525</v>
      </c>
      <c r="B18" s="288">
        <v>4</v>
      </c>
      <c r="C18" s="260" t="s">
        <v>312</v>
      </c>
      <c r="D18" s="158" t="e">
        <f>D7-D16</f>
        <v>#VALUE!</v>
      </c>
    </row>
    <row r="19" spans="1:4" ht="28.2" customHeight="1" thickBot="1">
      <c r="A19" s="257"/>
      <c r="B19" s="266"/>
      <c r="C19" s="20" t="s">
        <v>271</v>
      </c>
    </row>
  </sheetData>
  <mergeCells count="1">
    <mergeCell ref="B1:C1"/>
  </mergeCells>
  <pageMargins left="0.70866141732283472" right="0.70866141732283472" top="0.74803149606299213" bottom="0.74803149606299213" header="0.31496062992125984" footer="0.31496062992125984"/>
  <pageSetup paperSize="9" scale="50" orientation="portrait" verticalDpi="300" r:id="rId1"/>
  <headerFooter>
    <oddHeader>&amp;L&amp;"Calibri"&amp;10&amp;K000000PUBLIC&amp;1#</oddHeader>
    <oddFooter>&amp;L&amp;1#&amp;"Calibri"&amp;10&amp;K000000PUBLIC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6D5C-C881-4D62-9A35-1C5B73173A2E}">
  <sheetPr>
    <tabColor rgb="FF00B0F0"/>
  </sheetPr>
  <dimension ref="A1:O48"/>
  <sheetViews>
    <sheetView view="pageBreakPreview" topLeftCell="A6" zoomScaleNormal="76" zoomScaleSheetLayoutView="100" workbookViewId="0">
      <selection activeCell="A46" sqref="A46"/>
    </sheetView>
  </sheetViews>
  <sheetFormatPr baseColWidth="10" defaultColWidth="11.44140625" defaultRowHeight="15"/>
  <cols>
    <col min="1" max="1" width="10.33203125" style="20" customWidth="1"/>
    <col min="2" max="2" width="8.88671875" style="28" customWidth="1"/>
    <col min="3" max="3" width="117" style="29" customWidth="1"/>
    <col min="4" max="4" width="13.6640625" style="29" customWidth="1"/>
    <col min="5" max="5" width="9.6640625" style="29" customWidth="1"/>
    <col min="6" max="6" width="13.109375" style="20" customWidth="1"/>
    <col min="7" max="16384" width="11.44140625" style="20"/>
  </cols>
  <sheetData>
    <row r="1" spans="1:15" ht="29.25" customHeight="1">
      <c r="A1" s="127"/>
      <c r="B1" s="324" t="s">
        <v>119</v>
      </c>
      <c r="C1" s="324"/>
      <c r="D1" s="324"/>
      <c r="E1" s="128"/>
      <c r="F1" s="129"/>
    </row>
    <row r="2" spans="1:15" ht="31.95" customHeight="1">
      <c r="A2" s="127"/>
      <c r="B2" s="130"/>
      <c r="C2" s="131"/>
      <c r="D2" s="131"/>
      <c r="E2" s="131"/>
      <c r="F2" s="132"/>
    </row>
    <row r="3" spans="1:15" s="21" customFormat="1" ht="9" customHeight="1">
      <c r="A3" s="133"/>
      <c r="B3" s="134"/>
      <c r="C3" s="135"/>
      <c r="D3" s="135"/>
      <c r="E3" s="135"/>
      <c r="F3" s="117"/>
      <c r="H3" s="22"/>
      <c r="I3" s="22"/>
      <c r="J3" s="22"/>
      <c r="K3" s="22"/>
      <c r="L3" s="22"/>
      <c r="M3" s="22"/>
      <c r="N3" s="22"/>
      <c r="O3" s="22"/>
    </row>
    <row r="4" spans="1:15" s="21" customFormat="1" ht="16.5" customHeight="1">
      <c r="A4" s="133"/>
      <c r="B4" s="136"/>
      <c r="C4" s="137" t="s">
        <v>239</v>
      </c>
      <c r="D4" s="138"/>
      <c r="E4" s="138"/>
      <c r="F4" s="117"/>
    </row>
    <row r="5" spans="1:15" s="21" customFormat="1">
      <c r="A5" s="133"/>
      <c r="B5" s="136"/>
      <c r="C5" s="138"/>
      <c r="D5" s="138"/>
      <c r="E5" s="138"/>
      <c r="F5" s="117"/>
    </row>
    <row r="6" spans="1:15" s="23" customFormat="1" ht="23.1" customHeight="1" thickBot="1">
      <c r="A6" s="139" t="s">
        <v>237</v>
      </c>
      <c r="B6" s="140" t="s">
        <v>114</v>
      </c>
      <c r="C6" s="141" t="s">
        <v>35</v>
      </c>
      <c r="D6" s="141" t="s">
        <v>8</v>
      </c>
      <c r="E6" s="141" t="s">
        <v>115</v>
      </c>
      <c r="F6" s="141" t="s">
        <v>50</v>
      </c>
    </row>
    <row r="7" spans="1:15" ht="19.05" customHeight="1" thickBot="1">
      <c r="A7" s="296" t="s">
        <v>485</v>
      </c>
      <c r="B7" s="143"/>
      <c r="C7" s="144" t="s">
        <v>116</v>
      </c>
      <c r="D7" s="145"/>
      <c r="E7" s="145"/>
      <c r="F7" s="146"/>
    </row>
    <row r="8" spans="1:15" ht="15.6" thickBot="1">
      <c r="A8" s="142"/>
      <c r="B8" s="147"/>
      <c r="C8" s="148" t="s">
        <v>41</v>
      </c>
      <c r="D8" s="149"/>
      <c r="E8" s="149"/>
      <c r="F8" s="149"/>
    </row>
    <row r="9" spans="1:15" s="24" customFormat="1" ht="15.6" thickBot="1">
      <c r="A9" s="295" t="s">
        <v>486</v>
      </c>
      <c r="B9" s="151">
        <v>572</v>
      </c>
      <c r="C9" s="152" t="s">
        <v>123</v>
      </c>
      <c r="D9" s="153"/>
      <c r="E9" s="153"/>
      <c r="F9" s="154"/>
    </row>
    <row r="10" spans="1:15" s="24" customFormat="1" ht="15.6" thickBot="1">
      <c r="A10" s="295" t="s">
        <v>487</v>
      </c>
      <c r="B10" s="151">
        <v>55</v>
      </c>
      <c r="C10" s="152" t="s">
        <v>120</v>
      </c>
      <c r="D10" s="153"/>
      <c r="E10" s="153"/>
      <c r="F10" s="154"/>
    </row>
    <row r="11" spans="1:15" s="24" customFormat="1" ht="15.6" thickBot="1">
      <c r="A11" s="295" t="s">
        <v>488</v>
      </c>
      <c r="B11" s="151">
        <v>54</v>
      </c>
      <c r="C11" s="152" t="s">
        <v>186</v>
      </c>
      <c r="D11" s="153"/>
      <c r="E11" s="153"/>
      <c r="F11" s="154"/>
    </row>
    <row r="12" spans="1:15" s="24" customFormat="1" ht="15.6" thickBot="1">
      <c r="A12" s="295" t="s">
        <v>489</v>
      </c>
      <c r="B12" s="151">
        <v>520</v>
      </c>
      <c r="C12" s="152" t="s">
        <v>187</v>
      </c>
      <c r="D12" s="153"/>
      <c r="E12" s="153"/>
      <c r="F12" s="154"/>
    </row>
    <row r="13" spans="1:15" s="24" customFormat="1" ht="15.6" thickBot="1">
      <c r="A13" s="295" t="s">
        <v>490</v>
      </c>
      <c r="B13" s="151">
        <v>592</v>
      </c>
      <c r="C13" s="152" t="s">
        <v>124</v>
      </c>
      <c r="D13" s="153"/>
      <c r="E13" s="155">
        <v>0.15</v>
      </c>
      <c r="F13" s="154">
        <f>+D13*E13</f>
        <v>0</v>
      </c>
    </row>
    <row r="14" spans="1:15" s="24" customFormat="1" ht="15.6" thickBot="1">
      <c r="A14" s="295" t="s">
        <v>491</v>
      </c>
      <c r="B14" s="151">
        <v>50</v>
      </c>
      <c r="C14" s="152" t="s">
        <v>125</v>
      </c>
      <c r="D14" s="153"/>
      <c r="E14" s="153"/>
      <c r="F14" s="154"/>
    </row>
    <row r="15" spans="1:15" s="24" customFormat="1" ht="15.6" thickBot="1">
      <c r="A15" s="295" t="s">
        <v>492</v>
      </c>
      <c r="B15" s="151">
        <v>56</v>
      </c>
      <c r="C15" s="152" t="s">
        <v>126</v>
      </c>
      <c r="D15" s="156"/>
      <c r="E15" s="156"/>
      <c r="F15" s="154"/>
    </row>
    <row r="16" spans="1:15" s="24" customFormat="1" ht="15.6" thickBot="1">
      <c r="A16" s="295" t="s">
        <v>493</v>
      </c>
      <c r="B16" s="151">
        <v>58</v>
      </c>
      <c r="C16" s="152" t="s">
        <v>127</v>
      </c>
      <c r="D16" s="156"/>
      <c r="E16" s="156"/>
      <c r="F16" s="154"/>
    </row>
    <row r="17" spans="1:6" s="24" customFormat="1" ht="15.6" thickBot="1">
      <c r="A17" s="296" t="s">
        <v>494</v>
      </c>
      <c r="B17" s="151"/>
      <c r="C17" s="157" t="s">
        <v>42</v>
      </c>
      <c r="D17" s="157"/>
      <c r="E17" s="157"/>
      <c r="F17" s="158">
        <f>SUM(F9:F14)</f>
        <v>0</v>
      </c>
    </row>
    <row r="18" spans="1:6" s="24" customFormat="1" ht="15.6" thickBot="1">
      <c r="A18" s="150"/>
      <c r="B18" s="148"/>
      <c r="C18" s="149" t="s">
        <v>43</v>
      </c>
      <c r="D18" s="149"/>
      <c r="E18" s="149"/>
      <c r="F18" s="159"/>
    </row>
    <row r="19" spans="1:6" s="24" customFormat="1" ht="23.55" customHeight="1" thickBot="1">
      <c r="A19" s="296" t="s">
        <v>495</v>
      </c>
      <c r="B19" s="151"/>
      <c r="C19" s="160" t="s">
        <v>129</v>
      </c>
      <c r="D19" s="153" t="s">
        <v>448</v>
      </c>
      <c r="E19" s="153"/>
      <c r="F19" s="154"/>
    </row>
    <row r="20" spans="1:6" s="24" customFormat="1" ht="15.6" thickBot="1">
      <c r="A20" s="295" t="s">
        <v>496</v>
      </c>
      <c r="B20" s="151">
        <v>521</v>
      </c>
      <c r="C20" s="152" t="s">
        <v>128</v>
      </c>
      <c r="D20" s="153"/>
      <c r="E20" s="153"/>
      <c r="F20" s="154"/>
    </row>
    <row r="21" spans="1:6" s="24" customFormat="1" ht="15.6" thickBot="1">
      <c r="A21" s="295" t="s">
        <v>497</v>
      </c>
      <c r="B21" s="151">
        <v>592</v>
      </c>
      <c r="C21" s="152" t="s">
        <v>185</v>
      </c>
      <c r="D21" s="153"/>
      <c r="E21" s="153"/>
      <c r="F21" s="154"/>
    </row>
    <row r="22" spans="1:6" s="24" customFormat="1" ht="15.6" thickBot="1">
      <c r="A22" s="296" t="s">
        <v>498</v>
      </c>
      <c r="B22" s="151">
        <v>591</v>
      </c>
      <c r="C22" s="161" t="s">
        <v>191</v>
      </c>
      <c r="D22" s="153"/>
      <c r="E22" s="153"/>
      <c r="F22" s="154"/>
    </row>
    <row r="23" spans="1:6" s="24" customFormat="1" ht="15.6" thickBot="1">
      <c r="A23" s="295" t="s">
        <v>499</v>
      </c>
      <c r="B23" s="151">
        <v>42</v>
      </c>
      <c r="C23" s="152" t="s">
        <v>130</v>
      </c>
      <c r="D23" s="153"/>
      <c r="E23" s="153"/>
      <c r="F23" s="154"/>
    </row>
    <row r="24" spans="1:6" s="24" customFormat="1" ht="18" customHeight="1" thickBot="1">
      <c r="A24" s="295" t="s">
        <v>500</v>
      </c>
      <c r="B24" s="151">
        <v>401</v>
      </c>
      <c r="C24" s="152" t="s">
        <v>131</v>
      </c>
      <c r="D24" s="153"/>
      <c r="E24" s="153"/>
      <c r="F24" s="154"/>
    </row>
    <row r="25" spans="1:6" s="24" customFormat="1" ht="15.6" thickBot="1">
      <c r="A25" s="296" t="s">
        <v>501</v>
      </c>
      <c r="B25" s="151"/>
      <c r="C25" s="160" t="s">
        <v>178</v>
      </c>
      <c r="D25" s="153" t="s">
        <v>449</v>
      </c>
      <c r="E25" s="153"/>
      <c r="F25" s="154"/>
    </row>
    <row r="26" spans="1:6" s="24" customFormat="1" ht="15.6" thickBot="1">
      <c r="A26" s="295" t="s">
        <v>502</v>
      </c>
      <c r="B26" s="162">
        <v>353</v>
      </c>
      <c r="C26" s="152" t="s">
        <v>177</v>
      </c>
      <c r="D26" s="163"/>
      <c r="E26" s="163"/>
      <c r="F26" s="154"/>
    </row>
    <row r="27" spans="1:6" s="25" customFormat="1" ht="16.2" thickBot="1">
      <c r="A27" s="296" t="s">
        <v>503</v>
      </c>
      <c r="B27" s="164"/>
      <c r="C27" s="165" t="s">
        <v>44</v>
      </c>
      <c r="D27" s="165"/>
      <c r="E27" s="165"/>
      <c r="F27" s="158">
        <f>SUM(F19:F25)</f>
        <v>0</v>
      </c>
    </row>
    <row r="28" spans="1:6" s="24" customFormat="1" ht="15.6" thickBot="1">
      <c r="A28" s="150"/>
      <c r="B28" s="166"/>
      <c r="C28" s="167"/>
      <c r="D28" s="167"/>
      <c r="E28" s="167"/>
      <c r="F28" s="168"/>
    </row>
    <row r="29" spans="1:6" s="25" customFormat="1" ht="16.2" thickBot="1">
      <c r="A29" s="296" t="s">
        <v>504</v>
      </c>
      <c r="B29" s="169"/>
      <c r="C29" s="170" t="s">
        <v>45</v>
      </c>
      <c r="D29" s="170"/>
      <c r="E29" s="170"/>
      <c r="F29" s="158">
        <f>+F17-F27</f>
        <v>0</v>
      </c>
    </row>
    <row r="30" spans="1:6" s="24" customFormat="1" ht="15.6" thickBot="1">
      <c r="A30" s="296" t="s">
        <v>505</v>
      </c>
      <c r="B30" s="151"/>
      <c r="C30" s="145" t="s">
        <v>117</v>
      </c>
      <c r="D30" s="145"/>
      <c r="E30" s="145"/>
      <c r="F30" s="171"/>
    </row>
    <row r="31" spans="1:6" s="24" customFormat="1" ht="15.6" thickBot="1">
      <c r="A31" s="150"/>
      <c r="B31" s="148"/>
      <c r="C31" s="149" t="s">
        <v>41</v>
      </c>
      <c r="D31" s="149"/>
      <c r="E31" s="149"/>
      <c r="F31" s="159"/>
    </row>
    <row r="32" spans="1:6" s="24" customFormat="1" ht="19.5" customHeight="1" thickBot="1">
      <c r="A32" s="296" t="s">
        <v>506</v>
      </c>
      <c r="B32" s="151"/>
      <c r="C32" s="157" t="s">
        <v>121</v>
      </c>
      <c r="D32" s="153"/>
      <c r="E32" s="153"/>
      <c r="F32" s="154">
        <f>+F33+F34+F35+F36</f>
        <v>0</v>
      </c>
    </row>
    <row r="33" spans="1:6" s="24" customFormat="1" ht="15.6" thickBot="1">
      <c r="A33" s="296" t="s">
        <v>507</v>
      </c>
      <c r="B33" s="151"/>
      <c r="C33" s="160" t="s">
        <v>53</v>
      </c>
      <c r="D33" s="153" t="s">
        <v>450</v>
      </c>
      <c r="E33" s="172"/>
      <c r="F33" s="154"/>
    </row>
    <row r="34" spans="1:6" s="24" customFormat="1" ht="15.6" thickBot="1">
      <c r="A34" s="295" t="s">
        <v>508</v>
      </c>
      <c r="B34" s="151">
        <v>342</v>
      </c>
      <c r="C34" s="152" t="s">
        <v>54</v>
      </c>
      <c r="D34" s="172"/>
      <c r="E34" s="172"/>
      <c r="F34" s="154"/>
    </row>
    <row r="35" spans="1:6" s="24" customFormat="1" ht="15.6" thickBot="1">
      <c r="A35" s="295" t="s">
        <v>509</v>
      </c>
      <c r="B35" s="151">
        <v>51</v>
      </c>
      <c r="C35" s="152" t="s">
        <v>55</v>
      </c>
      <c r="D35" s="172"/>
      <c r="E35" s="172"/>
      <c r="F35" s="154"/>
    </row>
    <row r="36" spans="1:6" s="24" customFormat="1" ht="15.6" thickBot="1">
      <c r="A36" s="295" t="s">
        <v>510</v>
      </c>
      <c r="B36" s="151">
        <v>53</v>
      </c>
      <c r="C36" s="152" t="s">
        <v>56</v>
      </c>
      <c r="D36" s="172"/>
      <c r="E36" s="172"/>
      <c r="F36" s="154"/>
    </row>
    <row r="37" spans="1:6" s="24" customFormat="1" ht="15.6" thickBot="1">
      <c r="A37" s="296" t="s">
        <v>511</v>
      </c>
      <c r="B37" s="151"/>
      <c r="C37" s="157" t="s">
        <v>51</v>
      </c>
      <c r="D37" s="153" t="s">
        <v>451</v>
      </c>
      <c r="E37" s="153"/>
      <c r="F37" s="154"/>
    </row>
    <row r="38" spans="1:6" s="25" customFormat="1" ht="16.2" thickBot="1">
      <c r="A38" s="296" t="s">
        <v>512</v>
      </c>
      <c r="B38" s="151"/>
      <c r="C38" s="170" t="s">
        <v>46</v>
      </c>
      <c r="D38" s="170"/>
      <c r="E38" s="170"/>
      <c r="F38" s="158">
        <f>F32+F37</f>
        <v>0</v>
      </c>
    </row>
    <row r="39" spans="1:6" ht="15.6" thickBot="1">
      <c r="A39" s="142"/>
      <c r="B39" s="148"/>
      <c r="C39" s="149" t="s">
        <v>43</v>
      </c>
      <c r="D39" s="149"/>
      <c r="E39" s="149"/>
      <c r="F39" s="159"/>
    </row>
    <row r="40" spans="1:6" ht="24" customHeight="1" thickBot="1">
      <c r="A40" s="295" t="s">
        <v>513</v>
      </c>
      <c r="B40" s="151">
        <v>403</v>
      </c>
      <c r="C40" s="173" t="s">
        <v>175</v>
      </c>
      <c r="D40" s="174"/>
      <c r="E40" s="174"/>
    </row>
    <row r="41" spans="1:6" ht="15.6" thickBot="1">
      <c r="A41" s="296" t="s">
        <v>514</v>
      </c>
      <c r="B41" s="151"/>
      <c r="C41" s="160" t="s">
        <v>199</v>
      </c>
      <c r="D41" s="153" t="s">
        <v>452</v>
      </c>
      <c r="E41" s="174"/>
      <c r="F41" s="154"/>
    </row>
    <row r="42" spans="1:6" s="26" customFormat="1" ht="16.2" thickBot="1">
      <c r="A42" s="296" t="s">
        <v>515</v>
      </c>
      <c r="B42" s="151"/>
      <c r="C42" s="176" t="s">
        <v>47</v>
      </c>
      <c r="D42" s="176"/>
      <c r="E42" s="176"/>
      <c r="F42" s="158">
        <f>SUM(F41:F41)</f>
        <v>0</v>
      </c>
    </row>
    <row r="43" spans="1:6" s="27" customFormat="1" ht="15.6" thickBot="1">
      <c r="A43" s="177"/>
      <c r="B43" s="166"/>
      <c r="C43" s="167"/>
      <c r="D43" s="167"/>
      <c r="E43" s="167"/>
      <c r="F43" s="168"/>
    </row>
    <row r="44" spans="1:6" s="27" customFormat="1" ht="15.6" thickBot="1">
      <c r="A44" s="296" t="s">
        <v>516</v>
      </c>
      <c r="B44" s="169"/>
      <c r="C44" s="170" t="s">
        <v>118</v>
      </c>
      <c r="D44" s="170"/>
      <c r="E44" s="170"/>
      <c r="F44" s="158">
        <f>+F38-F42</f>
        <v>0</v>
      </c>
    </row>
    <row r="45" spans="1:6" s="27" customFormat="1" ht="15.6" thickBot="1">
      <c r="A45" s="177"/>
      <c r="B45" s="166"/>
      <c r="C45" s="167"/>
      <c r="D45" s="167"/>
      <c r="E45" s="167"/>
      <c r="F45" s="168"/>
    </row>
    <row r="46" spans="1:6" s="27" customFormat="1" ht="15.6" thickBot="1">
      <c r="A46" s="296" t="s">
        <v>517</v>
      </c>
      <c r="B46" s="151"/>
      <c r="C46" s="170" t="s">
        <v>122</v>
      </c>
      <c r="D46" s="170"/>
      <c r="E46" s="170"/>
      <c r="F46" s="158">
        <f>+F44+F29</f>
        <v>0</v>
      </c>
    </row>
    <row r="47" spans="1:6" s="26" customFormat="1" ht="15.6">
      <c r="A47" s="175"/>
      <c r="B47" s="178"/>
      <c r="C47" s="167"/>
      <c r="D47" s="167"/>
      <c r="E47" s="167"/>
      <c r="F47" s="168"/>
    </row>
    <row r="48" spans="1:6" ht="28.2" customHeight="1">
      <c r="C48" s="20"/>
      <c r="D48" s="20"/>
      <c r="E48" s="20"/>
    </row>
  </sheetData>
  <mergeCells count="1">
    <mergeCell ref="B1:D1"/>
  </mergeCells>
  <pageMargins left="0.70866141732283472" right="0.70866141732283472" top="0.74803149606299213" bottom="0.74803149606299213" header="0.31496062992125984" footer="0.31496062992125984"/>
  <pageSetup paperSize="9" scale="50" orientation="portrait" verticalDpi="300" r:id="rId1"/>
  <headerFooter>
    <oddHeader>&amp;L&amp;"Calibri"&amp;10&amp;K000000PUBLIC&amp;1#</oddHeader>
    <oddFooter>&amp;L&amp;1#&amp;"Calibri"&amp;10&amp;K000000PUBLIC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6E68-5EEB-44E6-8D76-615C33AEA10F}">
  <sheetPr>
    <tabColor rgb="FF00B050"/>
  </sheetPr>
  <dimension ref="A1:AML39"/>
  <sheetViews>
    <sheetView showGridLines="0" view="pageBreakPreview" topLeftCell="A14" zoomScale="106" zoomScaleNormal="75" zoomScaleSheetLayoutView="106" workbookViewId="0">
      <selection activeCell="B14" sqref="B14"/>
    </sheetView>
  </sheetViews>
  <sheetFormatPr baseColWidth="10" defaultColWidth="11.44140625" defaultRowHeight="15"/>
  <cols>
    <col min="1" max="1" width="11.44140625" style="47"/>
    <col min="2" max="2" width="12.77734375" style="55" customWidth="1"/>
    <col min="3" max="3" width="101.44140625" style="20" customWidth="1"/>
    <col min="4" max="4" width="33.21875" style="47" customWidth="1"/>
    <col min="5" max="5" width="20.44140625" style="47" customWidth="1"/>
    <col min="6" max="6" width="32.44140625" style="47" customWidth="1"/>
    <col min="7" max="16384" width="11.44140625" style="47"/>
  </cols>
  <sheetData>
    <row r="1" spans="1:1026" ht="15.75" customHeight="1">
      <c r="A1" s="330" t="s">
        <v>86</v>
      </c>
      <c r="B1" s="330"/>
      <c r="C1" s="330"/>
      <c r="D1" s="330"/>
      <c r="E1" s="330"/>
      <c r="F1" s="330"/>
      <c r="G1" s="46"/>
      <c r="H1" s="46"/>
      <c r="I1" s="46"/>
      <c r="K1" s="48"/>
      <c r="L1" s="48"/>
    </row>
    <row r="2" spans="1:1026" s="52" customFormat="1" ht="17.399999999999999">
      <c r="A2" s="330"/>
      <c r="B2" s="330"/>
      <c r="C2" s="330"/>
      <c r="D2" s="330"/>
      <c r="E2" s="330"/>
      <c r="F2" s="330"/>
      <c r="G2" s="49"/>
      <c r="H2" s="49"/>
      <c r="I2" s="49"/>
      <c r="J2" s="49"/>
      <c r="K2" s="50"/>
      <c r="L2" s="49"/>
      <c r="M2" s="49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  <c r="IY2" s="51"/>
      <c r="IZ2" s="51"/>
      <c r="JA2" s="51"/>
      <c r="JB2" s="51"/>
      <c r="JC2" s="51"/>
      <c r="JD2" s="51"/>
      <c r="JE2" s="51"/>
      <c r="JF2" s="51"/>
      <c r="JG2" s="51"/>
      <c r="JH2" s="51"/>
      <c r="JI2" s="51"/>
      <c r="JJ2" s="51"/>
      <c r="JK2" s="51"/>
      <c r="JL2" s="51"/>
      <c r="JM2" s="51"/>
      <c r="JN2" s="51"/>
      <c r="JO2" s="51"/>
      <c r="JP2" s="51"/>
      <c r="JQ2" s="51"/>
      <c r="JR2" s="51"/>
      <c r="JS2" s="51"/>
      <c r="JT2" s="51"/>
      <c r="JU2" s="51"/>
      <c r="JV2" s="51"/>
      <c r="JW2" s="51"/>
      <c r="JX2" s="51"/>
      <c r="JY2" s="51"/>
      <c r="JZ2" s="51"/>
      <c r="KA2" s="51"/>
      <c r="KB2" s="51"/>
      <c r="KC2" s="51"/>
      <c r="KD2" s="51"/>
      <c r="KE2" s="51"/>
      <c r="KF2" s="51"/>
      <c r="KG2" s="51"/>
      <c r="KH2" s="51"/>
      <c r="KI2" s="51"/>
      <c r="KJ2" s="51"/>
      <c r="KK2" s="51"/>
      <c r="KL2" s="51"/>
      <c r="KM2" s="51"/>
      <c r="KN2" s="51"/>
      <c r="KO2" s="51"/>
      <c r="KP2" s="51"/>
      <c r="KQ2" s="51"/>
      <c r="KR2" s="51"/>
      <c r="KS2" s="51"/>
      <c r="KT2" s="51"/>
      <c r="KU2" s="51"/>
      <c r="KV2" s="51"/>
      <c r="KW2" s="51"/>
      <c r="KX2" s="51"/>
      <c r="KY2" s="51"/>
      <c r="KZ2" s="51"/>
      <c r="LA2" s="51"/>
      <c r="LB2" s="51"/>
      <c r="LC2" s="51"/>
      <c r="LD2" s="51"/>
      <c r="LE2" s="51"/>
      <c r="LF2" s="51"/>
      <c r="LG2" s="51"/>
      <c r="LH2" s="51"/>
      <c r="LI2" s="51"/>
      <c r="LJ2" s="51"/>
      <c r="LK2" s="51"/>
      <c r="LL2" s="51"/>
      <c r="LM2" s="51"/>
      <c r="LN2" s="51"/>
      <c r="LO2" s="51"/>
      <c r="LP2" s="51"/>
      <c r="LQ2" s="51"/>
      <c r="LR2" s="51"/>
      <c r="LS2" s="51"/>
      <c r="LT2" s="51"/>
      <c r="LU2" s="51"/>
      <c r="LV2" s="51"/>
      <c r="LW2" s="51"/>
      <c r="LX2" s="51"/>
      <c r="LY2" s="51"/>
      <c r="LZ2" s="51"/>
      <c r="MA2" s="51"/>
      <c r="MB2" s="51"/>
      <c r="MC2" s="51"/>
      <c r="MD2" s="51"/>
      <c r="ME2" s="51"/>
      <c r="MF2" s="51"/>
      <c r="MG2" s="51"/>
      <c r="MH2" s="51"/>
      <c r="MI2" s="51"/>
      <c r="MJ2" s="51"/>
      <c r="MK2" s="51"/>
      <c r="ML2" s="51"/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H2" s="51"/>
      <c r="OI2" s="51"/>
      <c r="OJ2" s="51"/>
      <c r="OK2" s="51"/>
      <c r="OL2" s="51"/>
      <c r="OM2" s="51"/>
      <c r="ON2" s="51"/>
      <c r="OO2" s="51"/>
      <c r="OP2" s="51"/>
      <c r="OQ2" s="51"/>
      <c r="OR2" s="51"/>
      <c r="OS2" s="51"/>
      <c r="OT2" s="51"/>
      <c r="OU2" s="51"/>
      <c r="OV2" s="51"/>
      <c r="OW2" s="51"/>
      <c r="OX2" s="51"/>
      <c r="OY2" s="51"/>
      <c r="OZ2" s="51"/>
      <c r="PA2" s="51"/>
      <c r="PB2" s="51"/>
      <c r="PC2" s="51"/>
      <c r="PD2" s="51"/>
      <c r="PE2" s="51"/>
      <c r="PF2" s="51"/>
      <c r="PG2" s="51"/>
      <c r="PH2" s="51"/>
      <c r="PI2" s="51"/>
      <c r="PJ2" s="51"/>
      <c r="PK2" s="51"/>
      <c r="PL2" s="51"/>
      <c r="PM2" s="51"/>
      <c r="PN2" s="51"/>
      <c r="PO2" s="51"/>
      <c r="PP2" s="51"/>
      <c r="PQ2" s="51"/>
      <c r="PR2" s="51"/>
      <c r="PS2" s="51"/>
      <c r="PT2" s="51"/>
      <c r="PU2" s="51"/>
      <c r="PV2" s="51"/>
      <c r="PW2" s="51"/>
      <c r="PX2" s="51"/>
      <c r="PY2" s="51"/>
      <c r="PZ2" s="51"/>
      <c r="QA2" s="51"/>
      <c r="QB2" s="51"/>
      <c r="QC2" s="51"/>
      <c r="QD2" s="51"/>
      <c r="QE2" s="51"/>
      <c r="QF2" s="51"/>
      <c r="QG2" s="51"/>
      <c r="QH2" s="51"/>
      <c r="QI2" s="51"/>
      <c r="QJ2" s="51"/>
      <c r="QK2" s="51"/>
      <c r="QL2" s="51"/>
      <c r="QM2" s="51"/>
      <c r="QN2" s="51"/>
      <c r="QO2" s="51"/>
      <c r="QP2" s="51"/>
      <c r="QQ2" s="51"/>
      <c r="QR2" s="51"/>
      <c r="QS2" s="51"/>
      <c r="QT2" s="51"/>
      <c r="QU2" s="51"/>
      <c r="QV2" s="51"/>
      <c r="QW2" s="51"/>
      <c r="QX2" s="51"/>
      <c r="QY2" s="51"/>
      <c r="QZ2" s="51"/>
      <c r="RA2" s="51"/>
      <c r="RB2" s="51"/>
      <c r="RC2" s="51"/>
      <c r="RD2" s="51"/>
      <c r="RE2" s="51"/>
      <c r="RF2" s="51"/>
      <c r="RG2" s="51"/>
      <c r="RH2" s="51"/>
      <c r="RI2" s="51"/>
      <c r="RJ2" s="51"/>
      <c r="RK2" s="51"/>
      <c r="RL2" s="51"/>
      <c r="RM2" s="51"/>
      <c r="RN2" s="51"/>
      <c r="RO2" s="51"/>
      <c r="RP2" s="51"/>
      <c r="RQ2" s="51"/>
      <c r="RR2" s="51"/>
      <c r="RS2" s="51"/>
      <c r="RT2" s="51"/>
      <c r="RU2" s="51"/>
      <c r="RV2" s="51"/>
      <c r="RW2" s="51"/>
      <c r="RX2" s="51"/>
      <c r="RY2" s="51"/>
      <c r="RZ2" s="51"/>
      <c r="SA2" s="51"/>
      <c r="SB2" s="51"/>
      <c r="SC2" s="51"/>
      <c r="SD2" s="51"/>
      <c r="SE2" s="51"/>
      <c r="SF2" s="51"/>
      <c r="SG2" s="51"/>
      <c r="SH2" s="51"/>
      <c r="SI2" s="51"/>
      <c r="SJ2" s="51"/>
      <c r="SK2" s="51"/>
      <c r="SL2" s="51"/>
      <c r="SM2" s="51"/>
      <c r="SN2" s="51"/>
      <c r="SO2" s="51"/>
      <c r="SP2" s="51"/>
      <c r="SQ2" s="51"/>
      <c r="SR2" s="51"/>
      <c r="SS2" s="51"/>
      <c r="ST2" s="51"/>
      <c r="SU2" s="51"/>
      <c r="SV2" s="51"/>
      <c r="SW2" s="51"/>
      <c r="SX2" s="51"/>
      <c r="SY2" s="51"/>
      <c r="SZ2" s="51"/>
      <c r="TA2" s="51"/>
      <c r="TB2" s="51"/>
      <c r="TC2" s="51"/>
      <c r="TD2" s="51"/>
      <c r="TE2" s="51"/>
      <c r="TF2" s="51"/>
      <c r="TG2" s="51"/>
      <c r="TH2" s="51"/>
      <c r="TI2" s="51"/>
      <c r="TJ2" s="51"/>
      <c r="TK2" s="51"/>
      <c r="TL2" s="51"/>
      <c r="TM2" s="51"/>
      <c r="TN2" s="51"/>
      <c r="TO2" s="51"/>
      <c r="TP2" s="51"/>
      <c r="TQ2" s="51"/>
      <c r="TR2" s="51"/>
      <c r="TS2" s="51"/>
      <c r="TT2" s="51"/>
      <c r="TU2" s="51"/>
      <c r="TV2" s="51"/>
      <c r="TW2" s="51"/>
      <c r="TX2" s="51"/>
      <c r="TY2" s="51"/>
      <c r="TZ2" s="51"/>
      <c r="UA2" s="51"/>
      <c r="UB2" s="51"/>
      <c r="UC2" s="51"/>
      <c r="UD2" s="51"/>
      <c r="UE2" s="51"/>
      <c r="UF2" s="51"/>
      <c r="UG2" s="51"/>
      <c r="UH2" s="51"/>
      <c r="UI2" s="51"/>
      <c r="UJ2" s="51"/>
      <c r="UK2" s="51"/>
      <c r="UL2" s="51"/>
      <c r="UM2" s="51"/>
      <c r="UN2" s="51"/>
      <c r="UO2" s="51"/>
      <c r="UP2" s="51"/>
      <c r="UQ2" s="51"/>
      <c r="UR2" s="51"/>
      <c r="US2" s="51"/>
      <c r="UT2" s="51"/>
      <c r="UU2" s="51"/>
      <c r="UV2" s="51"/>
      <c r="UW2" s="51"/>
      <c r="UX2" s="51"/>
      <c r="UY2" s="51"/>
      <c r="UZ2" s="51"/>
      <c r="VA2" s="51"/>
      <c r="VB2" s="51"/>
      <c r="VC2" s="51"/>
      <c r="VD2" s="51"/>
      <c r="VE2" s="51"/>
      <c r="VF2" s="51"/>
      <c r="VG2" s="51"/>
      <c r="VH2" s="51"/>
      <c r="VI2" s="51"/>
      <c r="VJ2" s="51"/>
      <c r="VK2" s="51"/>
      <c r="VL2" s="51"/>
      <c r="VM2" s="51"/>
      <c r="VN2" s="51"/>
      <c r="VO2" s="51"/>
      <c r="VP2" s="51"/>
      <c r="VQ2" s="51"/>
      <c r="VR2" s="51"/>
      <c r="VS2" s="51"/>
      <c r="VT2" s="51"/>
      <c r="VU2" s="51"/>
      <c r="VV2" s="51"/>
      <c r="VW2" s="51"/>
      <c r="VX2" s="51"/>
      <c r="VY2" s="51"/>
      <c r="VZ2" s="51"/>
      <c r="WA2" s="51"/>
      <c r="WB2" s="51"/>
      <c r="WC2" s="51"/>
      <c r="WD2" s="51"/>
      <c r="WE2" s="51"/>
      <c r="WF2" s="51"/>
      <c r="WG2" s="51"/>
      <c r="WH2" s="51"/>
      <c r="WI2" s="51"/>
      <c r="WJ2" s="51"/>
      <c r="WK2" s="51"/>
      <c r="WL2" s="51"/>
      <c r="WM2" s="51"/>
      <c r="WN2" s="51"/>
      <c r="WO2" s="51"/>
      <c r="WP2" s="51"/>
      <c r="WQ2" s="51"/>
      <c r="WR2" s="51"/>
      <c r="WS2" s="51"/>
      <c r="WT2" s="51"/>
      <c r="WU2" s="51"/>
      <c r="WV2" s="51"/>
      <c r="WW2" s="51"/>
      <c r="WX2" s="51"/>
      <c r="WY2" s="51"/>
      <c r="WZ2" s="51"/>
      <c r="XA2" s="51"/>
      <c r="XB2" s="51"/>
      <c r="XC2" s="51"/>
      <c r="XD2" s="51"/>
      <c r="XE2" s="51"/>
      <c r="XF2" s="51"/>
      <c r="XG2" s="51"/>
      <c r="XH2" s="51"/>
      <c r="XI2" s="51"/>
      <c r="XJ2" s="51"/>
      <c r="XK2" s="51"/>
      <c r="XL2" s="51"/>
      <c r="XM2" s="51"/>
      <c r="XN2" s="51"/>
      <c r="XO2" s="51"/>
      <c r="XP2" s="51"/>
      <c r="XQ2" s="51"/>
      <c r="XR2" s="51"/>
      <c r="XS2" s="51"/>
      <c r="XT2" s="51"/>
      <c r="XU2" s="51"/>
      <c r="XV2" s="51"/>
      <c r="XW2" s="51"/>
      <c r="XX2" s="51"/>
      <c r="XY2" s="51"/>
      <c r="XZ2" s="51"/>
      <c r="YA2" s="51"/>
      <c r="YB2" s="51"/>
      <c r="YC2" s="51"/>
      <c r="YD2" s="51"/>
      <c r="YE2" s="51"/>
      <c r="YF2" s="51"/>
      <c r="YG2" s="51"/>
      <c r="YH2" s="51"/>
      <c r="YI2" s="51"/>
      <c r="YJ2" s="51"/>
      <c r="YK2" s="51"/>
      <c r="YL2" s="51"/>
      <c r="YM2" s="51"/>
      <c r="YN2" s="51"/>
      <c r="YO2" s="51"/>
      <c r="YP2" s="51"/>
      <c r="YQ2" s="51"/>
      <c r="YR2" s="51"/>
      <c r="YS2" s="51"/>
      <c r="YT2" s="51"/>
      <c r="YU2" s="51"/>
      <c r="YV2" s="51"/>
      <c r="YW2" s="51"/>
      <c r="YX2" s="51"/>
      <c r="YY2" s="51"/>
      <c r="YZ2" s="51"/>
      <c r="ZA2" s="51"/>
      <c r="ZB2" s="51"/>
      <c r="ZC2" s="51"/>
      <c r="ZD2" s="51"/>
      <c r="ZE2" s="51"/>
      <c r="ZF2" s="51"/>
      <c r="ZG2" s="51"/>
      <c r="ZH2" s="51"/>
      <c r="ZI2" s="51"/>
      <c r="ZJ2" s="51"/>
      <c r="ZK2" s="51"/>
      <c r="ZL2" s="51"/>
      <c r="ZM2" s="51"/>
      <c r="ZN2" s="51"/>
      <c r="ZO2" s="51"/>
      <c r="ZP2" s="51"/>
      <c r="ZQ2" s="51"/>
      <c r="ZR2" s="51"/>
      <c r="ZS2" s="51"/>
      <c r="ZT2" s="51"/>
      <c r="ZU2" s="51"/>
      <c r="ZV2" s="51"/>
      <c r="ZW2" s="51"/>
      <c r="ZX2" s="51"/>
      <c r="ZY2" s="51"/>
      <c r="ZZ2" s="51"/>
      <c r="AAA2" s="51"/>
      <c r="AAB2" s="51"/>
      <c r="AAC2" s="51"/>
      <c r="AAD2" s="51"/>
      <c r="AAE2" s="51"/>
      <c r="AAF2" s="51"/>
      <c r="AAG2" s="51"/>
      <c r="AAH2" s="51"/>
      <c r="AAI2" s="51"/>
      <c r="AAJ2" s="51"/>
      <c r="AAK2" s="51"/>
      <c r="AAL2" s="51"/>
      <c r="AAM2" s="51"/>
      <c r="AAN2" s="51"/>
      <c r="AAO2" s="51"/>
      <c r="AAP2" s="51"/>
      <c r="AAQ2" s="51"/>
      <c r="AAR2" s="51"/>
      <c r="AAS2" s="51"/>
      <c r="AAT2" s="51"/>
      <c r="AAU2" s="51"/>
      <c r="AAV2" s="51"/>
      <c r="AAW2" s="51"/>
      <c r="AAX2" s="51"/>
      <c r="AAY2" s="51"/>
      <c r="AAZ2" s="51"/>
      <c r="ABA2" s="51"/>
      <c r="ABB2" s="51"/>
      <c r="ABC2" s="51"/>
      <c r="ABD2" s="51"/>
      <c r="ABE2" s="51"/>
      <c r="ABF2" s="51"/>
      <c r="ABG2" s="51"/>
      <c r="ABH2" s="51"/>
      <c r="ABI2" s="51"/>
      <c r="ABJ2" s="51"/>
      <c r="ABK2" s="51"/>
      <c r="ABL2" s="51"/>
      <c r="ABM2" s="51"/>
      <c r="ABN2" s="51"/>
      <c r="ABO2" s="51"/>
      <c r="ABP2" s="51"/>
      <c r="ABQ2" s="51"/>
      <c r="ABR2" s="51"/>
      <c r="ABS2" s="51"/>
      <c r="ABT2" s="51"/>
      <c r="ABU2" s="51"/>
      <c r="ABV2" s="51"/>
      <c r="ABW2" s="51"/>
      <c r="ABX2" s="51"/>
      <c r="ABY2" s="51"/>
      <c r="ABZ2" s="51"/>
      <c r="ACA2" s="51"/>
      <c r="ACB2" s="51"/>
      <c r="ACC2" s="51"/>
      <c r="ACD2" s="51"/>
      <c r="ACE2" s="51"/>
      <c r="ACF2" s="51"/>
      <c r="ACG2" s="51"/>
      <c r="ACH2" s="51"/>
      <c r="ACI2" s="51"/>
      <c r="ACJ2" s="51"/>
      <c r="ACK2" s="51"/>
      <c r="ACL2" s="51"/>
      <c r="ACM2" s="51"/>
      <c r="ACN2" s="51"/>
      <c r="ACO2" s="51"/>
      <c r="ACP2" s="51"/>
      <c r="ACQ2" s="51"/>
      <c r="ACR2" s="51"/>
      <c r="ACS2" s="51"/>
      <c r="ACT2" s="51"/>
      <c r="ACU2" s="51"/>
      <c r="ACV2" s="51"/>
      <c r="ACW2" s="51"/>
      <c r="ACX2" s="51"/>
      <c r="ACY2" s="51"/>
      <c r="ACZ2" s="51"/>
      <c r="ADA2" s="51"/>
      <c r="ADB2" s="51"/>
      <c r="ADC2" s="51"/>
      <c r="ADD2" s="51"/>
      <c r="ADE2" s="51"/>
      <c r="ADF2" s="51"/>
      <c r="ADG2" s="51"/>
      <c r="ADH2" s="51"/>
      <c r="ADI2" s="51"/>
      <c r="ADJ2" s="51"/>
      <c r="ADK2" s="51"/>
      <c r="ADL2" s="51"/>
      <c r="ADM2" s="51"/>
      <c r="ADN2" s="51"/>
      <c r="ADO2" s="51"/>
      <c r="ADP2" s="51"/>
      <c r="ADQ2" s="51"/>
      <c r="ADR2" s="51"/>
      <c r="ADS2" s="51"/>
      <c r="ADT2" s="51"/>
      <c r="ADU2" s="51"/>
      <c r="ADV2" s="51"/>
      <c r="ADW2" s="51"/>
      <c r="ADX2" s="51"/>
      <c r="ADY2" s="51"/>
      <c r="ADZ2" s="51"/>
      <c r="AEA2" s="51"/>
      <c r="AEB2" s="51"/>
      <c r="AEC2" s="51"/>
      <c r="AED2" s="51"/>
      <c r="AEE2" s="51"/>
      <c r="AEF2" s="51"/>
      <c r="AEG2" s="51"/>
      <c r="AEH2" s="51"/>
      <c r="AEI2" s="51"/>
      <c r="AEJ2" s="51"/>
      <c r="AEK2" s="51"/>
      <c r="AEL2" s="51"/>
      <c r="AEM2" s="51"/>
      <c r="AEN2" s="51"/>
      <c r="AEO2" s="51"/>
      <c r="AEP2" s="51"/>
      <c r="AEQ2" s="51"/>
      <c r="AER2" s="51"/>
      <c r="AES2" s="51"/>
      <c r="AET2" s="51"/>
      <c r="AEU2" s="51"/>
      <c r="AEV2" s="51"/>
      <c r="AEW2" s="51"/>
      <c r="AEX2" s="51"/>
      <c r="AEY2" s="51"/>
      <c r="AEZ2" s="51"/>
      <c r="AFA2" s="51"/>
      <c r="AFB2" s="51"/>
      <c r="AFC2" s="51"/>
      <c r="AFD2" s="51"/>
      <c r="AFE2" s="51"/>
      <c r="AFF2" s="51"/>
      <c r="AFG2" s="51"/>
      <c r="AFH2" s="51"/>
      <c r="AFI2" s="51"/>
      <c r="AFJ2" s="51"/>
      <c r="AFK2" s="51"/>
      <c r="AFL2" s="51"/>
      <c r="AFM2" s="51"/>
      <c r="AFN2" s="51"/>
      <c r="AFO2" s="51"/>
      <c r="AFP2" s="51"/>
      <c r="AFQ2" s="51"/>
      <c r="AFR2" s="51"/>
      <c r="AFS2" s="51"/>
      <c r="AFT2" s="51"/>
      <c r="AFU2" s="51"/>
      <c r="AFV2" s="51"/>
      <c r="AFW2" s="51"/>
      <c r="AFX2" s="51"/>
      <c r="AFY2" s="51"/>
      <c r="AFZ2" s="51"/>
      <c r="AGA2" s="51"/>
      <c r="AGB2" s="51"/>
      <c r="AGC2" s="51"/>
      <c r="AGD2" s="51"/>
      <c r="AGE2" s="51"/>
      <c r="AGF2" s="51"/>
      <c r="AGG2" s="51"/>
      <c r="AGH2" s="51"/>
      <c r="AGI2" s="51"/>
      <c r="AGJ2" s="51"/>
      <c r="AGK2" s="51"/>
      <c r="AGL2" s="51"/>
      <c r="AGM2" s="51"/>
      <c r="AGN2" s="51"/>
      <c r="AGO2" s="51"/>
      <c r="AGP2" s="51"/>
      <c r="AGQ2" s="51"/>
      <c r="AGR2" s="51"/>
      <c r="AGS2" s="51"/>
      <c r="AGT2" s="51"/>
      <c r="AGU2" s="51"/>
      <c r="AGV2" s="51"/>
      <c r="AGW2" s="51"/>
      <c r="AGX2" s="51"/>
      <c r="AGY2" s="51"/>
      <c r="AGZ2" s="51"/>
      <c r="AHA2" s="51"/>
      <c r="AHB2" s="51"/>
      <c r="AHC2" s="51"/>
      <c r="AHD2" s="51"/>
      <c r="AHE2" s="51"/>
      <c r="AHF2" s="51"/>
      <c r="AHG2" s="51"/>
      <c r="AHH2" s="51"/>
      <c r="AHI2" s="51"/>
      <c r="AHJ2" s="51"/>
      <c r="AHK2" s="51"/>
      <c r="AHL2" s="51"/>
      <c r="AHM2" s="51"/>
      <c r="AHN2" s="51"/>
      <c r="AHO2" s="51"/>
      <c r="AHP2" s="51"/>
      <c r="AHQ2" s="51"/>
      <c r="AHR2" s="51"/>
      <c r="AHS2" s="51"/>
      <c r="AHT2" s="51"/>
      <c r="AHU2" s="51"/>
      <c r="AHV2" s="51"/>
      <c r="AHW2" s="51"/>
      <c r="AHX2" s="51"/>
      <c r="AHY2" s="51"/>
      <c r="AHZ2" s="51"/>
      <c r="AIA2" s="51"/>
      <c r="AIB2" s="51"/>
      <c r="AIC2" s="51"/>
      <c r="AID2" s="51"/>
      <c r="AIE2" s="51"/>
      <c r="AIF2" s="51"/>
      <c r="AIG2" s="51"/>
      <c r="AIH2" s="51"/>
      <c r="AII2" s="51"/>
      <c r="AIJ2" s="51"/>
      <c r="AIK2" s="51"/>
      <c r="AIL2" s="51"/>
      <c r="AIM2" s="51"/>
      <c r="AIN2" s="51"/>
      <c r="AIO2" s="51"/>
      <c r="AIP2" s="51"/>
      <c r="AIQ2" s="51"/>
      <c r="AIR2" s="51"/>
      <c r="AIS2" s="51"/>
      <c r="AIT2" s="51"/>
      <c r="AIU2" s="51"/>
      <c r="AIV2" s="51"/>
      <c r="AIW2" s="51"/>
      <c r="AIX2" s="51"/>
      <c r="AIY2" s="51"/>
      <c r="AIZ2" s="51"/>
      <c r="AJA2" s="51"/>
      <c r="AJB2" s="51"/>
      <c r="AJC2" s="51"/>
      <c r="AJD2" s="51"/>
      <c r="AJE2" s="51"/>
      <c r="AJF2" s="51"/>
      <c r="AJG2" s="51"/>
      <c r="AJH2" s="51"/>
      <c r="AJI2" s="51"/>
      <c r="AJJ2" s="51"/>
      <c r="AJK2" s="51"/>
      <c r="AJL2" s="51"/>
      <c r="AJM2" s="51"/>
      <c r="AJN2" s="51"/>
      <c r="AJO2" s="51"/>
      <c r="AJP2" s="51"/>
      <c r="AJQ2" s="51"/>
      <c r="AJR2" s="51"/>
      <c r="AJS2" s="51"/>
      <c r="AJT2" s="51"/>
      <c r="AJU2" s="51"/>
      <c r="AJV2" s="51"/>
      <c r="AJW2" s="51"/>
      <c r="AJX2" s="51"/>
      <c r="AJY2" s="51"/>
      <c r="AJZ2" s="51"/>
      <c r="AKA2" s="51"/>
      <c r="AKB2" s="51"/>
      <c r="AKC2" s="51"/>
      <c r="AKD2" s="51"/>
      <c r="AKE2" s="51"/>
      <c r="AKF2" s="51"/>
      <c r="AKG2" s="51"/>
      <c r="AKH2" s="51"/>
      <c r="AKI2" s="51"/>
      <c r="AKJ2" s="51"/>
      <c r="AKK2" s="51"/>
      <c r="AKL2" s="51"/>
      <c r="AKM2" s="51"/>
      <c r="AKN2" s="51"/>
      <c r="AKO2" s="51"/>
      <c r="AKP2" s="51"/>
      <c r="AKQ2" s="51"/>
      <c r="AKR2" s="51"/>
      <c r="AKS2" s="51"/>
      <c r="AKT2" s="51"/>
      <c r="AKU2" s="51"/>
      <c r="AKV2" s="51"/>
      <c r="AKW2" s="51"/>
      <c r="AKX2" s="51"/>
      <c r="AKY2" s="51"/>
      <c r="AKZ2" s="51"/>
      <c r="ALA2" s="51"/>
      <c r="ALB2" s="51"/>
      <c r="ALC2" s="51"/>
      <c r="ALD2" s="51"/>
      <c r="ALE2" s="51"/>
      <c r="ALF2" s="51"/>
      <c r="ALG2" s="51"/>
      <c r="ALH2" s="51"/>
      <c r="ALI2" s="51"/>
      <c r="ALJ2" s="51"/>
      <c r="ALK2" s="51"/>
      <c r="ALL2" s="51"/>
      <c r="ALM2" s="51"/>
      <c r="ALN2" s="51"/>
      <c r="ALO2" s="51"/>
      <c r="ALP2" s="51"/>
      <c r="ALQ2" s="51"/>
      <c r="ALR2" s="51"/>
      <c r="ALS2" s="51"/>
      <c r="ALT2" s="51"/>
      <c r="ALU2" s="51"/>
      <c r="ALV2" s="51"/>
      <c r="ALW2" s="51"/>
      <c r="ALX2" s="51"/>
      <c r="ALY2" s="51"/>
      <c r="ALZ2" s="51"/>
      <c r="AMA2" s="51"/>
      <c r="AMB2" s="51"/>
      <c r="AMC2" s="51"/>
      <c r="AMD2" s="51"/>
      <c r="AME2" s="51"/>
      <c r="AMF2" s="51"/>
      <c r="AMG2" s="51"/>
      <c r="AMH2" s="51"/>
      <c r="AMI2" s="51"/>
      <c r="AMJ2" s="51"/>
      <c r="AMK2" s="51"/>
      <c r="AML2" s="51"/>
    </row>
    <row r="3" spans="1:1026" s="53" customFormat="1" ht="17.399999999999999">
      <c r="A3" s="330"/>
      <c r="B3" s="330"/>
      <c r="C3" s="330"/>
      <c r="D3" s="330"/>
      <c r="E3" s="330"/>
      <c r="F3" s="330"/>
      <c r="G3" s="54"/>
      <c r="H3" s="54"/>
      <c r="I3" s="54"/>
      <c r="J3" s="54"/>
      <c r="K3" s="54"/>
      <c r="L3" s="54"/>
      <c r="M3" s="54"/>
    </row>
    <row r="4" spans="1:1026" s="53" customFormat="1" ht="17.399999999999999">
      <c r="A4" s="330"/>
      <c r="B4" s="330"/>
      <c r="C4" s="330"/>
      <c r="D4" s="330"/>
      <c r="E4" s="330"/>
      <c r="F4" s="330"/>
      <c r="G4" s="54"/>
      <c r="H4" s="54"/>
      <c r="I4" s="54"/>
      <c r="J4" s="54"/>
      <c r="K4" s="54"/>
      <c r="L4" s="54"/>
      <c r="M4" s="54"/>
    </row>
    <row r="5" spans="1:1026" s="53" customFormat="1" ht="17.399999999999999">
      <c r="A5" s="330"/>
      <c r="B5" s="330"/>
      <c r="C5" s="330"/>
      <c r="D5" s="330"/>
      <c r="E5" s="330"/>
      <c r="F5" s="330"/>
      <c r="G5" s="54"/>
      <c r="H5" s="54"/>
      <c r="I5" s="54"/>
      <c r="J5" s="54"/>
      <c r="K5" s="54"/>
      <c r="L5" s="54"/>
      <c r="M5" s="54"/>
    </row>
    <row r="6" spans="1:1026" s="53" customFormat="1" ht="17.399999999999999">
      <c r="A6" s="330"/>
      <c r="B6" s="330"/>
      <c r="C6" s="330"/>
      <c r="D6" s="330"/>
      <c r="E6" s="330"/>
      <c r="F6" s="330"/>
      <c r="G6" s="54"/>
      <c r="H6" s="54"/>
      <c r="I6" s="54"/>
      <c r="J6" s="54"/>
      <c r="K6" s="54"/>
      <c r="L6" s="54"/>
      <c r="M6" s="54"/>
    </row>
    <row r="7" spans="1:1026">
      <c r="A7" s="331"/>
      <c r="B7" s="331"/>
      <c r="C7" s="331"/>
      <c r="D7" s="331"/>
      <c r="E7" s="331"/>
      <c r="F7" s="331"/>
      <c r="G7" s="56"/>
      <c r="H7" s="56"/>
      <c r="I7" s="56"/>
      <c r="J7" s="56"/>
      <c r="K7" s="56"/>
      <c r="L7" s="56"/>
    </row>
    <row r="8" spans="1:1026" s="57" customFormat="1" ht="39.450000000000003" customHeight="1">
      <c r="A8" s="328" t="s">
        <v>237</v>
      </c>
      <c r="B8" s="326" t="s">
        <v>114</v>
      </c>
      <c r="C8" s="325" t="s">
        <v>35</v>
      </c>
      <c r="D8" s="182" t="s">
        <v>87</v>
      </c>
      <c r="E8" s="183" t="s">
        <v>88</v>
      </c>
      <c r="F8" s="184" t="s">
        <v>89</v>
      </c>
    </row>
    <row r="9" spans="1:1026" s="58" customFormat="1" ht="39.450000000000003" customHeight="1" thickBot="1">
      <c r="A9" s="329"/>
      <c r="B9" s="327"/>
      <c r="C9" s="325"/>
      <c r="D9" s="185" t="s">
        <v>90</v>
      </c>
      <c r="E9" s="185" t="s">
        <v>91</v>
      </c>
      <c r="F9" s="185" t="s">
        <v>92</v>
      </c>
    </row>
    <row r="10" spans="1:1026" s="60" customFormat="1" ht="31.5" customHeight="1" thickBot="1">
      <c r="A10" s="295" t="s">
        <v>455</v>
      </c>
      <c r="B10" s="186">
        <v>102</v>
      </c>
      <c r="C10" s="271" t="s">
        <v>273</v>
      </c>
      <c r="D10" s="187"/>
      <c r="E10" s="188">
        <v>0</v>
      </c>
      <c r="F10" s="189">
        <f>+D10*E10</f>
        <v>0</v>
      </c>
    </row>
    <row r="11" spans="1:1026" s="60" customFormat="1" ht="25.5" customHeight="1" thickBot="1">
      <c r="A11" s="295" t="s">
        <v>456</v>
      </c>
      <c r="B11" s="186">
        <v>101</v>
      </c>
      <c r="C11" s="272" t="s">
        <v>274</v>
      </c>
      <c r="D11" s="190"/>
      <c r="E11" s="188">
        <v>0.25</v>
      </c>
      <c r="F11" s="189">
        <f>+D11*E11</f>
        <v>0</v>
      </c>
    </row>
    <row r="12" spans="1:1026" s="60" customFormat="1" ht="21" customHeight="1" thickBot="1">
      <c r="A12" s="295" t="s">
        <v>457</v>
      </c>
      <c r="B12" s="186">
        <v>10301</v>
      </c>
      <c r="C12" s="273" t="s">
        <v>275</v>
      </c>
      <c r="D12" s="190"/>
      <c r="E12" s="188">
        <v>0.25</v>
      </c>
      <c r="F12" s="189"/>
    </row>
    <row r="13" spans="1:1026" s="60" customFormat="1" ht="21.75" customHeight="1" thickBot="1">
      <c r="A13" s="295" t="s">
        <v>458</v>
      </c>
      <c r="B13" s="186">
        <v>106</v>
      </c>
      <c r="C13" s="273" t="s">
        <v>276</v>
      </c>
      <c r="D13" s="190"/>
      <c r="E13" s="188">
        <v>0.25</v>
      </c>
      <c r="F13" s="189"/>
    </row>
    <row r="14" spans="1:1026" s="60" customFormat="1" ht="21.75" customHeight="1" thickBot="1">
      <c r="A14" s="295" t="s">
        <v>459</v>
      </c>
      <c r="B14" s="186">
        <v>10311</v>
      </c>
      <c r="C14" s="273" t="s">
        <v>277</v>
      </c>
      <c r="D14" s="190"/>
      <c r="E14" s="188">
        <v>0.5</v>
      </c>
      <c r="F14" s="189"/>
    </row>
    <row r="15" spans="1:1026" s="60" customFormat="1" ht="21.75" customHeight="1" thickBot="1">
      <c r="A15" s="295" t="s">
        <v>460</v>
      </c>
      <c r="B15" s="186">
        <v>114</v>
      </c>
      <c r="C15" s="273" t="s">
        <v>278</v>
      </c>
      <c r="D15" s="190"/>
      <c r="E15" s="188">
        <v>0.5</v>
      </c>
      <c r="F15" s="189"/>
    </row>
    <row r="16" spans="1:1026" s="60" customFormat="1" ht="26.25" customHeight="1" thickBot="1">
      <c r="A16" s="295" t="s">
        <v>461</v>
      </c>
      <c r="B16" s="186">
        <v>104</v>
      </c>
      <c r="C16" s="273" t="s">
        <v>279</v>
      </c>
      <c r="D16" s="190"/>
      <c r="E16" s="188">
        <v>0.5</v>
      </c>
      <c r="F16" s="189">
        <f t="shared" ref="F16:F23" si="0">+D16*E16</f>
        <v>0</v>
      </c>
    </row>
    <row r="17" spans="1:16" s="60" customFormat="1" ht="20.25" customHeight="1" thickBot="1">
      <c r="A17" s="295" t="s">
        <v>462</v>
      </c>
      <c r="B17" s="186">
        <v>105</v>
      </c>
      <c r="C17" s="273" t="s">
        <v>280</v>
      </c>
      <c r="D17" s="190"/>
      <c r="E17" s="188">
        <v>0.25</v>
      </c>
      <c r="F17" s="189">
        <f t="shared" si="0"/>
        <v>0</v>
      </c>
      <c r="P17" s="60" t="s">
        <v>93</v>
      </c>
    </row>
    <row r="18" spans="1:16" s="60" customFormat="1" ht="35.700000000000003" customHeight="1" thickBot="1">
      <c r="A18" s="295" t="s">
        <v>463</v>
      </c>
      <c r="B18" s="191"/>
      <c r="C18" s="272" t="s">
        <v>281</v>
      </c>
      <c r="D18" s="187">
        <f>D19-D20</f>
        <v>0</v>
      </c>
      <c r="E18" s="188">
        <v>1</v>
      </c>
      <c r="F18" s="189">
        <f t="shared" si="0"/>
        <v>0</v>
      </c>
    </row>
    <row r="19" spans="1:16" s="60" customFormat="1" ht="21" customHeight="1" thickBot="1">
      <c r="A19" s="295" t="s">
        <v>464</v>
      </c>
      <c r="B19" s="186">
        <v>20</v>
      </c>
      <c r="C19" s="272" t="s">
        <v>282</v>
      </c>
      <c r="D19" s="187"/>
      <c r="E19" s="192"/>
      <c r="F19" s="189">
        <v>0</v>
      </c>
    </row>
    <row r="20" spans="1:16" s="60" customFormat="1" ht="20.100000000000001" customHeight="1" thickBot="1">
      <c r="A20" s="295" t="s">
        <v>465</v>
      </c>
      <c r="B20" s="186">
        <v>2430</v>
      </c>
      <c r="C20" s="272" t="s">
        <v>283</v>
      </c>
      <c r="D20" s="187"/>
      <c r="E20" s="192"/>
      <c r="F20" s="189">
        <v>0</v>
      </c>
    </row>
    <row r="21" spans="1:16" s="60" customFormat="1" ht="35.700000000000003" customHeight="1" thickBot="1">
      <c r="A21" s="295" t="s">
        <v>466</v>
      </c>
      <c r="B21" s="191"/>
      <c r="C21" s="273" t="s">
        <v>284</v>
      </c>
      <c r="D21" s="193" t="s">
        <v>172</v>
      </c>
      <c r="E21" s="188">
        <v>1</v>
      </c>
      <c r="F21" s="189" t="e">
        <f t="shared" si="0"/>
        <v>#VALUE!</v>
      </c>
    </row>
    <row r="22" spans="1:16" s="60" customFormat="1" ht="35.700000000000003" customHeight="1" thickBot="1">
      <c r="A22" s="295" t="s">
        <v>467</v>
      </c>
      <c r="B22" s="191"/>
      <c r="C22" s="272" t="s">
        <v>285</v>
      </c>
      <c r="D22" s="193" t="s">
        <v>173</v>
      </c>
      <c r="E22" s="188">
        <v>1.5</v>
      </c>
      <c r="F22" s="189" t="e">
        <f t="shared" si="0"/>
        <v>#VALUE!</v>
      </c>
    </row>
    <row r="23" spans="1:16" s="60" customFormat="1" ht="35.700000000000003" customHeight="1" thickBot="1">
      <c r="A23" s="295" t="s">
        <v>468</v>
      </c>
      <c r="B23" s="191"/>
      <c r="C23" s="272" t="s">
        <v>286</v>
      </c>
      <c r="D23" s="193" t="s">
        <v>174</v>
      </c>
      <c r="E23" s="188">
        <v>1</v>
      </c>
      <c r="F23" s="189" t="e">
        <f t="shared" si="0"/>
        <v>#VALUE!</v>
      </c>
    </row>
    <row r="24" spans="1:16" ht="24" customHeight="1" thickBot="1">
      <c r="A24" s="295" t="s">
        <v>469</v>
      </c>
      <c r="B24" s="186">
        <v>90</v>
      </c>
      <c r="C24" s="272" t="s">
        <v>287</v>
      </c>
      <c r="D24" s="190"/>
      <c r="E24" s="188">
        <v>1</v>
      </c>
      <c r="F24" s="189">
        <f>+D24*E24</f>
        <v>0</v>
      </c>
    </row>
    <row r="25" spans="1:16" s="57" customFormat="1" ht="29.25" customHeight="1" thickBot="1">
      <c r="A25" s="295" t="s">
        <v>470</v>
      </c>
      <c r="B25" s="194"/>
      <c r="C25" s="127" t="s">
        <v>288</v>
      </c>
      <c r="D25" s="195">
        <f>SUM(D10:D24)</f>
        <v>0</v>
      </c>
      <c r="E25" s="196"/>
      <c r="F25" s="197" t="e">
        <f>SUM(F10:F24)</f>
        <v>#VALUE!</v>
      </c>
    </row>
    <row r="27" spans="1:16" ht="17.399999999999999">
      <c r="C27" s="59"/>
    </row>
    <row r="28" spans="1:16" ht="17.399999999999999">
      <c r="C28" s="61"/>
    </row>
    <row r="29" spans="1:16" ht="17.399999999999999">
      <c r="C29" s="62"/>
    </row>
    <row r="30" spans="1:16" ht="17.399999999999999">
      <c r="C30" s="62"/>
    </row>
    <row r="31" spans="1:16" ht="34.950000000000003" customHeight="1">
      <c r="C31" s="62"/>
    </row>
    <row r="32" spans="1:16" ht="17.399999999999999">
      <c r="C32" s="62"/>
    </row>
    <row r="33" spans="3:3" ht="17.399999999999999">
      <c r="C33" s="62"/>
    </row>
    <row r="34" spans="3:3" ht="17.399999999999999">
      <c r="C34" s="61"/>
    </row>
    <row r="35" spans="3:3" ht="17.399999999999999">
      <c r="C35" s="62"/>
    </row>
    <row r="36" spans="3:3" ht="17.399999999999999">
      <c r="C36" s="61"/>
    </row>
    <row r="37" spans="3:3" ht="17.399999999999999">
      <c r="C37" s="61"/>
    </row>
    <row r="38" spans="3:3" ht="17.399999999999999">
      <c r="C38" s="63"/>
    </row>
    <row r="39" spans="3:3" ht="17.399999999999999">
      <c r="C39" s="64"/>
    </row>
  </sheetData>
  <mergeCells count="4">
    <mergeCell ref="C8:C9"/>
    <mergeCell ref="B8:B9"/>
    <mergeCell ref="A8:A9"/>
    <mergeCell ref="A1:F7"/>
  </mergeCells>
  <pageMargins left="0.7" right="0.7" top="0.75" bottom="0.75" header="0.3" footer="0.3"/>
  <pageSetup paperSize="9" scale="38" orientation="portrait" verticalDpi="300" r:id="rId1"/>
  <headerFooter>
    <oddHeader>&amp;L&amp;"Calibri"&amp;10&amp;K000000PUBLIC&amp;1#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BB84-6683-46DC-88C9-B1E627DAA2F3}">
  <sheetPr>
    <tabColor rgb="FF00B0F0"/>
  </sheetPr>
  <dimension ref="A1:L20"/>
  <sheetViews>
    <sheetView view="pageBreakPreview" zoomScaleNormal="100" zoomScaleSheetLayoutView="100" workbookViewId="0">
      <selection activeCell="C20" sqref="C20:E20"/>
    </sheetView>
  </sheetViews>
  <sheetFormatPr baseColWidth="10" defaultColWidth="11.44140625" defaultRowHeight="28.2" customHeight="1"/>
  <cols>
    <col min="1" max="1" width="10.21875" style="14" customWidth="1"/>
    <col min="2" max="2" width="7.6640625" style="107" customWidth="1"/>
    <col min="3" max="4" width="11.44140625" style="14"/>
    <col min="5" max="5" width="46.33203125" style="14" customWidth="1"/>
    <col min="6" max="6" width="14.6640625" style="14" customWidth="1"/>
    <col min="7" max="7" width="20.44140625" style="14" bestFit="1" customWidth="1"/>
    <col min="8" max="8" width="11.21875" style="14" customWidth="1"/>
    <col min="9" max="16384" width="11.44140625" style="14"/>
  </cols>
  <sheetData>
    <row r="1" spans="1:12" ht="14.55" customHeight="1">
      <c r="B1" s="198"/>
      <c r="C1" s="341" t="s">
        <v>34</v>
      </c>
      <c r="D1" s="341"/>
      <c r="E1" s="341"/>
      <c r="F1" s="341"/>
      <c r="G1" s="341"/>
      <c r="H1" s="341"/>
      <c r="I1" s="13"/>
    </row>
    <row r="2" spans="1:12" ht="13.05" customHeight="1">
      <c r="B2" s="198"/>
      <c r="C2" s="199"/>
      <c r="D2" s="199"/>
      <c r="E2" s="199"/>
      <c r="F2" s="199"/>
      <c r="G2" s="199"/>
      <c r="H2" s="199"/>
    </row>
    <row r="3" spans="1:12" s="15" customFormat="1" ht="13.05" customHeight="1">
      <c r="B3" s="198"/>
      <c r="C3" s="200"/>
      <c r="D3" s="201"/>
      <c r="E3" s="200"/>
      <c r="F3" s="202"/>
      <c r="G3" s="202"/>
      <c r="H3" s="202"/>
      <c r="I3" s="16"/>
      <c r="J3" s="16"/>
      <c r="K3" s="16"/>
      <c r="L3" s="16"/>
    </row>
    <row r="4" spans="1:12" s="15" customFormat="1" ht="13.05" customHeight="1">
      <c r="B4" s="198"/>
      <c r="C4" s="203"/>
      <c r="D4" s="200"/>
      <c r="E4" s="202"/>
      <c r="F4" s="202"/>
      <c r="G4" s="202"/>
      <c r="H4" s="202"/>
      <c r="I4" s="16"/>
      <c r="J4" s="16"/>
      <c r="K4" s="16"/>
      <c r="L4" s="16"/>
    </row>
    <row r="5" spans="1:12" s="15" customFormat="1" ht="13.05" customHeight="1">
      <c r="B5" s="198"/>
      <c r="C5" s="203"/>
      <c r="D5" s="200"/>
      <c r="E5" s="202"/>
      <c r="F5" s="202"/>
      <c r="G5" s="202"/>
      <c r="H5" s="202"/>
      <c r="I5" s="16"/>
      <c r="J5" s="16"/>
      <c r="K5" s="16"/>
      <c r="L5" s="16"/>
    </row>
    <row r="6" spans="1:12" s="15" customFormat="1" ht="13.05" customHeight="1">
      <c r="B6" s="198"/>
      <c r="C6" s="204"/>
      <c r="D6" s="200"/>
      <c r="E6" s="202"/>
      <c r="F6" s="202"/>
      <c r="G6" s="202"/>
      <c r="H6" s="202"/>
      <c r="I6" s="16"/>
      <c r="J6" s="16"/>
      <c r="K6" s="16"/>
      <c r="L6" s="16"/>
    </row>
    <row r="7" spans="1:12" ht="13.5" customHeight="1" thickBot="1">
      <c r="B7" s="198"/>
      <c r="C7" s="205"/>
      <c r="D7" s="205"/>
      <c r="E7" s="205"/>
      <c r="F7" s="205"/>
      <c r="G7" s="205"/>
      <c r="H7" s="206"/>
      <c r="I7" s="17"/>
      <c r="J7" s="17"/>
      <c r="K7" s="17"/>
      <c r="L7" s="17"/>
    </row>
    <row r="8" spans="1:12" s="18" customFormat="1" ht="29.7" customHeight="1" thickBot="1">
      <c r="A8" s="207" t="s">
        <v>237</v>
      </c>
      <c r="B8" s="207" t="s">
        <v>216</v>
      </c>
      <c r="C8" s="342" t="s">
        <v>35</v>
      </c>
      <c r="D8" s="343"/>
      <c r="E8" s="343"/>
      <c r="F8" s="208" t="s">
        <v>36</v>
      </c>
      <c r="G8" s="274" t="s">
        <v>49</v>
      </c>
      <c r="H8" s="279"/>
    </row>
    <row r="9" spans="1:12" s="19" customFormat="1" ht="12" customHeight="1" thickBot="1">
      <c r="A9" s="207"/>
      <c r="B9" s="207">
        <v>1</v>
      </c>
      <c r="C9" s="334" t="s">
        <v>296</v>
      </c>
      <c r="D9" s="335"/>
      <c r="E9" s="335"/>
      <c r="F9" s="335"/>
      <c r="G9" s="336"/>
      <c r="H9" s="280"/>
    </row>
    <row r="10" spans="1:12" ht="15.6" thickBot="1">
      <c r="A10" s="295" t="s">
        <v>472</v>
      </c>
      <c r="B10" s="209" t="s">
        <v>290</v>
      </c>
      <c r="C10" s="339" t="s">
        <v>297</v>
      </c>
      <c r="D10" s="340"/>
      <c r="E10" s="340"/>
      <c r="F10" s="210" t="s">
        <v>193</v>
      </c>
      <c r="G10" s="275" t="e">
        <f>+G15/G20</f>
        <v>#VALUE!</v>
      </c>
      <c r="H10" s="281"/>
    </row>
    <row r="11" spans="1:12" ht="15.6" thickBot="1">
      <c r="A11" s="295" t="s">
        <v>473</v>
      </c>
      <c r="B11" s="209" t="s">
        <v>219</v>
      </c>
      <c r="C11" s="339" t="s">
        <v>291</v>
      </c>
      <c r="D11" s="340"/>
      <c r="E11" s="340"/>
      <c r="F11" s="210" t="s">
        <v>194</v>
      </c>
      <c r="G11" s="275" t="e">
        <f>+G16/G20</f>
        <v>#VALUE!</v>
      </c>
      <c r="H11" s="281"/>
    </row>
    <row r="12" spans="1:12" ht="15.6" thickBot="1">
      <c r="A12" s="295" t="s">
        <v>474</v>
      </c>
      <c r="B12" s="209" t="s">
        <v>293</v>
      </c>
      <c r="C12" s="339" t="s">
        <v>292</v>
      </c>
      <c r="D12" s="340"/>
      <c r="E12" s="340"/>
      <c r="F12" s="210" t="s">
        <v>195</v>
      </c>
      <c r="G12" s="275" t="e">
        <f>+G17/G20</f>
        <v>#VALUE!</v>
      </c>
      <c r="H12" s="281"/>
    </row>
    <row r="13" spans="1:12" ht="15.6" thickBot="1">
      <c r="A13" s="295" t="s">
        <v>475</v>
      </c>
      <c r="B13" s="209" t="s">
        <v>295</v>
      </c>
      <c r="C13" s="339" t="s">
        <v>294</v>
      </c>
      <c r="D13" s="340"/>
      <c r="E13" s="340"/>
      <c r="F13" s="210" t="s">
        <v>196</v>
      </c>
      <c r="G13" s="276" t="e">
        <f>+G18/G20</f>
        <v>#VALUE!</v>
      </c>
      <c r="H13" s="281"/>
    </row>
    <row r="14" spans="1:12" s="19" customFormat="1" ht="12" customHeight="1" thickBot="1">
      <c r="A14" s="207"/>
      <c r="B14" s="207">
        <v>2</v>
      </c>
      <c r="C14" s="334" t="s">
        <v>298</v>
      </c>
      <c r="D14" s="335"/>
      <c r="E14" s="335"/>
      <c r="F14" s="335"/>
      <c r="G14" s="336"/>
      <c r="H14" s="280"/>
    </row>
    <row r="15" spans="1:12" ht="15.6" thickBot="1">
      <c r="A15" s="295" t="s">
        <v>504</v>
      </c>
      <c r="B15" s="209" t="s">
        <v>299</v>
      </c>
      <c r="C15" s="332" t="s">
        <v>297</v>
      </c>
      <c r="D15" s="333"/>
      <c r="E15" s="333"/>
      <c r="F15" s="211" t="s">
        <v>197</v>
      </c>
      <c r="G15" s="277">
        <f>+FPN!F29</f>
        <v>0</v>
      </c>
      <c r="H15" s="282" t="s">
        <v>37</v>
      </c>
    </row>
    <row r="16" spans="1:12" ht="15.6" thickBot="1">
      <c r="A16" s="295" t="s">
        <v>516</v>
      </c>
      <c r="B16" s="209" t="s">
        <v>220</v>
      </c>
      <c r="C16" s="332" t="s">
        <v>300</v>
      </c>
      <c r="D16" s="333"/>
      <c r="E16" s="333"/>
      <c r="F16" s="211" t="s">
        <v>201</v>
      </c>
      <c r="G16" s="277">
        <f>FPN!F44</f>
        <v>0</v>
      </c>
      <c r="H16" s="283" t="s">
        <v>38</v>
      </c>
    </row>
    <row r="17" spans="1:8" ht="15.6" thickBot="1">
      <c r="A17" s="295" t="s">
        <v>517</v>
      </c>
      <c r="B17" s="209" t="s">
        <v>221</v>
      </c>
      <c r="C17" s="332" t="s">
        <v>292</v>
      </c>
      <c r="D17" s="333"/>
      <c r="E17" s="333"/>
      <c r="F17" s="211" t="s">
        <v>198</v>
      </c>
      <c r="G17" s="277">
        <f>FPN!F46</f>
        <v>0</v>
      </c>
      <c r="H17" s="284" t="s">
        <v>39</v>
      </c>
    </row>
    <row r="18" spans="1:8" ht="15.6" thickBot="1">
      <c r="A18" s="295" t="s">
        <v>525</v>
      </c>
      <c r="B18" s="209" t="s">
        <v>302</v>
      </c>
      <c r="C18" s="332" t="s">
        <v>301</v>
      </c>
      <c r="D18" s="333"/>
      <c r="E18" s="333"/>
      <c r="F18" s="211" t="s">
        <v>443</v>
      </c>
      <c r="G18" s="277" t="e">
        <f>+FPNC!D18</f>
        <v>#VALUE!</v>
      </c>
      <c r="H18" s="284" t="s">
        <v>40</v>
      </c>
    </row>
    <row r="19" spans="1:8" s="19" customFormat="1" ht="12" customHeight="1" thickBot="1">
      <c r="A19" s="207"/>
      <c r="B19" s="207">
        <v>3</v>
      </c>
      <c r="C19" s="334" t="s">
        <v>303</v>
      </c>
      <c r="D19" s="335"/>
      <c r="E19" s="335"/>
      <c r="F19" s="335"/>
      <c r="G19" s="336"/>
      <c r="H19" s="285"/>
    </row>
    <row r="20" spans="1:8" ht="30" customHeight="1" thickBot="1">
      <c r="A20" s="295" t="s">
        <v>615</v>
      </c>
      <c r="B20" s="212" t="s">
        <v>223</v>
      </c>
      <c r="C20" s="337" t="s">
        <v>304</v>
      </c>
      <c r="D20" s="338"/>
      <c r="E20" s="338"/>
      <c r="F20" s="211" t="s">
        <v>289</v>
      </c>
      <c r="G20" s="278" t="e">
        <f>+APR!F25</f>
        <v>#VALUE!</v>
      </c>
      <c r="H20" s="286" t="s">
        <v>192</v>
      </c>
    </row>
  </sheetData>
  <mergeCells count="14">
    <mergeCell ref="C1:H1"/>
    <mergeCell ref="C11:E11"/>
    <mergeCell ref="C8:E8"/>
    <mergeCell ref="C9:G9"/>
    <mergeCell ref="C10:E10"/>
    <mergeCell ref="C16:E16"/>
    <mergeCell ref="C17:E17"/>
    <mergeCell ref="C19:G19"/>
    <mergeCell ref="C20:E20"/>
    <mergeCell ref="C12:E12"/>
    <mergeCell ref="C14:G14"/>
    <mergeCell ref="C15:E15"/>
    <mergeCell ref="C13:E13"/>
    <mergeCell ref="C18:E18"/>
  </mergeCells>
  <pageMargins left="0.70866141732283472" right="0.70866141732283472" top="0.74803149606299213" bottom="0.74803149606299213" header="0.31496062992125984" footer="0.31496062992125984"/>
  <pageSetup paperSize="9" scale="65" orientation="portrait" verticalDpi="300" r:id="rId1"/>
  <headerFooter>
    <oddHeader>&amp;L&amp;"Calibri"&amp;10&amp;K000000PUBLIC&amp;1#</oddHeader>
    <oddFooter>&amp;L&amp;1#&amp;"Calibri"&amp;10&amp;K000000PUBLIC</oddFooter>
  </headerFooter>
  <colBreaks count="1" manualBreakCount="1"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Y26"/>
  <sheetViews>
    <sheetView showGridLines="0" view="pageBreakPreview" topLeftCell="A7" zoomScaleNormal="100" zoomScaleSheetLayoutView="100" workbookViewId="0">
      <selection activeCell="A20" sqref="A20:A22"/>
    </sheetView>
  </sheetViews>
  <sheetFormatPr baseColWidth="10" defaultColWidth="3.5546875" defaultRowHeight="10.199999999999999"/>
  <cols>
    <col min="1" max="1" width="16.88671875" style="1" customWidth="1"/>
    <col min="2" max="20" width="3.5546875" style="1"/>
    <col min="21" max="21" width="1.21875" style="1" customWidth="1"/>
    <col min="22" max="24" width="3.5546875" style="1"/>
    <col min="25" max="25" width="21.21875" style="1" customWidth="1"/>
    <col min="26" max="16384" width="3.5546875" style="1"/>
  </cols>
  <sheetData>
    <row r="1" spans="1:25" ht="14.55" customHeight="1">
      <c r="B1" s="390" t="s">
        <v>135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</row>
    <row r="2" spans="1:25" ht="15" customHeight="1" thickBot="1">
      <c r="B2" s="391" t="s">
        <v>29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</row>
    <row r="3" spans="1:25" ht="15"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</row>
    <row r="4" spans="1:25" ht="15">
      <c r="B4" s="213" t="s">
        <v>214</v>
      </c>
      <c r="C4" s="213"/>
      <c r="D4" s="213"/>
      <c r="E4" s="215"/>
      <c r="F4" s="215"/>
      <c r="G4" s="215"/>
      <c r="H4" s="215"/>
      <c r="I4" s="215"/>
      <c r="J4" s="215"/>
      <c r="K4" s="216"/>
      <c r="L4" s="213"/>
      <c r="M4" s="360" t="s">
        <v>52</v>
      </c>
      <c r="N4" s="360"/>
      <c r="O4" s="360"/>
      <c r="P4" s="360"/>
      <c r="Q4" s="360"/>
      <c r="R4" s="385"/>
      <c r="S4" s="386"/>
      <c r="T4" s="386"/>
      <c r="U4" s="386"/>
      <c r="V4" s="386"/>
      <c r="W4" s="386"/>
      <c r="X4" s="386"/>
      <c r="Y4" s="386"/>
    </row>
    <row r="5" spans="1:25" ht="15"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</row>
    <row r="6" spans="1:25" ht="15">
      <c r="B6" s="217"/>
      <c r="C6" s="217"/>
      <c r="D6" s="217"/>
      <c r="E6" s="217" t="s">
        <v>5</v>
      </c>
      <c r="F6" s="217" t="s">
        <v>5</v>
      </c>
      <c r="G6" s="217" t="s">
        <v>5</v>
      </c>
      <c r="H6" s="217" t="s">
        <v>9</v>
      </c>
      <c r="I6" s="217" t="s">
        <v>9</v>
      </c>
      <c r="J6" s="217" t="s">
        <v>10</v>
      </c>
      <c r="K6" s="217" t="s">
        <v>10</v>
      </c>
      <c r="L6" s="213"/>
      <c r="M6" s="213"/>
      <c r="N6" s="213"/>
      <c r="O6" s="213"/>
      <c r="P6" s="217"/>
      <c r="Q6" s="217"/>
      <c r="R6" s="217"/>
      <c r="S6" s="217"/>
      <c r="T6" s="217"/>
      <c r="U6" s="213"/>
      <c r="V6" s="217"/>
      <c r="W6" s="213"/>
      <c r="X6" s="213"/>
      <c r="Y6" s="217" t="s">
        <v>5</v>
      </c>
    </row>
    <row r="7" spans="1:25" ht="15">
      <c r="B7" s="408"/>
      <c r="C7" s="408"/>
      <c r="D7" s="408"/>
      <c r="E7" s="408"/>
      <c r="F7" s="408"/>
      <c r="G7" s="408"/>
      <c r="H7" s="408"/>
      <c r="I7" s="408"/>
      <c r="J7" s="408"/>
      <c r="K7" s="408"/>
      <c r="L7" s="218"/>
      <c r="M7" s="213"/>
      <c r="N7" s="213"/>
      <c r="O7" s="213"/>
      <c r="P7" s="213"/>
      <c r="Q7" s="213"/>
      <c r="R7" s="219" t="s">
        <v>11</v>
      </c>
      <c r="S7" s="219"/>
      <c r="T7" s="213"/>
      <c r="U7" s="213"/>
      <c r="V7" s="213" t="s">
        <v>12</v>
      </c>
      <c r="W7" s="213"/>
      <c r="X7" s="213"/>
      <c r="Y7" s="213"/>
    </row>
    <row r="8" spans="1:25" ht="15.6" thickBot="1"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</row>
    <row r="9" spans="1:25" ht="15.75" customHeight="1" thickBot="1">
      <c r="A9" s="344" t="s">
        <v>237</v>
      </c>
      <c r="B9" s="349" t="s">
        <v>132</v>
      </c>
      <c r="C9" s="349"/>
      <c r="D9" s="350"/>
      <c r="E9" s="348" t="s">
        <v>22</v>
      </c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49"/>
      <c r="U9" s="350"/>
      <c r="V9" s="357" t="s">
        <v>23</v>
      </c>
      <c r="W9" s="358"/>
      <c r="X9" s="358"/>
      <c r="Y9" s="358"/>
    </row>
    <row r="10" spans="1:25" ht="15.75" customHeight="1" thickBot="1">
      <c r="A10" s="345"/>
      <c r="B10" s="352"/>
      <c r="C10" s="352"/>
      <c r="D10" s="353"/>
      <c r="E10" s="351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3"/>
      <c r="V10" s="357" t="s">
        <v>0</v>
      </c>
      <c r="W10" s="358"/>
      <c r="X10" s="358"/>
      <c r="Y10" s="359"/>
    </row>
    <row r="11" spans="1:25" ht="15.75" customHeight="1" thickBot="1">
      <c r="A11" s="347"/>
      <c r="B11" s="355"/>
      <c r="C11" s="355"/>
      <c r="D11" s="356"/>
      <c r="E11" s="354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6"/>
      <c r="V11" s="357">
        <v>1</v>
      </c>
      <c r="W11" s="358"/>
      <c r="X11" s="358"/>
      <c r="Y11" s="359"/>
    </row>
    <row r="12" spans="1:25" ht="15.75" customHeight="1" thickBot="1">
      <c r="A12" s="299" t="s">
        <v>616</v>
      </c>
      <c r="B12" s="387"/>
      <c r="C12" s="388"/>
      <c r="D12" s="389"/>
      <c r="E12" s="381" t="s">
        <v>24</v>
      </c>
      <c r="F12" s="382"/>
      <c r="G12" s="382"/>
      <c r="H12" s="382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3"/>
      <c r="V12" s="384">
        <f>+SUM(V13:Y18)</f>
        <v>0</v>
      </c>
      <c r="W12" s="374"/>
      <c r="X12" s="374"/>
      <c r="Y12" s="375"/>
    </row>
    <row r="13" spans="1:25" ht="15" customHeight="1" thickBot="1">
      <c r="A13" s="299" t="s">
        <v>617</v>
      </c>
      <c r="B13" s="374">
        <v>101</v>
      </c>
      <c r="C13" s="374"/>
      <c r="D13" s="375"/>
      <c r="E13" s="379" t="s">
        <v>138</v>
      </c>
      <c r="F13" s="380"/>
      <c r="G13" s="380"/>
      <c r="H13" s="380"/>
      <c r="I13" s="380"/>
      <c r="J13" s="380"/>
      <c r="K13" s="380"/>
      <c r="L13" s="380"/>
      <c r="M13" s="380"/>
      <c r="N13" s="380"/>
      <c r="O13" s="380"/>
      <c r="P13" s="380"/>
      <c r="Q13" s="380"/>
      <c r="R13" s="380"/>
      <c r="S13" s="380"/>
      <c r="T13" s="380"/>
      <c r="U13" s="380"/>
      <c r="V13" s="376"/>
      <c r="W13" s="377"/>
      <c r="X13" s="377"/>
      <c r="Y13" s="378"/>
    </row>
    <row r="14" spans="1:25" ht="15.6" thickBot="1">
      <c r="A14" s="299" t="s">
        <v>618</v>
      </c>
      <c r="B14" s="360">
        <v>102</v>
      </c>
      <c r="C14" s="360"/>
      <c r="D14" s="361"/>
      <c r="E14" s="362" t="s">
        <v>139</v>
      </c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6"/>
      <c r="W14" s="367"/>
      <c r="X14" s="367"/>
      <c r="Y14" s="368"/>
    </row>
    <row r="15" spans="1:25" ht="15.6" thickBot="1">
      <c r="A15" s="299" t="s">
        <v>619</v>
      </c>
      <c r="B15" s="360">
        <v>103</v>
      </c>
      <c r="C15" s="360"/>
      <c r="D15" s="361"/>
      <c r="E15" s="362" t="s">
        <v>140</v>
      </c>
      <c r="F15" s="363"/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6"/>
      <c r="W15" s="367"/>
      <c r="X15" s="367"/>
      <c r="Y15" s="368"/>
    </row>
    <row r="16" spans="1:25" ht="15.6" thickBot="1">
      <c r="A16" s="299" t="s">
        <v>620</v>
      </c>
      <c r="B16" s="360">
        <v>104</v>
      </c>
      <c r="C16" s="360"/>
      <c r="D16" s="361"/>
      <c r="E16" s="362" t="s">
        <v>136</v>
      </c>
      <c r="F16" s="363"/>
      <c r="G16" s="363"/>
      <c r="H16" s="363"/>
      <c r="I16" s="363"/>
      <c r="J16" s="363"/>
      <c r="K16" s="363"/>
      <c r="L16" s="363"/>
      <c r="M16" s="363"/>
      <c r="N16" s="363"/>
      <c r="O16" s="363"/>
      <c r="P16" s="363"/>
      <c r="Q16" s="363"/>
      <c r="R16" s="363"/>
      <c r="S16" s="363"/>
      <c r="T16" s="363"/>
      <c r="U16" s="363"/>
      <c r="V16" s="366"/>
      <c r="W16" s="367"/>
      <c r="X16" s="367"/>
      <c r="Y16" s="368"/>
    </row>
    <row r="17" spans="1:25" ht="15.6" thickBot="1">
      <c r="A17" s="299" t="s">
        <v>621</v>
      </c>
      <c r="B17" s="360">
        <v>105</v>
      </c>
      <c r="C17" s="360">
        <v>105</v>
      </c>
      <c r="D17" s="361"/>
      <c r="E17" s="362" t="s">
        <v>137</v>
      </c>
      <c r="F17" s="363"/>
      <c r="G17" s="363"/>
      <c r="H17" s="363"/>
      <c r="I17" s="363"/>
      <c r="J17" s="363"/>
      <c r="K17" s="363"/>
      <c r="L17" s="363"/>
      <c r="M17" s="363"/>
      <c r="N17" s="363"/>
      <c r="O17" s="363"/>
      <c r="P17" s="363"/>
      <c r="Q17" s="363"/>
      <c r="R17" s="363"/>
      <c r="S17" s="363"/>
      <c r="T17" s="363"/>
      <c r="U17" s="363"/>
      <c r="V17" s="366"/>
      <c r="W17" s="367"/>
      <c r="X17" s="367"/>
      <c r="Y17" s="368"/>
    </row>
    <row r="18" spans="1:25" ht="15.6" thickBot="1">
      <c r="A18" s="299" t="s">
        <v>622</v>
      </c>
      <c r="B18" s="369">
        <v>106</v>
      </c>
      <c r="C18" s="369"/>
      <c r="D18" s="370"/>
      <c r="E18" s="364" t="s">
        <v>141</v>
      </c>
      <c r="F18" s="365"/>
      <c r="G18" s="365"/>
      <c r="H18" s="365"/>
      <c r="I18" s="365"/>
      <c r="J18" s="365"/>
      <c r="K18" s="365"/>
      <c r="L18" s="365"/>
      <c r="M18" s="365"/>
      <c r="N18" s="365"/>
      <c r="O18" s="365"/>
      <c r="P18" s="365"/>
      <c r="Q18" s="365"/>
      <c r="R18" s="365"/>
      <c r="S18" s="365"/>
      <c r="T18" s="365"/>
      <c r="U18" s="365"/>
      <c r="V18" s="371"/>
      <c r="W18" s="372"/>
      <c r="X18" s="372"/>
      <c r="Y18" s="373"/>
    </row>
    <row r="19" spans="1:25" ht="15.6" thickBot="1">
      <c r="A19" s="113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</row>
    <row r="20" spans="1:25" ht="16.2" thickBot="1">
      <c r="A20" s="344" t="s">
        <v>246</v>
      </c>
      <c r="B20" s="221"/>
      <c r="C20" s="221"/>
      <c r="D20" s="222"/>
      <c r="E20" s="348" t="s">
        <v>1</v>
      </c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50"/>
      <c r="V20" s="357" t="s">
        <v>23</v>
      </c>
      <c r="W20" s="358"/>
      <c r="X20" s="358"/>
      <c r="Y20" s="358"/>
    </row>
    <row r="21" spans="1:25" ht="16.2" thickBot="1">
      <c r="A21" s="345"/>
      <c r="B21" s="223"/>
      <c r="C21" s="223"/>
      <c r="D21" s="224"/>
      <c r="E21" s="351"/>
      <c r="F21" s="352"/>
      <c r="G21" s="352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3"/>
      <c r="V21" s="357" t="s">
        <v>0</v>
      </c>
      <c r="W21" s="358"/>
      <c r="X21" s="358"/>
      <c r="Y21" s="359"/>
    </row>
    <row r="22" spans="1:25" ht="16.2" thickBot="1">
      <c r="A22" s="346"/>
      <c r="B22" s="225"/>
      <c r="C22" s="225"/>
      <c r="D22" s="226"/>
      <c r="E22" s="354"/>
      <c r="F22" s="35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6"/>
      <c r="V22" s="357">
        <v>1</v>
      </c>
      <c r="W22" s="358"/>
      <c r="X22" s="358"/>
      <c r="Y22" s="359"/>
    </row>
    <row r="23" spans="1:25" ht="15.75" customHeight="1" thickBot="1">
      <c r="A23" s="299" t="s">
        <v>623</v>
      </c>
      <c r="B23" s="405"/>
      <c r="C23" s="406"/>
      <c r="D23" s="407"/>
      <c r="E23" s="392" t="s">
        <v>25</v>
      </c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4"/>
      <c r="V23" s="401"/>
      <c r="W23" s="402"/>
      <c r="X23" s="402"/>
      <c r="Y23" s="403"/>
    </row>
    <row r="24" spans="1:25" ht="15.6" thickBot="1">
      <c r="A24" s="299" t="s">
        <v>624</v>
      </c>
      <c r="B24" s="369">
        <v>241</v>
      </c>
      <c r="C24" s="369"/>
      <c r="D24" s="370"/>
      <c r="E24" s="367" t="s">
        <v>133</v>
      </c>
      <c r="F24" s="367"/>
      <c r="G24" s="367"/>
      <c r="H24" s="367"/>
      <c r="I24" s="367"/>
      <c r="J24" s="367"/>
      <c r="K24" s="367"/>
      <c r="L24" s="367"/>
      <c r="M24" s="367"/>
      <c r="N24" s="367"/>
      <c r="O24" s="367"/>
      <c r="P24" s="367"/>
      <c r="Q24" s="367"/>
      <c r="R24" s="367"/>
      <c r="S24" s="367"/>
      <c r="T24" s="367"/>
      <c r="U24" s="368"/>
      <c r="V24" s="404"/>
      <c r="W24" s="360"/>
      <c r="X24" s="360"/>
      <c r="Y24" s="361"/>
    </row>
    <row r="25" spans="1:25" ht="15.75" customHeight="1" thickBot="1">
      <c r="A25" s="299" t="s">
        <v>625</v>
      </c>
      <c r="B25" s="227"/>
      <c r="C25" s="227"/>
      <c r="D25" s="228"/>
      <c r="E25" s="392" t="s">
        <v>134</v>
      </c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4"/>
      <c r="V25" s="401">
        <f>V23</f>
        <v>0</v>
      </c>
      <c r="W25" s="402"/>
      <c r="X25" s="402"/>
      <c r="Y25" s="403"/>
    </row>
    <row r="26" spans="1:25" s="75" customFormat="1" ht="16.2" thickBot="1">
      <c r="A26" s="299" t="s">
        <v>626</v>
      </c>
      <c r="B26" s="229"/>
      <c r="C26" s="229"/>
      <c r="D26" s="230"/>
      <c r="E26" s="395" t="s">
        <v>142</v>
      </c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396"/>
      <c r="S26" s="396"/>
      <c r="T26" s="396"/>
      <c r="U26" s="397"/>
      <c r="V26" s="398"/>
      <c r="W26" s="399"/>
      <c r="X26" s="399"/>
      <c r="Y26" s="400"/>
    </row>
  </sheetData>
  <mergeCells count="47">
    <mergeCell ref="B12:D12"/>
    <mergeCell ref="B1:Y1"/>
    <mergeCell ref="B2:Y2"/>
    <mergeCell ref="E25:U25"/>
    <mergeCell ref="E26:U26"/>
    <mergeCell ref="V26:Y26"/>
    <mergeCell ref="V25:Y25"/>
    <mergeCell ref="E23:U23"/>
    <mergeCell ref="V23:Y23"/>
    <mergeCell ref="E24:U24"/>
    <mergeCell ref="V24:Y24"/>
    <mergeCell ref="B23:D23"/>
    <mergeCell ref="B24:D24"/>
    <mergeCell ref="B7:K7"/>
    <mergeCell ref="V15:Y15"/>
    <mergeCell ref="V11:Y11"/>
    <mergeCell ref="E12:U12"/>
    <mergeCell ref="V12:Y12"/>
    <mergeCell ref="E9:U11"/>
    <mergeCell ref="V9:Y9"/>
    <mergeCell ref="M4:Q4"/>
    <mergeCell ref="R4:Y4"/>
    <mergeCell ref="V10:Y10"/>
    <mergeCell ref="B16:D16"/>
    <mergeCell ref="V13:Y13"/>
    <mergeCell ref="V14:Y14"/>
    <mergeCell ref="E16:U16"/>
    <mergeCell ref="E13:U13"/>
    <mergeCell ref="E14:U14"/>
    <mergeCell ref="E15:U15"/>
    <mergeCell ref="V16:Y16"/>
    <mergeCell ref="A20:A22"/>
    <mergeCell ref="A9:A11"/>
    <mergeCell ref="E20:U22"/>
    <mergeCell ref="V20:Y20"/>
    <mergeCell ref="V21:Y21"/>
    <mergeCell ref="V22:Y22"/>
    <mergeCell ref="B17:D17"/>
    <mergeCell ref="E17:U17"/>
    <mergeCell ref="E18:U18"/>
    <mergeCell ref="V17:Y17"/>
    <mergeCell ref="B18:D18"/>
    <mergeCell ref="V18:Y18"/>
    <mergeCell ref="B9:D11"/>
    <mergeCell ref="B13:D13"/>
    <mergeCell ref="B14:D14"/>
    <mergeCell ref="B15:D15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K33"/>
  <sheetViews>
    <sheetView showGridLines="0" tabSelected="1" view="pageBreakPreview" zoomScaleNormal="100" zoomScaleSheetLayoutView="100" workbookViewId="0">
      <selection activeCell="B37" sqref="B37"/>
    </sheetView>
  </sheetViews>
  <sheetFormatPr baseColWidth="10" defaultColWidth="3.5546875" defaultRowHeight="10.199999999999999"/>
  <cols>
    <col min="1" max="1" width="11.109375" style="1" customWidth="1"/>
    <col min="2" max="2" width="9.44140625" style="1" customWidth="1"/>
    <col min="3" max="29" width="3.5546875" style="1"/>
    <col min="30" max="30" width="3.5546875" style="1" hidden="1" customWidth="1"/>
    <col min="31" max="31" width="5.21875" style="1" customWidth="1"/>
    <col min="32" max="36" width="3.5546875" style="1"/>
    <col min="37" max="37" width="15.5546875" style="1" customWidth="1"/>
    <col min="38" max="16384" width="3.5546875" style="1"/>
  </cols>
  <sheetData>
    <row r="1" spans="1:37" ht="14.55" customHeight="1">
      <c r="A1" s="439" t="s">
        <v>94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</row>
    <row r="2" spans="1:37" ht="14.4" thickBot="1">
      <c r="A2" s="441" t="s">
        <v>26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</row>
    <row r="3" spans="1:37" ht="13.8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8"/>
    </row>
    <row r="4" spans="1:37" ht="13.8">
      <c r="B4" s="417" t="s">
        <v>16</v>
      </c>
      <c r="C4" s="417"/>
      <c r="D4" s="97"/>
      <c r="E4" s="95"/>
      <c r="F4" s="95"/>
      <c r="G4" s="95"/>
      <c r="H4" s="95"/>
      <c r="I4" s="95"/>
      <c r="J4" s="96"/>
      <c r="K4" s="417" t="s">
        <v>52</v>
      </c>
      <c r="L4" s="417"/>
      <c r="M4" s="417"/>
      <c r="N4" s="417"/>
      <c r="O4" s="417"/>
      <c r="P4" s="425"/>
      <c r="Q4" s="426"/>
      <c r="R4" s="426"/>
      <c r="S4" s="426"/>
      <c r="T4" s="426"/>
      <c r="U4" s="426"/>
      <c r="V4" s="426"/>
      <c r="W4" s="426"/>
      <c r="X4" s="426"/>
      <c r="Y4" s="426"/>
      <c r="Z4" s="426"/>
      <c r="AA4" s="426"/>
      <c r="AB4" s="427"/>
      <c r="AC4" s="82"/>
      <c r="AD4" s="82"/>
      <c r="AE4" s="82"/>
      <c r="AF4" s="82"/>
      <c r="AG4" s="82"/>
      <c r="AH4" s="82"/>
      <c r="AI4" s="82"/>
      <c r="AJ4" s="82"/>
      <c r="AK4" s="89"/>
    </row>
    <row r="5" spans="1:37" ht="13.8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9"/>
    </row>
    <row r="6" spans="1:37" ht="13.8">
      <c r="A6" s="83" t="s">
        <v>5</v>
      </c>
      <c r="B6" s="98"/>
      <c r="C6" s="83" t="s">
        <v>5</v>
      </c>
      <c r="D6" s="83" t="s">
        <v>5</v>
      </c>
      <c r="E6" s="83" t="s">
        <v>5</v>
      </c>
      <c r="F6" s="83" t="s">
        <v>5</v>
      </c>
      <c r="G6" s="83" t="s">
        <v>5</v>
      </c>
      <c r="H6" s="83" t="s">
        <v>9</v>
      </c>
      <c r="I6" s="83" t="s">
        <v>9</v>
      </c>
      <c r="J6" s="83" t="s">
        <v>10</v>
      </c>
      <c r="K6" s="83" t="s">
        <v>10</v>
      </c>
      <c r="L6" s="82"/>
      <c r="M6" s="82"/>
      <c r="N6" s="83"/>
      <c r="O6" s="83"/>
      <c r="P6" s="83"/>
      <c r="Q6" s="83"/>
      <c r="R6" s="83"/>
      <c r="S6" s="82"/>
      <c r="T6" s="83"/>
      <c r="U6" s="82"/>
      <c r="V6" s="82"/>
      <c r="W6" s="83" t="s">
        <v>5</v>
      </c>
      <c r="X6" s="83" t="s">
        <v>5</v>
      </c>
      <c r="Y6" s="83"/>
      <c r="Z6" s="82"/>
      <c r="AA6" s="82"/>
      <c r="AB6" s="82"/>
      <c r="AC6" s="82"/>
      <c r="AF6" s="83">
        <v>0</v>
      </c>
      <c r="AG6" s="83">
        <v>7</v>
      </c>
      <c r="AH6" s="83" t="s">
        <v>9</v>
      </c>
      <c r="AJ6" s="82"/>
      <c r="AK6" s="83"/>
    </row>
    <row r="7" spans="1:37" ht="13.8">
      <c r="A7" s="428" t="s">
        <v>17</v>
      </c>
      <c r="B7" s="428"/>
      <c r="C7" s="428"/>
      <c r="D7" s="428"/>
      <c r="E7" s="428"/>
      <c r="F7" s="428"/>
      <c r="G7" s="428"/>
      <c r="H7" s="428"/>
      <c r="I7" s="428"/>
      <c r="J7" s="84"/>
      <c r="K7" s="82"/>
      <c r="L7" s="82"/>
      <c r="M7" s="82"/>
      <c r="N7" s="82"/>
      <c r="O7" s="82"/>
      <c r="P7" s="85" t="s">
        <v>11</v>
      </c>
      <c r="Q7" s="85"/>
      <c r="R7" s="82"/>
      <c r="S7" s="82"/>
      <c r="T7" s="82" t="s">
        <v>12</v>
      </c>
      <c r="U7" s="82"/>
      <c r="V7" s="82"/>
      <c r="W7" s="82"/>
      <c r="X7" s="84" t="s">
        <v>13</v>
      </c>
      <c r="Y7" s="82"/>
      <c r="Z7" s="82"/>
      <c r="AA7" s="82"/>
      <c r="AB7" s="82"/>
      <c r="AC7" s="82"/>
      <c r="AF7" s="428" t="s">
        <v>14</v>
      </c>
      <c r="AG7" s="428"/>
      <c r="AH7" s="84" t="s">
        <v>15</v>
      </c>
      <c r="AJ7" s="82"/>
      <c r="AK7" s="84" t="s">
        <v>21</v>
      </c>
    </row>
    <row r="8" spans="1:37" ht="14.4" thickBo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90"/>
    </row>
    <row r="9" spans="1:37" ht="14.4" thickBot="1">
      <c r="A9" s="94" t="s">
        <v>246</v>
      </c>
      <c r="B9" s="108" t="s">
        <v>114</v>
      </c>
      <c r="C9" s="429" t="s">
        <v>4</v>
      </c>
      <c r="D9" s="430"/>
      <c r="E9" s="430"/>
      <c r="F9" s="430"/>
      <c r="G9" s="430"/>
      <c r="H9" s="430"/>
      <c r="I9" s="430"/>
      <c r="J9" s="430"/>
      <c r="K9" s="430"/>
      <c r="L9" s="430"/>
      <c r="M9" s="430"/>
      <c r="N9" s="430"/>
      <c r="O9" s="430"/>
      <c r="P9" s="430"/>
      <c r="Q9" s="430"/>
      <c r="R9" s="430"/>
      <c r="S9" s="430"/>
      <c r="T9" s="430"/>
      <c r="U9" s="430"/>
      <c r="V9" s="430"/>
      <c r="W9" s="430"/>
      <c r="X9" s="430"/>
      <c r="Y9" s="430"/>
      <c r="Z9" s="430"/>
      <c r="AA9" s="430"/>
      <c r="AB9" s="430"/>
      <c r="AC9" s="430"/>
      <c r="AD9" s="430"/>
      <c r="AE9" s="431"/>
      <c r="AF9" s="433" t="s">
        <v>8</v>
      </c>
      <c r="AG9" s="434"/>
      <c r="AH9" s="434"/>
      <c r="AI9" s="434"/>
      <c r="AJ9" s="434"/>
      <c r="AK9" s="435"/>
    </row>
    <row r="10" spans="1:37" ht="15" customHeight="1" thickBot="1">
      <c r="A10" s="304" t="s">
        <v>627</v>
      </c>
      <c r="B10" s="109"/>
      <c r="C10" s="412" t="s">
        <v>67</v>
      </c>
      <c r="D10" s="413"/>
      <c r="E10" s="413"/>
      <c r="F10" s="413"/>
      <c r="G10" s="413"/>
      <c r="H10" s="413"/>
      <c r="I10" s="413"/>
      <c r="J10" s="413"/>
      <c r="K10" s="413"/>
      <c r="L10" s="413"/>
      <c r="M10" s="413"/>
      <c r="N10" s="413"/>
      <c r="O10" s="413"/>
      <c r="P10" s="413"/>
      <c r="Q10" s="413"/>
      <c r="R10" s="413"/>
      <c r="S10" s="413"/>
      <c r="T10" s="413"/>
      <c r="U10" s="413"/>
      <c r="V10" s="413"/>
      <c r="W10" s="413"/>
      <c r="X10" s="413"/>
      <c r="Y10" s="413"/>
      <c r="Z10" s="413"/>
      <c r="AA10" s="413"/>
      <c r="AB10" s="413"/>
      <c r="AC10" s="413"/>
      <c r="AD10" s="413"/>
      <c r="AE10" s="432"/>
      <c r="AF10" s="422">
        <f>AF11</f>
        <v>0</v>
      </c>
      <c r="AG10" s="423"/>
      <c r="AH10" s="423"/>
      <c r="AI10" s="423"/>
      <c r="AJ10" s="423"/>
      <c r="AK10" s="424"/>
    </row>
    <row r="11" spans="1:37" ht="15" customHeight="1" thickBot="1">
      <c r="A11" s="309" t="s">
        <v>628</v>
      </c>
      <c r="B11" s="110"/>
      <c r="C11" s="436" t="s">
        <v>68</v>
      </c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7"/>
      <c r="AA11" s="437"/>
      <c r="AB11" s="437"/>
      <c r="AC11" s="437"/>
      <c r="AD11" s="437"/>
      <c r="AE11" s="438"/>
      <c r="AF11" s="416">
        <f>+SUM(AF12:AK27)</f>
        <v>0</v>
      </c>
      <c r="AG11" s="417"/>
      <c r="AH11" s="417"/>
      <c r="AI11" s="417"/>
      <c r="AJ11" s="417"/>
      <c r="AK11" s="418"/>
    </row>
    <row r="12" spans="1:37" ht="14.4" thickBot="1">
      <c r="A12" s="309" t="s">
        <v>629</v>
      </c>
      <c r="B12" s="110" t="s">
        <v>143</v>
      </c>
      <c r="C12" s="409" t="s">
        <v>163</v>
      </c>
      <c r="D12" s="410"/>
      <c r="E12" s="410"/>
      <c r="F12" s="410"/>
      <c r="G12" s="410"/>
      <c r="H12" s="410"/>
      <c r="I12" s="410"/>
      <c r="J12" s="410"/>
      <c r="K12" s="410"/>
      <c r="L12" s="410"/>
      <c r="M12" s="410"/>
      <c r="N12" s="410"/>
      <c r="O12" s="410"/>
      <c r="P12" s="410"/>
      <c r="Q12" s="410"/>
      <c r="R12" s="410"/>
      <c r="S12" s="410"/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1"/>
      <c r="AF12" s="416" t="s">
        <v>204</v>
      </c>
      <c r="AG12" s="417"/>
      <c r="AH12" s="417"/>
      <c r="AI12" s="417"/>
      <c r="AJ12" s="417"/>
      <c r="AK12" s="418"/>
    </row>
    <row r="13" spans="1:37" ht="14.4" thickBot="1">
      <c r="A13" s="309" t="s">
        <v>630</v>
      </c>
      <c r="B13" s="110"/>
      <c r="C13" s="409" t="s">
        <v>168</v>
      </c>
      <c r="D13" s="410"/>
      <c r="E13" s="410"/>
      <c r="F13" s="410"/>
      <c r="G13" s="410"/>
      <c r="H13" s="410"/>
      <c r="I13" s="410"/>
      <c r="J13" s="410"/>
      <c r="K13" s="410"/>
      <c r="L13" s="410"/>
      <c r="M13" s="410"/>
      <c r="N13" s="410"/>
      <c r="O13" s="410"/>
      <c r="P13" s="410"/>
      <c r="Q13" s="410"/>
      <c r="R13" s="410"/>
      <c r="S13" s="410"/>
      <c r="T13" s="410"/>
      <c r="U13" s="410"/>
      <c r="V13" s="410"/>
      <c r="W13" s="410"/>
      <c r="X13" s="410"/>
      <c r="Y13" s="410"/>
      <c r="Z13" s="410"/>
      <c r="AA13" s="410"/>
      <c r="AB13" s="410"/>
      <c r="AC13" s="410"/>
      <c r="AD13" s="410"/>
      <c r="AE13" s="411"/>
      <c r="AF13" s="416" t="s">
        <v>205</v>
      </c>
      <c r="AG13" s="417"/>
      <c r="AH13" s="417"/>
      <c r="AI13" s="417"/>
      <c r="AJ13" s="417"/>
      <c r="AK13" s="418"/>
    </row>
    <row r="14" spans="1:37" ht="14.4" thickBot="1">
      <c r="A14" s="309" t="s">
        <v>631</v>
      </c>
      <c r="B14" s="110"/>
      <c r="C14" s="409" t="s">
        <v>170</v>
      </c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1"/>
      <c r="AF14" s="416" t="s">
        <v>206</v>
      </c>
      <c r="AG14" s="417"/>
      <c r="AH14" s="417"/>
      <c r="AI14" s="417"/>
      <c r="AJ14" s="417"/>
      <c r="AK14" s="418"/>
    </row>
    <row r="15" spans="1:37" ht="14.4" thickBot="1">
      <c r="A15" s="309" t="s">
        <v>632</v>
      </c>
      <c r="B15" s="110"/>
      <c r="C15" s="409" t="s">
        <v>179</v>
      </c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410"/>
      <c r="O15" s="410"/>
      <c r="P15" s="410"/>
      <c r="Q15" s="410"/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410"/>
      <c r="AD15" s="410"/>
      <c r="AE15" s="411"/>
      <c r="AF15" s="416" t="s">
        <v>207</v>
      </c>
      <c r="AG15" s="417"/>
      <c r="AH15" s="417"/>
      <c r="AI15" s="417"/>
      <c r="AJ15" s="417"/>
      <c r="AK15" s="418"/>
    </row>
    <row r="16" spans="1:37" ht="14.4" thickBot="1">
      <c r="A16" s="309" t="s">
        <v>633</v>
      </c>
      <c r="B16" s="110"/>
      <c r="C16" s="409" t="s">
        <v>169</v>
      </c>
      <c r="D16" s="410"/>
      <c r="E16" s="410"/>
      <c r="F16" s="410"/>
      <c r="G16" s="410"/>
      <c r="H16" s="410"/>
      <c r="I16" s="410"/>
      <c r="J16" s="410"/>
      <c r="K16" s="410"/>
      <c r="L16" s="410"/>
      <c r="M16" s="410"/>
      <c r="N16" s="410"/>
      <c r="O16" s="410"/>
      <c r="P16" s="410"/>
      <c r="Q16" s="410"/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0"/>
      <c r="AC16" s="410"/>
      <c r="AD16" s="410"/>
      <c r="AE16" s="411"/>
      <c r="AF16" s="416" t="s">
        <v>208</v>
      </c>
      <c r="AG16" s="417"/>
      <c r="AH16" s="417"/>
      <c r="AI16" s="417"/>
      <c r="AJ16" s="417"/>
      <c r="AK16" s="418"/>
    </row>
    <row r="17" spans="1:37" ht="14.4" thickBot="1">
      <c r="A17" s="309" t="s">
        <v>634</v>
      </c>
      <c r="B17" s="110"/>
      <c r="C17" s="409" t="s">
        <v>171</v>
      </c>
      <c r="D17" s="410"/>
      <c r="E17" s="410"/>
      <c r="F17" s="410"/>
      <c r="G17" s="410"/>
      <c r="H17" s="410"/>
      <c r="I17" s="410"/>
      <c r="J17" s="410"/>
      <c r="K17" s="410"/>
      <c r="L17" s="410"/>
      <c r="M17" s="410"/>
      <c r="N17" s="410"/>
      <c r="O17" s="410"/>
      <c r="P17" s="410"/>
      <c r="Q17" s="410"/>
      <c r="R17" s="410"/>
      <c r="S17" s="410"/>
      <c r="T17" s="410"/>
      <c r="U17" s="410"/>
      <c r="V17" s="410"/>
      <c r="W17" s="410"/>
      <c r="X17" s="410"/>
      <c r="Y17" s="410"/>
      <c r="Z17" s="410"/>
      <c r="AA17" s="410"/>
      <c r="AB17" s="410"/>
      <c r="AC17" s="410"/>
      <c r="AD17" s="410"/>
      <c r="AE17" s="411"/>
      <c r="AF17" s="416" t="s">
        <v>209</v>
      </c>
      <c r="AG17" s="417"/>
      <c r="AH17" s="417"/>
      <c r="AI17" s="417"/>
      <c r="AJ17" s="417"/>
      <c r="AK17" s="418"/>
    </row>
    <row r="18" spans="1:37" ht="14.4" thickBot="1">
      <c r="A18" s="309" t="s">
        <v>635</v>
      </c>
      <c r="B18" s="110">
        <v>50</v>
      </c>
      <c r="C18" s="409" t="s">
        <v>57</v>
      </c>
      <c r="D18" s="410"/>
      <c r="E18" s="410"/>
      <c r="F18" s="410"/>
      <c r="G18" s="410"/>
      <c r="H18" s="410"/>
      <c r="I18" s="410"/>
      <c r="J18" s="410"/>
      <c r="K18" s="410"/>
      <c r="L18" s="410"/>
      <c r="M18" s="410"/>
      <c r="N18" s="410"/>
      <c r="O18" s="410"/>
      <c r="P18" s="410"/>
      <c r="Q18" s="410"/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1"/>
      <c r="AF18" s="416" t="s">
        <v>227</v>
      </c>
      <c r="AG18" s="417"/>
      <c r="AH18" s="417"/>
      <c r="AI18" s="417"/>
      <c r="AJ18" s="417"/>
      <c r="AK18" s="418"/>
    </row>
    <row r="19" spans="1:37" ht="14.4" thickBot="1">
      <c r="A19" s="309" t="s">
        <v>638</v>
      </c>
      <c r="B19" s="110">
        <v>51</v>
      </c>
      <c r="C19" s="409" t="s">
        <v>58</v>
      </c>
      <c r="D19" s="410"/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410"/>
      <c r="AA19" s="410"/>
      <c r="AB19" s="410"/>
      <c r="AC19" s="410"/>
      <c r="AD19" s="410"/>
      <c r="AE19" s="411"/>
      <c r="AF19" s="416" t="s">
        <v>228</v>
      </c>
      <c r="AG19" s="417"/>
      <c r="AH19" s="417"/>
      <c r="AI19" s="417"/>
      <c r="AJ19" s="417"/>
      <c r="AK19" s="418"/>
    </row>
    <row r="20" spans="1:37" ht="14.4" thickBot="1">
      <c r="A20" s="309" t="s">
        <v>639</v>
      </c>
      <c r="B20" s="110">
        <v>52</v>
      </c>
      <c r="C20" s="409" t="s">
        <v>59</v>
      </c>
      <c r="D20" s="410"/>
      <c r="E20" s="410"/>
      <c r="F20" s="410"/>
      <c r="G20" s="410"/>
      <c r="H20" s="410"/>
      <c r="I20" s="410"/>
      <c r="J20" s="410"/>
      <c r="K20" s="410"/>
      <c r="L20" s="410"/>
      <c r="M20" s="410"/>
      <c r="N20" s="410"/>
      <c r="O20" s="410"/>
      <c r="P20" s="410"/>
      <c r="Q20" s="410"/>
      <c r="R20" s="410"/>
      <c r="S20" s="410"/>
      <c r="T20" s="410"/>
      <c r="U20" s="410"/>
      <c r="V20" s="410"/>
      <c r="W20" s="410"/>
      <c r="X20" s="410"/>
      <c r="Y20" s="410"/>
      <c r="Z20" s="410"/>
      <c r="AA20" s="410"/>
      <c r="AB20" s="410"/>
      <c r="AC20" s="410"/>
      <c r="AD20" s="410"/>
      <c r="AE20" s="411"/>
      <c r="AF20" s="416" t="s">
        <v>229</v>
      </c>
      <c r="AG20" s="417"/>
      <c r="AH20" s="417"/>
      <c r="AI20" s="417"/>
      <c r="AJ20" s="417"/>
      <c r="AK20" s="418"/>
    </row>
    <row r="21" spans="1:37" ht="14.4" thickBot="1">
      <c r="A21" s="309" t="s">
        <v>640</v>
      </c>
      <c r="B21" s="110">
        <v>53</v>
      </c>
      <c r="C21" s="409" t="s">
        <v>60</v>
      </c>
      <c r="D21" s="410"/>
      <c r="E21" s="410"/>
      <c r="F21" s="410"/>
      <c r="G21" s="410"/>
      <c r="H21" s="410"/>
      <c r="I21" s="410"/>
      <c r="J21" s="410"/>
      <c r="K21" s="410"/>
      <c r="L21" s="410"/>
      <c r="M21" s="410"/>
      <c r="N21" s="410"/>
      <c r="O21" s="410"/>
      <c r="P21" s="410"/>
      <c r="Q21" s="410"/>
      <c r="R21" s="410"/>
      <c r="S21" s="410"/>
      <c r="T21" s="410"/>
      <c r="U21" s="410"/>
      <c r="V21" s="410"/>
      <c r="W21" s="410"/>
      <c r="X21" s="410"/>
      <c r="Y21" s="410"/>
      <c r="Z21" s="410"/>
      <c r="AA21" s="410"/>
      <c r="AB21" s="410"/>
      <c r="AC21" s="410"/>
      <c r="AD21" s="410"/>
      <c r="AE21" s="411"/>
      <c r="AF21" s="416" t="s">
        <v>230</v>
      </c>
      <c r="AG21" s="417"/>
      <c r="AH21" s="417"/>
      <c r="AI21" s="417"/>
      <c r="AJ21" s="417"/>
      <c r="AK21" s="418"/>
    </row>
    <row r="22" spans="1:37" ht="14.4" thickBot="1">
      <c r="A22" s="309" t="s">
        <v>641</v>
      </c>
      <c r="B22" s="110">
        <v>54</v>
      </c>
      <c r="C22" s="409" t="s">
        <v>61</v>
      </c>
      <c r="D22" s="410"/>
      <c r="E22" s="410"/>
      <c r="F22" s="410"/>
      <c r="G22" s="410"/>
      <c r="H22" s="410"/>
      <c r="I22" s="410"/>
      <c r="J22" s="410"/>
      <c r="K22" s="410"/>
      <c r="L22" s="410"/>
      <c r="M22" s="410"/>
      <c r="N22" s="410"/>
      <c r="O22" s="410"/>
      <c r="P22" s="410"/>
      <c r="Q22" s="410"/>
      <c r="R22" s="410"/>
      <c r="S22" s="410"/>
      <c r="T22" s="410"/>
      <c r="U22" s="410"/>
      <c r="V22" s="410"/>
      <c r="W22" s="410"/>
      <c r="X22" s="410"/>
      <c r="Y22" s="410"/>
      <c r="Z22" s="410"/>
      <c r="AA22" s="410"/>
      <c r="AB22" s="410"/>
      <c r="AC22" s="410"/>
      <c r="AD22" s="410"/>
      <c r="AE22" s="411"/>
      <c r="AF22" s="416" t="s">
        <v>231</v>
      </c>
      <c r="AG22" s="417"/>
      <c r="AH22" s="417"/>
      <c r="AI22" s="417"/>
      <c r="AJ22" s="417"/>
      <c r="AK22" s="418"/>
    </row>
    <row r="23" spans="1:37" ht="14.4" thickBot="1">
      <c r="A23" s="309" t="s">
        <v>642</v>
      </c>
      <c r="B23" s="110">
        <v>55</v>
      </c>
      <c r="C23" s="409" t="s">
        <v>62</v>
      </c>
      <c r="D23" s="410"/>
      <c r="E23" s="410"/>
      <c r="F23" s="410"/>
      <c r="G23" s="410"/>
      <c r="H23" s="410"/>
      <c r="I23" s="410"/>
      <c r="J23" s="410"/>
      <c r="K23" s="410"/>
      <c r="L23" s="410"/>
      <c r="M23" s="410"/>
      <c r="N23" s="410"/>
      <c r="O23" s="410"/>
      <c r="P23" s="410"/>
      <c r="Q23" s="410"/>
      <c r="R23" s="410"/>
      <c r="S23" s="410"/>
      <c r="T23" s="410"/>
      <c r="U23" s="410"/>
      <c r="V23" s="410"/>
      <c r="W23" s="410"/>
      <c r="X23" s="410"/>
      <c r="Y23" s="410"/>
      <c r="Z23" s="410"/>
      <c r="AA23" s="410"/>
      <c r="AB23" s="410"/>
      <c r="AC23" s="410"/>
      <c r="AD23" s="410"/>
      <c r="AE23" s="411"/>
      <c r="AF23" s="416" t="s">
        <v>232</v>
      </c>
      <c r="AG23" s="417"/>
      <c r="AH23" s="417"/>
      <c r="AI23" s="417"/>
      <c r="AJ23" s="417"/>
      <c r="AK23" s="418"/>
    </row>
    <row r="24" spans="1:37" ht="14.4" thickBot="1">
      <c r="A24" s="309" t="s">
        <v>645</v>
      </c>
      <c r="B24" s="110">
        <v>56</v>
      </c>
      <c r="C24" s="409" t="s">
        <v>63</v>
      </c>
      <c r="D24" s="410"/>
      <c r="E24" s="410"/>
      <c r="F24" s="410"/>
      <c r="G24" s="410"/>
      <c r="H24" s="410"/>
      <c r="I24" s="410"/>
      <c r="J24" s="410"/>
      <c r="K24" s="410"/>
      <c r="L24" s="410"/>
      <c r="M24" s="410"/>
      <c r="N24" s="410"/>
      <c r="O24" s="410"/>
      <c r="P24" s="410"/>
      <c r="Q24" s="410"/>
      <c r="R24" s="410"/>
      <c r="S24" s="410"/>
      <c r="T24" s="410"/>
      <c r="U24" s="410"/>
      <c r="V24" s="410"/>
      <c r="W24" s="410"/>
      <c r="X24" s="410"/>
      <c r="Y24" s="410"/>
      <c r="Z24" s="410"/>
      <c r="AA24" s="410"/>
      <c r="AB24" s="410"/>
      <c r="AC24" s="410"/>
      <c r="AD24" s="410"/>
      <c r="AE24" s="411"/>
      <c r="AF24" s="416" t="s">
        <v>233</v>
      </c>
      <c r="AG24" s="417"/>
      <c r="AH24" s="417"/>
      <c r="AI24" s="417"/>
      <c r="AJ24" s="417"/>
      <c r="AK24" s="418"/>
    </row>
    <row r="25" spans="1:37" ht="14.4" thickBot="1">
      <c r="A25" s="309" t="s">
        <v>646</v>
      </c>
      <c r="B25" s="110">
        <v>572</v>
      </c>
      <c r="C25" s="409" t="s">
        <v>64</v>
      </c>
      <c r="D25" s="410"/>
      <c r="E25" s="410"/>
      <c r="F25" s="410"/>
      <c r="G25" s="410"/>
      <c r="H25" s="410"/>
      <c r="I25" s="410"/>
      <c r="J25" s="410"/>
      <c r="K25" s="410"/>
      <c r="L25" s="410"/>
      <c r="M25" s="410"/>
      <c r="N25" s="410"/>
      <c r="O25" s="410"/>
      <c r="P25" s="410"/>
      <c r="Q25" s="410"/>
      <c r="R25" s="410"/>
      <c r="S25" s="410"/>
      <c r="T25" s="410"/>
      <c r="U25" s="410"/>
      <c r="V25" s="410"/>
      <c r="W25" s="410"/>
      <c r="X25" s="410"/>
      <c r="Y25" s="410"/>
      <c r="Z25" s="410"/>
      <c r="AA25" s="410"/>
      <c r="AB25" s="410"/>
      <c r="AC25" s="410"/>
      <c r="AD25" s="410"/>
      <c r="AE25" s="411"/>
      <c r="AF25" s="416" t="s">
        <v>234</v>
      </c>
      <c r="AG25" s="417"/>
      <c r="AH25" s="417"/>
      <c r="AI25" s="417"/>
      <c r="AJ25" s="417"/>
      <c r="AK25" s="418"/>
    </row>
    <row r="26" spans="1:37" ht="14.4" thickBot="1">
      <c r="A26" s="309" t="s">
        <v>647</v>
      </c>
      <c r="B26" s="110">
        <v>58</v>
      </c>
      <c r="C26" s="409" t="s">
        <v>65</v>
      </c>
      <c r="D26" s="410"/>
      <c r="E26" s="410"/>
      <c r="F26" s="410"/>
      <c r="G26" s="410"/>
      <c r="H26" s="410"/>
      <c r="I26" s="410"/>
      <c r="J26" s="410"/>
      <c r="K26" s="410"/>
      <c r="L26" s="410"/>
      <c r="M26" s="410"/>
      <c r="N26" s="410"/>
      <c r="O26" s="410"/>
      <c r="P26" s="410"/>
      <c r="Q26" s="410"/>
      <c r="R26" s="410"/>
      <c r="S26" s="410"/>
      <c r="T26" s="410"/>
      <c r="U26" s="410"/>
      <c r="V26" s="410"/>
      <c r="W26" s="410"/>
      <c r="X26" s="410"/>
      <c r="Y26" s="410"/>
      <c r="Z26" s="410"/>
      <c r="AA26" s="410"/>
      <c r="AB26" s="410"/>
      <c r="AC26" s="410"/>
      <c r="AD26" s="410"/>
      <c r="AE26" s="411"/>
      <c r="AF26" s="416" t="s">
        <v>235</v>
      </c>
      <c r="AG26" s="417"/>
      <c r="AH26" s="417"/>
      <c r="AI26" s="417"/>
      <c r="AJ26" s="417"/>
      <c r="AK26" s="418"/>
    </row>
    <row r="27" spans="1:37" ht="14.4" thickBot="1">
      <c r="A27" s="309" t="s">
        <v>648</v>
      </c>
      <c r="B27" s="110">
        <v>59</v>
      </c>
      <c r="C27" s="409" t="s">
        <v>66</v>
      </c>
      <c r="D27" s="410"/>
      <c r="E27" s="410"/>
      <c r="F27" s="410"/>
      <c r="G27" s="410"/>
      <c r="H27" s="410"/>
      <c r="I27" s="410"/>
      <c r="J27" s="410"/>
      <c r="K27" s="410"/>
      <c r="L27" s="410"/>
      <c r="M27" s="410"/>
      <c r="N27" s="410"/>
      <c r="O27" s="410"/>
      <c r="P27" s="410"/>
      <c r="Q27" s="410"/>
      <c r="R27" s="410"/>
      <c r="S27" s="410"/>
      <c r="T27" s="410"/>
      <c r="U27" s="410"/>
      <c r="V27" s="410"/>
      <c r="W27" s="410"/>
      <c r="X27" s="410"/>
      <c r="Y27" s="410"/>
      <c r="Z27" s="410"/>
      <c r="AA27" s="410"/>
      <c r="AB27" s="410"/>
      <c r="AC27" s="410"/>
      <c r="AD27" s="410"/>
      <c r="AE27" s="411"/>
      <c r="AF27" s="419" t="s">
        <v>236</v>
      </c>
      <c r="AG27" s="420"/>
      <c r="AH27" s="420"/>
      <c r="AI27" s="420"/>
      <c r="AJ27" s="420"/>
      <c r="AK27" s="421"/>
    </row>
    <row r="28" spans="1:37" ht="14.4" thickBot="1">
      <c r="A28" s="309" t="s">
        <v>649</v>
      </c>
      <c r="B28" s="111"/>
      <c r="C28" s="412" t="s">
        <v>27</v>
      </c>
      <c r="D28" s="413"/>
      <c r="E28" s="413"/>
      <c r="F28" s="413"/>
      <c r="G28" s="413"/>
      <c r="H28" s="413"/>
      <c r="I28" s="413"/>
      <c r="J28" s="413"/>
      <c r="K28" s="413"/>
      <c r="L28" s="413"/>
      <c r="M28" s="413"/>
      <c r="N28" s="413"/>
      <c r="O28" s="413"/>
      <c r="P28" s="413"/>
      <c r="Q28" s="413"/>
      <c r="R28" s="413"/>
      <c r="S28" s="413"/>
      <c r="T28" s="413"/>
      <c r="U28" s="413"/>
      <c r="V28" s="413"/>
      <c r="W28" s="413"/>
      <c r="X28" s="413"/>
      <c r="Y28" s="413"/>
      <c r="Z28" s="413"/>
      <c r="AA28" s="413"/>
      <c r="AB28" s="413"/>
      <c r="AC28" s="413"/>
      <c r="AD28" s="413"/>
      <c r="AE28" s="413"/>
      <c r="AF28" s="422">
        <f>SUM(AF29:AK31)</f>
        <v>0</v>
      </c>
      <c r="AG28" s="423"/>
      <c r="AH28" s="423"/>
      <c r="AI28" s="423"/>
      <c r="AJ28" s="423"/>
      <c r="AK28" s="424"/>
    </row>
    <row r="29" spans="1:37" ht="14.4" thickBot="1">
      <c r="A29" s="309" t="s">
        <v>650</v>
      </c>
      <c r="B29" s="110"/>
      <c r="C29" s="414" t="s">
        <v>167</v>
      </c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5"/>
      <c r="AE29" s="415"/>
      <c r="AF29" s="416" t="s">
        <v>166</v>
      </c>
      <c r="AG29" s="417"/>
      <c r="AH29" s="417"/>
      <c r="AI29" s="417"/>
      <c r="AJ29" s="417"/>
      <c r="AK29" s="418"/>
    </row>
    <row r="30" spans="1:37" ht="14.4" thickBot="1">
      <c r="A30" s="309" t="s">
        <v>651</v>
      </c>
      <c r="B30" s="110">
        <v>21</v>
      </c>
      <c r="C30" s="414" t="s">
        <v>144</v>
      </c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415"/>
      <c r="AF30" s="416" t="s">
        <v>165</v>
      </c>
      <c r="AG30" s="417"/>
      <c r="AH30" s="417"/>
      <c r="AI30" s="417"/>
      <c r="AJ30" s="417"/>
      <c r="AK30" s="418"/>
    </row>
    <row r="31" spans="1:37" ht="14.4" thickBot="1">
      <c r="A31" s="309" t="s">
        <v>652</v>
      </c>
      <c r="B31" s="110"/>
      <c r="C31" s="414" t="s">
        <v>164</v>
      </c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  <c r="AA31" s="415"/>
      <c r="AB31" s="415"/>
      <c r="AC31" s="415"/>
      <c r="AD31" s="415"/>
      <c r="AE31" s="415"/>
      <c r="AF31" s="416" t="s">
        <v>210</v>
      </c>
      <c r="AG31" s="417"/>
      <c r="AH31" s="417"/>
      <c r="AI31" s="417"/>
      <c r="AJ31" s="417"/>
      <c r="AK31" s="418"/>
    </row>
    <row r="32" spans="1:37" ht="14.4" thickBot="1">
      <c r="A32" s="309" t="s">
        <v>653</v>
      </c>
      <c r="B32" s="112"/>
      <c r="C32" s="412" t="s">
        <v>28</v>
      </c>
      <c r="D32" s="413"/>
      <c r="E32" s="413"/>
      <c r="F32" s="413"/>
      <c r="G32" s="413"/>
      <c r="H32" s="413"/>
      <c r="I32" s="413"/>
      <c r="J32" s="413"/>
      <c r="K32" s="413"/>
      <c r="L32" s="413"/>
      <c r="M32" s="413"/>
      <c r="N32" s="413"/>
      <c r="O32" s="413"/>
      <c r="P32" s="413"/>
      <c r="Q32" s="413"/>
      <c r="R32" s="413"/>
      <c r="S32" s="413"/>
      <c r="T32" s="413"/>
      <c r="U32" s="413"/>
      <c r="V32" s="413"/>
      <c r="W32" s="413"/>
      <c r="X32" s="413"/>
      <c r="Y32" s="413"/>
      <c r="Z32" s="413"/>
      <c r="AA32" s="413"/>
      <c r="AB32" s="413"/>
      <c r="AC32" s="413"/>
      <c r="AD32" s="413"/>
      <c r="AE32" s="413"/>
      <c r="AF32" s="422" t="e">
        <f>AF10/AF28</f>
        <v>#DIV/0!</v>
      </c>
      <c r="AG32" s="423"/>
      <c r="AH32" s="423"/>
      <c r="AI32" s="423"/>
      <c r="AJ32" s="423"/>
      <c r="AK32" s="424"/>
    </row>
    <row r="33" spans="1:37" ht="14.4" thickBot="1">
      <c r="A33" s="310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6"/>
      <c r="AG33" s="87"/>
      <c r="AH33" s="87"/>
      <c r="AI33" s="87"/>
      <c r="AJ33" s="87"/>
      <c r="AK33" s="90"/>
    </row>
  </sheetData>
  <mergeCells count="55">
    <mergeCell ref="A1:AK1"/>
    <mergeCell ref="A2:AK2"/>
    <mergeCell ref="AF19:AK19"/>
    <mergeCell ref="AF20:AK20"/>
    <mergeCell ref="AF21:AK21"/>
    <mergeCell ref="AF18:AK18"/>
    <mergeCell ref="C13:AE13"/>
    <mergeCell ref="C16:AE16"/>
    <mergeCell ref="C17:AE17"/>
    <mergeCell ref="C18:AE18"/>
    <mergeCell ref="C14:AE14"/>
    <mergeCell ref="C15:AE15"/>
    <mergeCell ref="AF14:AK14"/>
    <mergeCell ref="AF15:AK15"/>
    <mergeCell ref="B4:C4"/>
    <mergeCell ref="C19:AE19"/>
    <mergeCell ref="AF22:AK22"/>
    <mergeCell ref="K4:O4"/>
    <mergeCell ref="P4:AB4"/>
    <mergeCell ref="A7:I7"/>
    <mergeCell ref="AF7:AG7"/>
    <mergeCell ref="C9:AE9"/>
    <mergeCell ref="C10:AE10"/>
    <mergeCell ref="AF9:AK9"/>
    <mergeCell ref="AF10:AK10"/>
    <mergeCell ref="AF11:AK11"/>
    <mergeCell ref="AF12:AK12"/>
    <mergeCell ref="C11:AE11"/>
    <mergeCell ref="C12:AE12"/>
    <mergeCell ref="AF13:AK13"/>
    <mergeCell ref="AF16:AK16"/>
    <mergeCell ref="AF17:AK17"/>
    <mergeCell ref="AF32:AK32"/>
    <mergeCell ref="AF28:AK28"/>
    <mergeCell ref="AF29:AK29"/>
    <mergeCell ref="AF30:AK30"/>
    <mergeCell ref="AF31:AK31"/>
    <mergeCell ref="AF25:AK25"/>
    <mergeCell ref="AF26:AK26"/>
    <mergeCell ref="AF27:AK27"/>
    <mergeCell ref="AF23:AK23"/>
    <mergeCell ref="AF24:AK24"/>
    <mergeCell ref="C32:AE32"/>
    <mergeCell ref="C29:AE29"/>
    <mergeCell ref="C31:AE31"/>
    <mergeCell ref="C26:AE26"/>
    <mergeCell ref="C27:AE27"/>
    <mergeCell ref="C30:AE30"/>
    <mergeCell ref="C28:AE28"/>
    <mergeCell ref="C20:AE20"/>
    <mergeCell ref="C21:AE21"/>
    <mergeCell ref="C22:AE22"/>
    <mergeCell ref="C25:AE25"/>
    <mergeCell ref="C23:AE23"/>
    <mergeCell ref="C24:AE24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U31"/>
  <sheetViews>
    <sheetView showGridLines="0" view="pageBreakPreview" zoomScale="90" zoomScaleNormal="100" zoomScaleSheetLayoutView="90" workbookViewId="0">
      <selection activeCell="D24" sqref="D24:M24"/>
    </sheetView>
  </sheetViews>
  <sheetFormatPr baseColWidth="10" defaultColWidth="11.44140625" defaultRowHeight="10.199999999999999"/>
  <cols>
    <col min="1" max="1" width="17.109375" style="11" customWidth="1"/>
    <col min="2" max="2" width="10.88671875" style="11" customWidth="1"/>
    <col min="3" max="3" width="4.6640625" style="11" customWidth="1"/>
    <col min="4" max="11" width="2.77734375" style="11" customWidth="1"/>
    <col min="12" max="12" width="16.77734375" style="11" customWidth="1"/>
    <col min="13" max="13" width="4.21875" style="11" customWidth="1"/>
    <col min="14" max="14" width="9" style="11" customWidth="1"/>
    <col min="15" max="15" width="8.77734375" style="11" customWidth="1"/>
    <col min="16" max="16" width="2.77734375" style="11" customWidth="1"/>
    <col min="17" max="17" width="12.44140625" style="11" customWidth="1"/>
    <col min="18" max="18" width="18.21875" style="11" customWidth="1"/>
    <col min="19" max="20" width="12.77734375" style="11" customWidth="1"/>
    <col min="21" max="21" width="7.44140625" style="11" customWidth="1"/>
    <col min="22" max="39" width="2.77734375" style="11" customWidth="1"/>
    <col min="40" max="16384" width="11.44140625" style="11"/>
  </cols>
  <sheetData>
    <row r="1" spans="1:21" ht="10.8" thickBot="1">
      <c r="A1" s="477" t="s">
        <v>184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</row>
    <row r="2" spans="1:21" ht="10.8" thickBot="1">
      <c r="A2" s="460" t="s">
        <v>6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</row>
    <row r="3" spans="1:21">
      <c r="A3" s="79"/>
    </row>
    <row r="4" spans="1:21">
      <c r="A4" s="79"/>
      <c r="B4" s="11" t="s">
        <v>16</v>
      </c>
      <c r="K4" s="100"/>
      <c r="L4" s="100"/>
      <c r="M4" s="100"/>
      <c r="N4" s="485" t="s">
        <v>180</v>
      </c>
      <c r="O4" s="486"/>
      <c r="P4" s="99"/>
      <c r="Q4" s="100"/>
      <c r="R4" s="100"/>
      <c r="S4" s="100"/>
      <c r="T4" s="100"/>
      <c r="U4" s="100"/>
    </row>
    <row r="5" spans="1:21">
      <c r="A5" s="79"/>
    </row>
    <row r="6" spans="1:21">
      <c r="A6" s="79"/>
      <c r="D6" s="80" t="s">
        <v>5</v>
      </c>
      <c r="E6" s="80" t="s">
        <v>5</v>
      </c>
      <c r="F6" s="80" t="s">
        <v>5</v>
      </c>
      <c r="G6" s="80" t="s">
        <v>5</v>
      </c>
      <c r="H6" s="80" t="s">
        <v>9</v>
      </c>
      <c r="I6" s="80" t="s">
        <v>9</v>
      </c>
      <c r="J6" s="80" t="s">
        <v>10</v>
      </c>
      <c r="K6" s="80" t="s">
        <v>10</v>
      </c>
      <c r="O6" s="80"/>
    </row>
    <row r="7" spans="1:21" ht="10.8" thickBot="1">
      <c r="A7" s="79"/>
      <c r="D7" s="487" t="s">
        <v>17</v>
      </c>
      <c r="E7" s="487"/>
      <c r="F7" s="487"/>
      <c r="G7" s="487"/>
      <c r="H7" s="487"/>
      <c r="I7" s="487"/>
      <c r="J7" s="487"/>
      <c r="K7" s="487"/>
      <c r="L7" s="78"/>
      <c r="O7" s="11" t="s">
        <v>12</v>
      </c>
    </row>
    <row r="8" spans="1:21" ht="15" customHeight="1" thickBot="1">
      <c r="A8" s="482" t="s">
        <v>18</v>
      </c>
      <c r="B8" s="483"/>
      <c r="C8" s="483"/>
      <c r="D8" s="483"/>
      <c r="E8" s="484"/>
    </row>
    <row r="9" spans="1:21" ht="13.5" customHeight="1" thickBot="1">
      <c r="A9" s="482" t="s">
        <v>217</v>
      </c>
      <c r="B9" s="483"/>
      <c r="C9" s="483"/>
      <c r="D9" s="483"/>
      <c r="E9" s="484"/>
      <c r="F9" s="479" t="s">
        <v>19</v>
      </c>
      <c r="G9" s="480"/>
      <c r="H9" s="480"/>
      <c r="I9" s="480"/>
      <c r="J9" s="480"/>
      <c r="K9" s="480"/>
      <c r="L9" s="480"/>
      <c r="M9" s="481"/>
      <c r="N9" s="463" t="s">
        <v>203</v>
      </c>
      <c r="O9" s="464"/>
      <c r="P9" s="464"/>
      <c r="Q9" s="465"/>
      <c r="R9" s="91"/>
      <c r="S9" s="91"/>
      <c r="T9" s="91"/>
      <c r="U9" s="91"/>
    </row>
    <row r="10" spans="1:21" ht="14.25" customHeight="1" thickBot="1">
      <c r="A10" s="469"/>
      <c r="B10" s="470"/>
      <c r="C10" s="470"/>
      <c r="D10" s="470"/>
      <c r="E10" s="470"/>
      <c r="F10" s="470"/>
      <c r="G10" s="470"/>
      <c r="H10" s="470"/>
      <c r="I10" s="470"/>
      <c r="J10" s="470"/>
      <c r="K10" s="470"/>
      <c r="L10" s="470"/>
      <c r="M10" s="471"/>
      <c r="N10" s="463"/>
      <c r="O10" s="464"/>
      <c r="P10" s="464"/>
      <c r="Q10" s="465"/>
      <c r="R10" s="91"/>
      <c r="S10" s="91"/>
      <c r="T10" s="91"/>
      <c r="U10" s="91"/>
    </row>
    <row r="11" spans="1:21" ht="15.75" customHeight="1" thickBot="1">
      <c r="A11" s="472" t="s">
        <v>2</v>
      </c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4"/>
      <c r="N11" s="463" t="e">
        <f>10%*N9</f>
        <v>#VALUE!</v>
      </c>
      <c r="O11" s="464"/>
      <c r="P11" s="464"/>
      <c r="Q11" s="465"/>
      <c r="R11" s="91"/>
      <c r="S11" s="91"/>
      <c r="T11" s="91"/>
      <c r="U11" s="91"/>
    </row>
    <row r="12" spans="1:21" ht="10.8" hidden="1" thickBot="1">
      <c r="A12" s="469" t="s">
        <v>20</v>
      </c>
      <c r="B12" s="470"/>
      <c r="C12" s="470"/>
      <c r="D12" s="470"/>
      <c r="E12" s="470"/>
      <c r="F12" s="470"/>
      <c r="G12" s="470"/>
      <c r="H12" s="470"/>
      <c r="I12" s="470"/>
      <c r="J12" s="470"/>
      <c r="K12" s="470"/>
      <c r="L12" s="470"/>
      <c r="M12" s="471"/>
    </row>
    <row r="13" spans="1:21" ht="14.55" customHeight="1">
      <c r="A13" s="443" t="s">
        <v>246</v>
      </c>
      <c r="B13" s="443" t="s">
        <v>216</v>
      </c>
      <c r="C13" s="242"/>
      <c r="D13" s="451" t="s">
        <v>238</v>
      </c>
      <c r="E13" s="452"/>
      <c r="F13" s="452"/>
      <c r="G13" s="452"/>
      <c r="H13" s="452"/>
      <c r="I13" s="452"/>
      <c r="J13" s="452"/>
      <c r="K13" s="452"/>
      <c r="L13" s="452"/>
      <c r="M13" s="453"/>
      <c r="N13" s="451" t="s">
        <v>242</v>
      </c>
      <c r="O13" s="452"/>
      <c r="P13" s="452"/>
      <c r="Q13" s="453"/>
      <c r="R13" s="466" t="s">
        <v>243</v>
      </c>
      <c r="S13" s="451" t="s">
        <v>181</v>
      </c>
      <c r="T13" s="452"/>
      <c r="U13" s="453"/>
    </row>
    <row r="14" spans="1:21" ht="24.45" customHeight="1">
      <c r="A14" s="444"/>
      <c r="B14" s="444"/>
      <c r="C14" s="243"/>
      <c r="D14" s="454"/>
      <c r="E14" s="455"/>
      <c r="F14" s="455"/>
      <c r="G14" s="455"/>
      <c r="H14" s="455"/>
      <c r="I14" s="455"/>
      <c r="J14" s="455"/>
      <c r="K14" s="455"/>
      <c r="L14" s="455"/>
      <c r="M14" s="456"/>
      <c r="N14" s="454"/>
      <c r="O14" s="455"/>
      <c r="P14" s="455"/>
      <c r="Q14" s="456"/>
      <c r="R14" s="467"/>
      <c r="S14" s="454"/>
      <c r="T14" s="455"/>
      <c r="U14" s="456"/>
    </row>
    <row r="15" spans="1:21" ht="18" customHeight="1" thickBot="1">
      <c r="A15" s="444"/>
      <c r="B15" s="444"/>
      <c r="C15" s="243"/>
      <c r="D15" s="454"/>
      <c r="E15" s="455"/>
      <c r="F15" s="455"/>
      <c r="G15" s="455"/>
      <c r="H15" s="455"/>
      <c r="I15" s="455"/>
      <c r="J15" s="455"/>
      <c r="K15" s="455"/>
      <c r="L15" s="455"/>
      <c r="M15" s="456"/>
      <c r="N15" s="457"/>
      <c r="O15" s="458"/>
      <c r="P15" s="458"/>
      <c r="Q15" s="459"/>
      <c r="R15" s="468"/>
      <c r="S15" s="457"/>
      <c r="T15" s="458"/>
      <c r="U15" s="459"/>
    </row>
    <row r="16" spans="1:21" ht="15.45" customHeight="1" thickBot="1">
      <c r="A16" s="445"/>
      <c r="B16" s="445"/>
      <c r="C16" s="244"/>
      <c r="D16" s="457"/>
      <c r="E16" s="458"/>
      <c r="F16" s="458"/>
      <c r="G16" s="458"/>
      <c r="H16" s="458"/>
      <c r="I16" s="458"/>
      <c r="J16" s="458"/>
      <c r="K16" s="458"/>
      <c r="L16" s="458"/>
      <c r="M16" s="459"/>
      <c r="N16" s="460">
        <v>1</v>
      </c>
      <c r="O16" s="461"/>
      <c r="P16" s="461"/>
      <c r="Q16" s="462"/>
      <c r="R16" s="239" t="s">
        <v>437</v>
      </c>
      <c r="S16" s="460" t="s">
        <v>438</v>
      </c>
      <c r="T16" s="461"/>
      <c r="U16" s="462"/>
    </row>
    <row r="17" spans="1:21" ht="14.55" customHeight="1" thickBot="1">
      <c r="A17" s="300" t="s">
        <v>636</v>
      </c>
      <c r="B17" s="503">
        <v>1</v>
      </c>
      <c r="C17" s="504"/>
      <c r="D17" s="475"/>
      <c r="E17" s="447"/>
      <c r="F17" s="447"/>
      <c r="G17" s="447"/>
      <c r="H17" s="447"/>
      <c r="I17" s="447"/>
      <c r="J17" s="447"/>
      <c r="K17" s="447"/>
      <c r="L17" s="447"/>
      <c r="M17" s="476"/>
      <c r="N17" s="505"/>
      <c r="O17" s="449"/>
      <c r="P17" s="449"/>
      <c r="Q17" s="450"/>
      <c r="R17" s="240"/>
      <c r="S17" s="446"/>
      <c r="T17" s="447"/>
      <c r="U17" s="447"/>
    </row>
    <row r="18" spans="1:21" ht="14.55" customHeight="1" thickBot="1">
      <c r="A18" s="301" t="s">
        <v>637</v>
      </c>
      <c r="B18" s="503">
        <v>2</v>
      </c>
      <c r="C18" s="504"/>
      <c r="D18" s="448"/>
      <c r="E18" s="449"/>
      <c r="F18" s="449"/>
      <c r="G18" s="449"/>
      <c r="H18" s="449"/>
      <c r="I18" s="449"/>
      <c r="J18" s="449"/>
      <c r="K18" s="449"/>
      <c r="L18" s="449"/>
      <c r="M18" s="450"/>
      <c r="N18" s="448"/>
      <c r="O18" s="449"/>
      <c r="P18" s="449"/>
      <c r="Q18" s="450"/>
      <c r="R18" s="240"/>
      <c r="S18" s="448"/>
      <c r="T18" s="449"/>
      <c r="U18" s="450"/>
    </row>
    <row r="19" spans="1:21" ht="14.55" customHeight="1" thickBot="1">
      <c r="A19" s="301" t="s">
        <v>638</v>
      </c>
      <c r="B19" s="503">
        <v>3</v>
      </c>
      <c r="C19" s="504"/>
      <c r="D19" s="448"/>
      <c r="E19" s="449"/>
      <c r="F19" s="449"/>
      <c r="G19" s="449"/>
      <c r="H19" s="449"/>
      <c r="I19" s="449"/>
      <c r="J19" s="449"/>
      <c r="K19" s="449"/>
      <c r="L19" s="449"/>
      <c r="M19" s="450"/>
      <c r="N19" s="448"/>
      <c r="O19" s="449"/>
      <c r="P19" s="449"/>
      <c r="Q19" s="450"/>
      <c r="R19" s="240"/>
      <c r="S19" s="448"/>
      <c r="T19" s="449"/>
      <c r="U19" s="450"/>
    </row>
    <row r="20" spans="1:21" ht="14.55" customHeight="1" thickBot="1">
      <c r="A20" s="301" t="s">
        <v>639</v>
      </c>
      <c r="B20" s="503">
        <v>4</v>
      </c>
      <c r="C20" s="504"/>
      <c r="D20" s="448"/>
      <c r="E20" s="449"/>
      <c r="F20" s="449"/>
      <c r="G20" s="449"/>
      <c r="H20" s="449"/>
      <c r="I20" s="449"/>
      <c r="J20" s="449"/>
      <c r="K20" s="449"/>
      <c r="L20" s="449"/>
      <c r="M20" s="450"/>
      <c r="N20" s="448"/>
      <c r="O20" s="449"/>
      <c r="P20" s="449"/>
      <c r="Q20" s="450"/>
      <c r="R20" s="240"/>
      <c r="S20" s="448"/>
      <c r="T20" s="449"/>
      <c r="U20" s="450"/>
    </row>
    <row r="21" spans="1:21" ht="14.55" customHeight="1" thickBot="1">
      <c r="A21" s="301" t="s">
        <v>640</v>
      </c>
      <c r="B21" s="503">
        <v>5</v>
      </c>
      <c r="C21" s="504"/>
      <c r="D21" s="448"/>
      <c r="E21" s="449"/>
      <c r="F21" s="449"/>
      <c r="G21" s="449"/>
      <c r="H21" s="449"/>
      <c r="I21" s="449"/>
      <c r="J21" s="449"/>
      <c r="K21" s="449"/>
      <c r="L21" s="449"/>
      <c r="M21" s="450"/>
      <c r="N21" s="448"/>
      <c r="O21" s="449"/>
      <c r="P21" s="449"/>
      <c r="Q21" s="450"/>
      <c r="R21" s="240"/>
      <c r="S21" s="448"/>
      <c r="T21" s="449"/>
      <c r="U21" s="450"/>
    </row>
    <row r="22" spans="1:21" ht="14.55" customHeight="1" thickBot="1">
      <c r="A22" s="301" t="s">
        <v>641</v>
      </c>
      <c r="B22" s="503">
        <v>6</v>
      </c>
      <c r="C22" s="504"/>
      <c r="D22" s="448"/>
      <c r="E22" s="449"/>
      <c r="F22" s="449"/>
      <c r="G22" s="449"/>
      <c r="H22" s="449"/>
      <c r="I22" s="449"/>
      <c r="J22" s="449"/>
      <c r="K22" s="449"/>
      <c r="L22" s="449"/>
      <c r="M22" s="450"/>
      <c r="N22" s="448"/>
      <c r="O22" s="449"/>
      <c r="P22" s="449"/>
      <c r="Q22" s="450"/>
      <c r="R22" s="240"/>
      <c r="S22" s="448"/>
      <c r="T22" s="449"/>
      <c r="U22" s="450"/>
    </row>
    <row r="23" spans="1:21" ht="14.55" customHeight="1" thickBot="1">
      <c r="A23" s="301" t="s">
        <v>642</v>
      </c>
      <c r="B23" s="503">
        <v>7</v>
      </c>
      <c r="C23" s="504"/>
      <c r="D23" s="448"/>
      <c r="E23" s="449"/>
      <c r="F23" s="449"/>
      <c r="G23" s="449"/>
      <c r="H23" s="449"/>
      <c r="I23" s="449"/>
      <c r="J23" s="449"/>
      <c r="K23" s="449"/>
      <c r="L23" s="449"/>
      <c r="M23" s="450"/>
      <c r="N23" s="448"/>
      <c r="O23" s="449"/>
      <c r="P23" s="449"/>
      <c r="Q23" s="450"/>
      <c r="R23" s="240"/>
      <c r="S23" s="448"/>
      <c r="T23" s="449"/>
      <c r="U23" s="450"/>
    </row>
    <row r="24" spans="1:21" ht="14.55" customHeight="1" thickBot="1">
      <c r="A24" s="301" t="s">
        <v>643</v>
      </c>
      <c r="B24" s="503">
        <v>8</v>
      </c>
      <c r="C24" s="504"/>
      <c r="D24" s="448"/>
      <c r="E24" s="449"/>
      <c r="F24" s="449"/>
      <c r="G24" s="449"/>
      <c r="H24" s="449"/>
      <c r="I24" s="449"/>
      <c r="J24" s="449"/>
      <c r="K24" s="449"/>
      <c r="L24" s="449"/>
      <c r="M24" s="450"/>
      <c r="N24" s="448"/>
      <c r="O24" s="449"/>
      <c r="P24" s="449"/>
      <c r="Q24" s="450"/>
      <c r="R24" s="240"/>
      <c r="S24" s="448"/>
      <c r="T24" s="449"/>
      <c r="U24" s="450"/>
    </row>
    <row r="25" spans="1:21" ht="14.55" customHeight="1" thickBot="1">
      <c r="A25" s="301" t="s">
        <v>644</v>
      </c>
      <c r="B25" s="503">
        <v>9</v>
      </c>
      <c r="C25" s="504"/>
      <c r="D25" s="448"/>
      <c r="E25" s="449"/>
      <c r="F25" s="449"/>
      <c r="G25" s="449"/>
      <c r="H25" s="449"/>
      <c r="I25" s="449"/>
      <c r="J25" s="449"/>
      <c r="K25" s="449"/>
      <c r="L25" s="449"/>
      <c r="M25" s="450"/>
      <c r="N25" s="448"/>
      <c r="O25" s="449"/>
      <c r="P25" s="449"/>
      <c r="Q25" s="450"/>
      <c r="R25" s="240"/>
      <c r="S25" s="448"/>
      <c r="T25" s="449"/>
      <c r="U25" s="450"/>
    </row>
    <row r="26" spans="1:21" ht="14.55" customHeight="1" thickBot="1">
      <c r="A26" s="301" t="s">
        <v>654</v>
      </c>
      <c r="B26" s="503">
        <v>10</v>
      </c>
      <c r="C26" s="504"/>
      <c r="D26" s="448"/>
      <c r="E26" s="449"/>
      <c r="F26" s="449"/>
      <c r="G26" s="449"/>
      <c r="H26" s="449"/>
      <c r="I26" s="449"/>
      <c r="J26" s="449"/>
      <c r="K26" s="449"/>
      <c r="L26" s="449"/>
      <c r="M26" s="450"/>
      <c r="N26" s="448"/>
      <c r="O26" s="449"/>
      <c r="P26" s="449"/>
      <c r="Q26" s="450"/>
      <c r="R26" s="240"/>
      <c r="S26" s="448"/>
      <c r="T26" s="449"/>
      <c r="U26" s="450"/>
    </row>
    <row r="27" spans="1:21" ht="14.55" customHeight="1" thickBot="1">
      <c r="A27" s="301" t="s">
        <v>655</v>
      </c>
      <c r="B27" s="503">
        <v>11</v>
      </c>
      <c r="C27" s="504"/>
      <c r="D27" s="448"/>
      <c r="E27" s="449"/>
      <c r="F27" s="449"/>
      <c r="G27" s="449"/>
      <c r="H27" s="449"/>
      <c r="I27" s="449"/>
      <c r="J27" s="449"/>
      <c r="K27" s="449"/>
      <c r="L27" s="449"/>
      <c r="M27" s="450"/>
      <c r="N27" s="448"/>
      <c r="O27" s="449"/>
      <c r="P27" s="449"/>
      <c r="Q27" s="450"/>
      <c r="R27" s="240"/>
      <c r="S27" s="448"/>
      <c r="T27" s="449"/>
      <c r="U27" s="450"/>
    </row>
    <row r="28" spans="1:21" ht="14.55" customHeight="1" thickBot="1">
      <c r="A28" s="301" t="s">
        <v>656</v>
      </c>
      <c r="B28" s="503">
        <v>12</v>
      </c>
      <c r="C28" s="504"/>
      <c r="D28" s="448"/>
      <c r="E28" s="449"/>
      <c r="F28" s="449"/>
      <c r="G28" s="449"/>
      <c r="H28" s="449"/>
      <c r="I28" s="449"/>
      <c r="J28" s="449"/>
      <c r="K28" s="449"/>
      <c r="L28" s="449"/>
      <c r="M28" s="450"/>
      <c r="N28" s="448"/>
      <c r="O28" s="449"/>
      <c r="P28" s="449"/>
      <c r="Q28" s="450"/>
      <c r="R28" s="240"/>
      <c r="S28" s="448"/>
      <c r="T28" s="449"/>
      <c r="U28" s="450"/>
    </row>
    <row r="29" spans="1:21" ht="15" customHeight="1" thickBot="1">
      <c r="A29" s="301" t="s">
        <v>645</v>
      </c>
      <c r="B29" s="503">
        <v>13</v>
      </c>
      <c r="C29" s="504"/>
      <c r="D29" s="491"/>
      <c r="E29" s="492"/>
      <c r="F29" s="492"/>
      <c r="G29" s="492"/>
      <c r="H29" s="492"/>
      <c r="I29" s="492"/>
      <c r="J29" s="492"/>
      <c r="K29" s="492"/>
      <c r="L29" s="492"/>
      <c r="M29" s="493"/>
      <c r="N29" s="448"/>
      <c r="O29" s="449"/>
      <c r="P29" s="449"/>
      <c r="Q29" s="450"/>
      <c r="R29" s="240"/>
      <c r="S29" s="491"/>
      <c r="T29" s="492"/>
      <c r="U29" s="493"/>
    </row>
    <row r="30" spans="1:21" s="92" customFormat="1" ht="15" customHeight="1" thickBot="1">
      <c r="A30" s="299" t="s">
        <v>657</v>
      </c>
      <c r="B30" s="503">
        <v>14</v>
      </c>
      <c r="C30" s="504"/>
      <c r="D30" s="488" t="s">
        <v>182</v>
      </c>
      <c r="E30" s="489"/>
      <c r="F30" s="489"/>
      <c r="G30" s="489"/>
      <c r="H30" s="489"/>
      <c r="I30" s="489"/>
      <c r="J30" s="489"/>
      <c r="K30" s="489"/>
      <c r="L30" s="489"/>
      <c r="M30" s="490"/>
      <c r="N30" s="494">
        <f>SUM(N17:Q29)</f>
        <v>0</v>
      </c>
      <c r="O30" s="495"/>
      <c r="P30" s="495"/>
      <c r="Q30" s="496"/>
      <c r="R30" s="241"/>
      <c r="S30" s="500">
        <f>SUM(S17:U29)</f>
        <v>0</v>
      </c>
      <c r="T30" s="501"/>
      <c r="U30" s="502"/>
    </row>
    <row r="31" spans="1:21" ht="15.75" customHeight="1" thickBot="1">
      <c r="A31" s="302" t="s">
        <v>658</v>
      </c>
      <c r="B31" s="503">
        <v>15</v>
      </c>
      <c r="C31" s="504"/>
      <c r="D31" s="460" t="s">
        <v>183</v>
      </c>
      <c r="E31" s="461"/>
      <c r="F31" s="461"/>
      <c r="G31" s="461"/>
      <c r="H31" s="461"/>
      <c r="I31" s="461"/>
      <c r="J31" s="461"/>
      <c r="K31" s="461"/>
      <c r="L31" s="461"/>
      <c r="M31" s="461"/>
      <c r="N31" s="461"/>
      <c r="O31" s="461"/>
      <c r="P31" s="461"/>
      <c r="Q31" s="461"/>
      <c r="R31" s="462"/>
      <c r="S31" s="497">
        <f>S30</f>
        <v>0</v>
      </c>
      <c r="T31" s="498"/>
      <c r="U31" s="499"/>
    </row>
  </sheetData>
  <mergeCells count="80">
    <mergeCell ref="B29:C29"/>
    <mergeCell ref="B30:C30"/>
    <mergeCell ref="B31:C31"/>
    <mergeCell ref="B24:C24"/>
    <mergeCell ref="B25:C25"/>
    <mergeCell ref="B26:C26"/>
    <mergeCell ref="B27:C27"/>
    <mergeCell ref="B28:C28"/>
    <mergeCell ref="S26:U26"/>
    <mergeCell ref="S24:U24"/>
    <mergeCell ref="N23:Q23"/>
    <mergeCell ref="D22:M22"/>
    <mergeCell ref="B17:C17"/>
    <mergeCell ref="B18:C18"/>
    <mergeCell ref="B19:C19"/>
    <mergeCell ref="B20:C20"/>
    <mergeCell ref="B21:C21"/>
    <mergeCell ref="B22:C22"/>
    <mergeCell ref="B23:C23"/>
    <mergeCell ref="N17:Q17"/>
    <mergeCell ref="N22:Q22"/>
    <mergeCell ref="N20:Q20"/>
    <mergeCell ref="S31:U31"/>
    <mergeCell ref="S30:U30"/>
    <mergeCell ref="S29:U29"/>
    <mergeCell ref="S27:U27"/>
    <mergeCell ref="S28:U28"/>
    <mergeCell ref="D28:M28"/>
    <mergeCell ref="D24:M24"/>
    <mergeCell ref="D27:M27"/>
    <mergeCell ref="D31:R31"/>
    <mergeCell ref="D30:M30"/>
    <mergeCell ref="N28:Q28"/>
    <mergeCell ref="D25:M25"/>
    <mergeCell ref="N29:Q29"/>
    <mergeCell ref="N25:Q25"/>
    <mergeCell ref="D29:M29"/>
    <mergeCell ref="D26:M26"/>
    <mergeCell ref="N30:Q30"/>
    <mergeCell ref="N26:Q26"/>
    <mergeCell ref="N24:Q24"/>
    <mergeCell ref="N27:Q27"/>
    <mergeCell ref="A1:U1"/>
    <mergeCell ref="F9:M9"/>
    <mergeCell ref="A2:U2"/>
    <mergeCell ref="A8:E8"/>
    <mergeCell ref="A9:E9"/>
    <mergeCell ref="N4:O4"/>
    <mergeCell ref="D7:K7"/>
    <mergeCell ref="N11:Q11"/>
    <mergeCell ref="N10:Q10"/>
    <mergeCell ref="N9:Q9"/>
    <mergeCell ref="D13:M16"/>
    <mergeCell ref="S25:U25"/>
    <mergeCell ref="R13:R15"/>
    <mergeCell ref="A10:M10"/>
    <mergeCell ref="A11:M11"/>
    <mergeCell ref="A12:M12"/>
    <mergeCell ref="N13:Q15"/>
    <mergeCell ref="D17:M17"/>
    <mergeCell ref="D19:M19"/>
    <mergeCell ref="S19:U19"/>
    <mergeCell ref="S20:U20"/>
    <mergeCell ref="D21:M21"/>
    <mergeCell ref="D20:M20"/>
    <mergeCell ref="A13:A16"/>
    <mergeCell ref="B13:B16"/>
    <mergeCell ref="S17:U17"/>
    <mergeCell ref="D23:M23"/>
    <mergeCell ref="D18:M18"/>
    <mergeCell ref="S13:U15"/>
    <mergeCell ref="N16:Q16"/>
    <mergeCell ref="S16:U16"/>
    <mergeCell ref="N21:Q21"/>
    <mergeCell ref="S21:U21"/>
    <mergeCell ref="S22:U22"/>
    <mergeCell ref="S23:U23"/>
    <mergeCell ref="S18:U18"/>
    <mergeCell ref="N18:Q18"/>
    <mergeCell ref="N19:Q19"/>
  </mergeCells>
  <phoneticPr fontId="37" type="noConversion"/>
  <pageMargins left="0.19685039370078741" right="0.19685039370078741" top="0.74803149606299213" bottom="0.74803149606299213" header="0.31496062992125984" footer="0.31496062992125984"/>
  <pageSetup paperSize="9" scale="75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A22"/>
  <sheetViews>
    <sheetView showGridLines="0" view="pageBreakPreview" zoomScaleNormal="100" zoomScaleSheetLayoutView="100" workbookViewId="0">
      <selection activeCell="E23" sqref="E23"/>
    </sheetView>
  </sheetViews>
  <sheetFormatPr baseColWidth="10" defaultColWidth="3.21875" defaultRowHeight="9.6"/>
  <cols>
    <col min="1" max="1" width="13.77734375" style="12" customWidth="1"/>
    <col min="2" max="2" width="6.44140625" style="12" customWidth="1"/>
    <col min="3" max="11" width="3.21875" style="12"/>
    <col min="12" max="12" width="33.5546875" style="12" customWidth="1"/>
    <col min="13" max="16" width="3.21875" style="12"/>
    <col min="17" max="17" width="6.21875" style="12" customWidth="1"/>
    <col min="18" max="21" width="3.21875" style="12"/>
    <col min="22" max="22" width="8.44140625" style="12" customWidth="1"/>
    <col min="23" max="26" width="3.21875" style="12"/>
    <col min="27" max="27" width="10.21875" style="12" customWidth="1"/>
    <col min="28" max="16384" width="3.21875" style="12"/>
  </cols>
  <sheetData>
    <row r="1" spans="1:27" ht="14.25" customHeight="1">
      <c r="B1" s="546" t="s">
        <v>69</v>
      </c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</row>
    <row r="2" spans="1:27" ht="15.75" customHeight="1" thickBot="1">
      <c r="B2" s="546" t="s">
        <v>98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</row>
    <row r="3" spans="1:27" ht="15" customHeigh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customHeight="1">
      <c r="B4" s="5"/>
      <c r="C4" s="30" t="s">
        <v>16</v>
      </c>
      <c r="D4" s="1"/>
      <c r="E4" s="1"/>
      <c r="F4" s="101"/>
      <c r="G4" s="102"/>
      <c r="H4" s="102"/>
      <c r="I4" s="102"/>
      <c r="J4" s="103"/>
      <c r="K4" s="1"/>
      <c r="L4" s="1"/>
      <c r="M4" s="547" t="s">
        <v>52</v>
      </c>
      <c r="N4" s="547"/>
      <c r="O4" s="547"/>
      <c r="P4" s="547"/>
      <c r="Q4" s="548"/>
      <c r="R4" s="549"/>
      <c r="S4" s="550"/>
      <c r="T4" s="550"/>
      <c r="U4" s="550"/>
      <c r="V4" s="550"/>
      <c r="W4" s="550"/>
      <c r="X4" s="550"/>
      <c r="Y4" s="550"/>
      <c r="Z4" s="550"/>
      <c r="AA4" s="1"/>
    </row>
    <row r="5" spans="1:27" ht="15" customHeight="1"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customHeight="1">
      <c r="B6" s="5"/>
      <c r="C6" s="1"/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  <c r="I6" s="7" t="s">
        <v>9</v>
      </c>
      <c r="J6" s="7" t="s">
        <v>9</v>
      </c>
      <c r="K6" s="7" t="s">
        <v>10</v>
      </c>
      <c r="L6" s="7" t="s">
        <v>10</v>
      </c>
      <c r="M6" s="1"/>
      <c r="N6" s="1"/>
      <c r="O6" s="1"/>
      <c r="P6" s="7"/>
      <c r="Q6" s="7"/>
      <c r="R6" s="7"/>
      <c r="S6" s="7"/>
      <c r="T6" s="7"/>
      <c r="U6" s="1"/>
      <c r="V6" s="1"/>
      <c r="W6" s="7">
        <v>0</v>
      </c>
      <c r="X6" s="7">
        <v>7</v>
      </c>
      <c r="Y6" s="1"/>
      <c r="Z6" s="1"/>
      <c r="AA6" s="1"/>
    </row>
    <row r="7" spans="1:27" ht="15" customHeight="1">
      <c r="B7" s="5"/>
      <c r="C7" s="1"/>
      <c r="D7" s="555" t="s">
        <v>17</v>
      </c>
      <c r="E7" s="555"/>
      <c r="F7" s="555"/>
      <c r="G7" s="555"/>
      <c r="H7" s="555"/>
      <c r="I7" s="555"/>
      <c r="J7" s="555"/>
      <c r="K7" s="555"/>
      <c r="L7" s="30"/>
      <c r="M7" s="1"/>
      <c r="N7" s="1"/>
      <c r="O7" s="1"/>
      <c r="P7" s="1"/>
      <c r="Q7" s="1"/>
      <c r="R7" s="31" t="s">
        <v>11</v>
      </c>
      <c r="S7" s="31"/>
      <c r="T7" s="1"/>
      <c r="U7" s="1"/>
      <c r="V7" s="1"/>
      <c r="W7" s="555" t="s">
        <v>14</v>
      </c>
      <c r="X7" s="555"/>
      <c r="Y7" s="1"/>
      <c r="Z7" s="1"/>
      <c r="AA7" s="1"/>
    </row>
    <row r="8" spans="1:27" ht="15" customHeight="1" thickBot="1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 customHeight="1">
      <c r="B9" s="559" t="s">
        <v>215</v>
      </c>
      <c r="C9" s="560"/>
      <c r="D9" s="560"/>
      <c r="E9" s="560"/>
      <c r="F9" s="560"/>
      <c r="G9" s="561"/>
      <c r="H9" s="235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</row>
    <row r="10" spans="1:27" ht="15" customHeight="1" thickBot="1">
      <c r="B10" s="562"/>
      <c r="C10" s="546"/>
      <c r="D10" s="546"/>
      <c r="E10" s="546"/>
      <c r="F10" s="546"/>
      <c r="G10" s="563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</row>
    <row r="11" spans="1:27" ht="15.75" customHeight="1" thickBot="1">
      <c r="B11" s="562"/>
      <c r="C11" s="546"/>
      <c r="D11" s="546"/>
      <c r="E11" s="546"/>
      <c r="F11" s="546"/>
      <c r="G11" s="563"/>
      <c r="H11" s="506" t="s">
        <v>30</v>
      </c>
      <c r="I11" s="507"/>
      <c r="J11" s="507"/>
      <c r="K11" s="507"/>
      <c r="L11" s="507"/>
      <c r="M11" s="507"/>
      <c r="N11" s="507"/>
      <c r="O11" s="507"/>
      <c r="P11" s="507"/>
      <c r="Q11" s="507"/>
      <c r="R11" s="556" t="s">
        <v>198</v>
      </c>
      <c r="S11" s="557"/>
      <c r="T11" s="557"/>
      <c r="U11" s="557"/>
      <c r="V11" s="558"/>
      <c r="W11" s="234"/>
      <c r="X11" s="234"/>
      <c r="Y11" s="234"/>
      <c r="Z11" s="234"/>
      <c r="AA11" s="234"/>
    </row>
    <row r="12" spans="1:27" ht="15.75" customHeight="1" thickBot="1">
      <c r="B12" s="562"/>
      <c r="C12" s="546"/>
      <c r="D12" s="546"/>
      <c r="E12" s="546"/>
      <c r="F12" s="546"/>
      <c r="G12" s="563"/>
      <c r="H12" s="506"/>
      <c r="I12" s="507"/>
      <c r="J12" s="507"/>
      <c r="K12" s="507"/>
      <c r="L12" s="507"/>
      <c r="M12" s="507"/>
      <c r="N12" s="507"/>
      <c r="O12" s="507"/>
      <c r="P12" s="507"/>
      <c r="Q12" s="507"/>
      <c r="R12" s="564"/>
      <c r="S12" s="565"/>
      <c r="T12" s="565"/>
      <c r="U12" s="565"/>
      <c r="V12" s="566"/>
      <c r="W12" s="234"/>
      <c r="X12" s="234"/>
      <c r="Y12" s="234"/>
      <c r="Z12" s="234"/>
      <c r="AA12" s="234"/>
    </row>
    <row r="13" spans="1:27" ht="15.75" customHeight="1" thickBot="1">
      <c r="B13" s="562"/>
      <c r="C13" s="546"/>
      <c r="D13" s="546"/>
      <c r="E13" s="546"/>
      <c r="F13" s="546"/>
      <c r="G13" s="563"/>
      <c r="H13" s="506" t="s">
        <v>2</v>
      </c>
      <c r="I13" s="507"/>
      <c r="J13" s="507"/>
      <c r="K13" s="507"/>
      <c r="L13" s="507"/>
      <c r="M13" s="507"/>
      <c r="N13" s="507"/>
      <c r="O13" s="507"/>
      <c r="P13" s="507"/>
      <c r="Q13" s="507"/>
      <c r="R13" s="567" t="e">
        <f>R11*10%</f>
        <v>#VALUE!</v>
      </c>
      <c r="S13" s="568"/>
      <c r="T13" s="568"/>
      <c r="U13" s="568"/>
      <c r="V13" s="569"/>
      <c r="W13" s="234"/>
      <c r="X13" s="234"/>
      <c r="Y13" s="234"/>
      <c r="Z13" s="234"/>
      <c r="AA13" s="234"/>
    </row>
    <row r="14" spans="1:27" ht="15.75" customHeight="1">
      <c r="A14" s="543" t="s">
        <v>237</v>
      </c>
      <c r="B14" s="551" t="s">
        <v>216</v>
      </c>
      <c r="C14" s="519" t="s">
        <v>3</v>
      </c>
      <c r="D14" s="519"/>
      <c r="E14" s="519"/>
      <c r="F14" s="519"/>
      <c r="G14" s="519"/>
      <c r="H14" s="519"/>
      <c r="I14" s="519"/>
      <c r="J14" s="519"/>
      <c r="K14" s="519"/>
      <c r="L14" s="520"/>
      <c r="M14" s="525" t="s">
        <v>31</v>
      </c>
      <c r="N14" s="526"/>
      <c r="O14" s="526"/>
      <c r="P14" s="526"/>
      <c r="Q14" s="527"/>
      <c r="R14" s="525" t="s">
        <v>430</v>
      </c>
      <c r="S14" s="526"/>
      <c r="T14" s="526"/>
      <c r="U14" s="526"/>
      <c r="V14" s="526"/>
      <c r="W14" s="554" t="s">
        <v>431</v>
      </c>
      <c r="X14" s="554"/>
      <c r="Y14" s="554"/>
      <c r="Z14" s="554"/>
      <c r="AA14" s="554"/>
    </row>
    <row r="15" spans="1:27" ht="24.75" customHeight="1" thickBot="1">
      <c r="A15" s="544"/>
      <c r="B15" s="552"/>
      <c r="C15" s="521"/>
      <c r="D15" s="521"/>
      <c r="E15" s="521"/>
      <c r="F15" s="521"/>
      <c r="G15" s="521"/>
      <c r="H15" s="521"/>
      <c r="I15" s="521"/>
      <c r="J15" s="521"/>
      <c r="K15" s="521"/>
      <c r="L15" s="522"/>
      <c r="M15" s="528"/>
      <c r="N15" s="529"/>
      <c r="O15" s="529"/>
      <c r="P15" s="529"/>
      <c r="Q15" s="530"/>
      <c r="R15" s="528"/>
      <c r="S15" s="529"/>
      <c r="T15" s="529"/>
      <c r="U15" s="529"/>
      <c r="V15" s="529"/>
      <c r="W15" s="554"/>
      <c r="X15" s="554"/>
      <c r="Y15" s="554"/>
      <c r="Z15" s="554"/>
      <c r="AA15" s="554"/>
    </row>
    <row r="16" spans="1:27" ht="33.75" customHeight="1" thickBot="1">
      <c r="A16" s="545"/>
      <c r="B16" s="553"/>
      <c r="C16" s="523"/>
      <c r="D16" s="523"/>
      <c r="E16" s="523"/>
      <c r="F16" s="523"/>
      <c r="G16" s="523"/>
      <c r="H16" s="523"/>
      <c r="I16" s="523"/>
      <c r="J16" s="523"/>
      <c r="K16" s="523"/>
      <c r="L16" s="524"/>
      <c r="M16" s="514">
        <v>1</v>
      </c>
      <c r="N16" s="515"/>
      <c r="O16" s="515"/>
      <c r="P16" s="515"/>
      <c r="Q16" s="516"/>
      <c r="R16" s="514">
        <v>2</v>
      </c>
      <c r="S16" s="515"/>
      <c r="T16" s="515"/>
      <c r="U16" s="515"/>
      <c r="V16" s="515"/>
      <c r="W16" s="508" t="s">
        <v>432</v>
      </c>
      <c r="X16" s="508"/>
      <c r="Y16" s="508"/>
      <c r="Z16" s="508"/>
      <c r="AA16" s="508"/>
    </row>
    <row r="17" spans="1:27" ht="15" customHeight="1" thickBot="1">
      <c r="A17" s="301" t="s">
        <v>659</v>
      </c>
      <c r="B17" s="303">
        <v>1</v>
      </c>
      <c r="C17" s="387"/>
      <c r="D17" s="388"/>
      <c r="E17" s="388"/>
      <c r="F17" s="388"/>
      <c r="G17" s="388"/>
      <c r="H17" s="388"/>
      <c r="I17" s="388"/>
      <c r="J17" s="388"/>
      <c r="K17" s="388"/>
      <c r="L17" s="389"/>
      <c r="M17" s="509" t="s">
        <v>433</v>
      </c>
      <c r="N17" s="510"/>
      <c r="O17" s="510"/>
      <c r="P17" s="510"/>
      <c r="Q17" s="511"/>
      <c r="R17" s="509" t="s">
        <v>434</v>
      </c>
      <c r="S17" s="510"/>
      <c r="T17" s="510"/>
      <c r="U17" s="510"/>
      <c r="V17" s="510"/>
      <c r="W17" s="512"/>
      <c r="X17" s="513"/>
      <c r="Y17" s="513"/>
      <c r="Z17" s="513"/>
      <c r="AA17" s="513"/>
    </row>
    <row r="18" spans="1:27" ht="15.75" customHeight="1" thickBot="1">
      <c r="A18" s="301" t="s">
        <v>660</v>
      </c>
      <c r="B18" s="289">
        <v>2</v>
      </c>
      <c r="C18" s="517" t="s">
        <v>331</v>
      </c>
      <c r="D18" s="517"/>
      <c r="E18" s="517"/>
      <c r="F18" s="517"/>
      <c r="G18" s="517"/>
      <c r="H18" s="517"/>
      <c r="I18" s="517"/>
      <c r="J18" s="517"/>
      <c r="K18" s="517"/>
      <c r="L18" s="518"/>
      <c r="M18" s="509" t="s">
        <v>435</v>
      </c>
      <c r="N18" s="510"/>
      <c r="O18" s="510"/>
      <c r="P18" s="510"/>
      <c r="Q18" s="511"/>
      <c r="R18" s="509" t="s">
        <v>436</v>
      </c>
      <c r="S18" s="510"/>
      <c r="T18" s="510"/>
      <c r="U18" s="510"/>
      <c r="V18" s="510"/>
      <c r="W18" s="512"/>
      <c r="X18" s="512"/>
      <c r="Y18" s="512"/>
      <c r="Z18" s="512"/>
      <c r="AA18" s="512"/>
    </row>
    <row r="19" spans="1:27" ht="15.75" customHeight="1" thickBot="1">
      <c r="A19" s="301" t="s">
        <v>661</v>
      </c>
      <c r="B19" s="289">
        <v>3</v>
      </c>
      <c r="C19" s="531" t="s">
        <v>332</v>
      </c>
      <c r="D19" s="531"/>
      <c r="E19" s="531"/>
      <c r="F19" s="531"/>
      <c r="G19" s="531"/>
      <c r="H19" s="531"/>
      <c r="I19" s="531"/>
      <c r="J19" s="531"/>
      <c r="K19" s="531"/>
      <c r="L19" s="539"/>
      <c r="M19" s="533" t="e">
        <f>+M17+M18</f>
        <v>#VALUE!</v>
      </c>
      <c r="N19" s="534"/>
      <c r="O19" s="534"/>
      <c r="P19" s="534"/>
      <c r="Q19" s="536"/>
      <c r="R19" s="533" t="e">
        <f>+R17+R18</f>
        <v>#VALUE!</v>
      </c>
      <c r="S19" s="534"/>
      <c r="T19" s="534"/>
      <c r="U19" s="534"/>
      <c r="V19" s="534"/>
      <c r="W19" s="535">
        <f>+W17+W18</f>
        <v>0</v>
      </c>
      <c r="X19" s="535"/>
      <c r="Y19" s="535"/>
      <c r="Z19" s="535"/>
      <c r="AA19" s="535"/>
    </row>
    <row r="20" spans="1:27" ht="16.5" customHeight="1" thickBot="1">
      <c r="A20" s="301" t="s">
        <v>662</v>
      </c>
      <c r="B20" s="289">
        <v>4</v>
      </c>
      <c r="C20" s="531" t="s">
        <v>333</v>
      </c>
      <c r="D20" s="531"/>
      <c r="E20" s="531"/>
      <c r="F20" s="531"/>
      <c r="G20" s="531"/>
      <c r="H20" s="531"/>
      <c r="I20" s="531"/>
      <c r="J20" s="531"/>
      <c r="K20" s="531"/>
      <c r="L20" s="539"/>
      <c r="M20" s="540"/>
      <c r="N20" s="541"/>
      <c r="O20" s="541"/>
      <c r="P20" s="541"/>
      <c r="Q20" s="541"/>
      <c r="R20" s="541"/>
      <c r="S20" s="541"/>
      <c r="T20" s="541"/>
      <c r="U20" s="541"/>
      <c r="V20" s="541"/>
      <c r="W20" s="538" t="e">
        <f>+W19/R11</f>
        <v>#VALUE!</v>
      </c>
      <c r="X20" s="538"/>
      <c r="Y20" s="538"/>
      <c r="Z20" s="538"/>
      <c r="AA20" s="538"/>
    </row>
    <row r="21" spans="1:27" ht="20.25" customHeight="1" thickBot="1">
      <c r="A21" s="301" t="s">
        <v>663</v>
      </c>
      <c r="B21" s="289">
        <v>5</v>
      </c>
      <c r="C21" s="542" t="s">
        <v>189</v>
      </c>
      <c r="D21" s="507"/>
      <c r="E21" s="507"/>
      <c r="F21" s="507"/>
      <c r="G21" s="507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  <c r="T21" s="507"/>
      <c r="U21" s="507"/>
      <c r="V21" s="507"/>
      <c r="W21" s="537" t="s">
        <v>444</v>
      </c>
      <c r="X21" s="538"/>
      <c r="Y21" s="538"/>
      <c r="Z21" s="538"/>
      <c r="AA21" s="538"/>
    </row>
    <row r="22" spans="1:27" ht="13.8" thickBot="1">
      <c r="B22" s="233"/>
      <c r="C22" s="531" t="s">
        <v>32</v>
      </c>
      <c r="D22" s="531"/>
      <c r="E22" s="531"/>
      <c r="F22" s="531"/>
      <c r="G22" s="531"/>
      <c r="H22" s="531"/>
      <c r="I22" s="531"/>
      <c r="J22" s="531"/>
      <c r="K22" s="531"/>
      <c r="L22" s="531"/>
      <c r="M22" s="531"/>
      <c r="N22" s="531"/>
      <c r="O22" s="531"/>
      <c r="P22" s="531"/>
      <c r="Q22" s="531"/>
      <c r="R22" s="531"/>
      <c r="S22" s="531"/>
      <c r="T22" s="531"/>
      <c r="U22" s="531"/>
      <c r="V22" s="531"/>
      <c r="W22" s="532"/>
      <c r="X22" s="532"/>
      <c r="Y22" s="532"/>
      <c r="Z22" s="532"/>
      <c r="AA22" s="532"/>
    </row>
  </sheetData>
  <mergeCells count="40">
    <mergeCell ref="A14:A16"/>
    <mergeCell ref="B1:AA1"/>
    <mergeCell ref="B2:AA2"/>
    <mergeCell ref="M4:Q4"/>
    <mergeCell ref="R4:Z4"/>
    <mergeCell ref="B14:B16"/>
    <mergeCell ref="R14:V15"/>
    <mergeCell ref="W14:AA15"/>
    <mergeCell ref="H13:Q13"/>
    <mergeCell ref="D7:K7"/>
    <mergeCell ref="W7:X7"/>
    <mergeCell ref="H11:Q11"/>
    <mergeCell ref="R11:V11"/>
    <mergeCell ref="B9:G13"/>
    <mergeCell ref="R12:V12"/>
    <mergeCell ref="R13:V13"/>
    <mergeCell ref="C22:AA22"/>
    <mergeCell ref="R19:V19"/>
    <mergeCell ref="W19:AA19"/>
    <mergeCell ref="M19:Q19"/>
    <mergeCell ref="W21:AA21"/>
    <mergeCell ref="C20:L20"/>
    <mergeCell ref="W20:AA20"/>
    <mergeCell ref="M20:V20"/>
    <mergeCell ref="C19:L19"/>
    <mergeCell ref="C21:V21"/>
    <mergeCell ref="H12:Q12"/>
    <mergeCell ref="W16:AA16"/>
    <mergeCell ref="M18:Q18"/>
    <mergeCell ref="M17:Q17"/>
    <mergeCell ref="R17:V17"/>
    <mergeCell ref="W17:AA17"/>
    <mergeCell ref="R18:V18"/>
    <mergeCell ref="W18:AA18"/>
    <mergeCell ref="M16:Q16"/>
    <mergeCell ref="R16:V16"/>
    <mergeCell ref="C18:L18"/>
    <mergeCell ref="C14:L16"/>
    <mergeCell ref="M14:Q15"/>
    <mergeCell ref="C17:L17"/>
  </mergeCells>
  <phoneticPr fontId="37" type="noConversion"/>
  <pageMargins left="1.0236220472440944" right="0.70866141732283472" top="0.74803149606299213" bottom="0.74803149606299213" header="0.31496062992125984" footer="0.31496062992125984"/>
  <pageSetup paperSize="9" scale="8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7942-16A0-49E9-908A-480060F2AA37}">
  <sheetPr>
    <tabColor rgb="FF00B0F0"/>
  </sheetPr>
  <dimension ref="A1:AK38"/>
  <sheetViews>
    <sheetView showGridLines="0" view="pageBreakPreview" zoomScaleNormal="100" zoomScaleSheetLayoutView="100" workbookViewId="0">
      <selection activeCell="D22" sqref="D22:S22"/>
    </sheetView>
  </sheetViews>
  <sheetFormatPr baseColWidth="10" defaultColWidth="3.5546875" defaultRowHeight="10.199999999999999"/>
  <cols>
    <col min="1" max="1" width="15" style="1" customWidth="1"/>
    <col min="2" max="2" width="3.5546875" style="1"/>
    <col min="3" max="3" width="2.21875" style="1" customWidth="1"/>
    <col min="4" max="18" width="3.5546875" style="1"/>
    <col min="19" max="19" width="17.77734375" style="1" customWidth="1"/>
    <col min="20" max="36" width="3.5546875" style="1"/>
    <col min="37" max="37" width="3.5546875" style="1" customWidth="1"/>
    <col min="38" max="16384" width="3.5546875" style="1"/>
  </cols>
  <sheetData>
    <row r="1" spans="1:37">
      <c r="A1" s="599" t="s">
        <v>78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601"/>
    </row>
    <row r="2" spans="1:37" ht="10.8" thickBot="1">
      <c r="A2" s="667" t="s">
        <v>7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668"/>
      <c r="AA2" s="668"/>
      <c r="AB2" s="668"/>
      <c r="AC2" s="668"/>
      <c r="AD2" s="668"/>
      <c r="AE2" s="668"/>
      <c r="AF2" s="668"/>
      <c r="AG2" s="668"/>
      <c r="AH2" s="668"/>
      <c r="AI2" s="668"/>
      <c r="AJ2" s="668"/>
      <c r="AK2" s="669"/>
    </row>
    <row r="3" spans="1:37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4"/>
    </row>
    <row r="4" spans="1:37">
      <c r="A4" s="5" t="s">
        <v>213</v>
      </c>
      <c r="C4" s="104"/>
      <c r="D4" s="102"/>
      <c r="E4" s="102"/>
      <c r="F4" s="102"/>
      <c r="G4" s="102"/>
      <c r="H4" s="102"/>
      <c r="I4" s="102"/>
      <c r="J4" s="103"/>
      <c r="M4" s="1" t="s">
        <v>52</v>
      </c>
      <c r="Q4" s="104"/>
      <c r="S4" s="101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K4" s="6"/>
    </row>
    <row r="5" spans="1:37">
      <c r="A5" s="5"/>
      <c r="AK5" s="6"/>
    </row>
    <row r="6" spans="1:37">
      <c r="A6" s="5"/>
      <c r="D6" s="7" t="s">
        <v>5</v>
      </c>
      <c r="E6" s="7" t="s">
        <v>5</v>
      </c>
      <c r="F6" s="7" t="s">
        <v>5</v>
      </c>
      <c r="G6" s="7" t="s">
        <v>9</v>
      </c>
      <c r="H6" s="7" t="s">
        <v>9</v>
      </c>
      <c r="I6" s="7" t="s">
        <v>10</v>
      </c>
      <c r="J6" s="7" t="s">
        <v>10</v>
      </c>
      <c r="O6" s="7"/>
      <c r="P6" s="7"/>
      <c r="Q6" s="7"/>
      <c r="R6" s="7"/>
      <c r="S6" s="7"/>
      <c r="V6" s="7">
        <v>0</v>
      </c>
      <c r="W6" s="7">
        <v>7</v>
      </c>
      <c r="AB6" s="7" t="s">
        <v>9</v>
      </c>
      <c r="AF6" s="7"/>
      <c r="AK6" s="6"/>
    </row>
    <row r="7" spans="1:37">
      <c r="A7" s="5"/>
      <c r="D7" s="555"/>
      <c r="E7" s="555"/>
      <c r="F7" s="555"/>
      <c r="G7" s="555"/>
      <c r="H7" s="555"/>
      <c r="I7" s="555"/>
      <c r="J7" s="555"/>
      <c r="K7" s="30"/>
      <c r="Q7" s="31" t="s">
        <v>11</v>
      </c>
      <c r="R7" s="31"/>
      <c r="V7" s="555" t="s">
        <v>14</v>
      </c>
      <c r="W7" s="555"/>
      <c r="AB7" s="30" t="s">
        <v>15</v>
      </c>
      <c r="AF7" s="30" t="s">
        <v>21</v>
      </c>
      <c r="AK7" s="6"/>
    </row>
    <row r="8" spans="1:37" ht="10.8" thickBo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10"/>
    </row>
    <row r="9" spans="1:37" ht="24" customHeight="1" thickBot="1">
      <c r="A9" s="254" t="s">
        <v>246</v>
      </c>
      <c r="B9" s="252" t="s">
        <v>216</v>
      </c>
      <c r="C9" s="253"/>
      <c r="D9" s="674" t="s">
        <v>79</v>
      </c>
      <c r="E9" s="675"/>
      <c r="F9" s="675"/>
      <c r="G9" s="675"/>
      <c r="H9" s="675"/>
      <c r="I9" s="675"/>
      <c r="J9" s="675"/>
      <c r="K9" s="675"/>
      <c r="L9" s="675"/>
      <c r="M9" s="675"/>
      <c r="N9" s="675"/>
      <c r="O9" s="675"/>
      <c r="P9" s="675"/>
      <c r="Q9" s="675"/>
      <c r="R9" s="675"/>
      <c r="S9" s="676"/>
      <c r="T9" s="675" t="s">
        <v>8</v>
      </c>
      <c r="U9" s="675"/>
      <c r="V9" s="675"/>
      <c r="W9" s="675"/>
      <c r="X9" s="675"/>
      <c r="Y9" s="676"/>
      <c r="Z9" s="674" t="s">
        <v>100</v>
      </c>
      <c r="AA9" s="675"/>
      <c r="AB9" s="675"/>
      <c r="AC9" s="675"/>
      <c r="AD9" s="675"/>
      <c r="AE9" s="676"/>
      <c r="AF9" s="674" t="s">
        <v>76</v>
      </c>
      <c r="AG9" s="675"/>
      <c r="AH9" s="675"/>
      <c r="AI9" s="675"/>
      <c r="AJ9" s="675"/>
      <c r="AK9" s="676"/>
    </row>
    <row r="10" spans="1:37" ht="12.75" customHeight="1" thickBot="1">
      <c r="A10" s="305"/>
      <c r="B10" s="683">
        <v>1</v>
      </c>
      <c r="C10" s="684"/>
      <c r="D10" s="106" t="s">
        <v>70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3"/>
      <c r="T10" s="678"/>
      <c r="U10" s="678"/>
      <c r="V10" s="678"/>
      <c r="W10" s="678"/>
      <c r="X10" s="678"/>
      <c r="Y10" s="679"/>
      <c r="Z10" s="677"/>
      <c r="AA10" s="678"/>
      <c r="AB10" s="678"/>
      <c r="AC10" s="678"/>
      <c r="AD10" s="678"/>
      <c r="AE10" s="679"/>
      <c r="AF10" s="677"/>
      <c r="AG10" s="678"/>
      <c r="AH10" s="678"/>
      <c r="AI10" s="678"/>
      <c r="AJ10" s="678"/>
      <c r="AK10" s="679"/>
    </row>
    <row r="11" spans="1:37" ht="15" customHeight="1" thickBot="1">
      <c r="A11" s="306" t="s">
        <v>664</v>
      </c>
      <c r="B11" s="665">
        <v>1.1000000000000001</v>
      </c>
      <c r="C11" s="666"/>
      <c r="D11" s="575" t="s">
        <v>154</v>
      </c>
      <c r="E11" s="576"/>
      <c r="F11" s="576"/>
      <c r="G11" s="576"/>
      <c r="H11" s="576"/>
      <c r="I11" s="576"/>
      <c r="J11" s="576"/>
      <c r="K11" s="576"/>
      <c r="L11" s="576"/>
      <c r="M11" s="576"/>
      <c r="N11" s="576"/>
      <c r="O11" s="576"/>
      <c r="P11" s="576"/>
      <c r="Q11" s="576"/>
      <c r="R11" s="576"/>
      <c r="S11" s="577"/>
      <c r="T11" s="625" t="s">
        <v>212</v>
      </c>
      <c r="U11" s="625"/>
      <c r="V11" s="625"/>
      <c r="W11" s="625"/>
      <c r="X11" s="625"/>
      <c r="Y11" s="626"/>
      <c r="Z11" s="589" t="e">
        <f>T11/T12</f>
        <v>#VALUE!</v>
      </c>
      <c r="AA11" s="590"/>
      <c r="AB11" s="590"/>
      <c r="AC11" s="590"/>
      <c r="AD11" s="590"/>
      <c r="AE11" s="646"/>
      <c r="AF11" s="607" t="s">
        <v>73</v>
      </c>
      <c r="AG11" s="608"/>
      <c r="AH11" s="608"/>
      <c r="AI11" s="608"/>
      <c r="AJ11" s="608"/>
      <c r="AK11" s="609"/>
    </row>
    <row r="12" spans="1:37" ht="15" customHeight="1" thickBot="1">
      <c r="A12" s="306" t="s">
        <v>665</v>
      </c>
      <c r="B12" s="665">
        <v>1.2</v>
      </c>
      <c r="C12" s="666"/>
      <c r="D12" s="671" t="s">
        <v>155</v>
      </c>
      <c r="E12" s="672"/>
      <c r="F12" s="672"/>
      <c r="G12" s="672"/>
      <c r="H12" s="672"/>
      <c r="I12" s="672"/>
      <c r="J12" s="672"/>
      <c r="K12" s="672"/>
      <c r="L12" s="672"/>
      <c r="M12" s="672"/>
      <c r="N12" s="672"/>
      <c r="O12" s="672"/>
      <c r="P12" s="672"/>
      <c r="Q12" s="672"/>
      <c r="R12" s="672"/>
      <c r="S12" s="673"/>
      <c r="T12" s="644" t="s">
        <v>151</v>
      </c>
      <c r="U12" s="644"/>
      <c r="V12" s="644"/>
      <c r="W12" s="644"/>
      <c r="X12" s="644"/>
      <c r="Y12" s="645"/>
      <c r="Z12" s="648"/>
      <c r="AA12" s="649"/>
      <c r="AB12" s="649"/>
      <c r="AC12" s="649"/>
      <c r="AD12" s="649"/>
      <c r="AE12" s="650"/>
      <c r="AF12" s="680"/>
      <c r="AG12" s="681"/>
      <c r="AH12" s="681"/>
      <c r="AI12" s="681"/>
      <c r="AJ12" s="681"/>
      <c r="AK12" s="682"/>
    </row>
    <row r="13" spans="1:37" ht="10.8" thickBot="1">
      <c r="A13" s="307"/>
      <c r="B13" s="249"/>
      <c r="C13" s="249"/>
      <c r="D13" s="34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6"/>
      <c r="T13" s="35"/>
      <c r="U13" s="35"/>
      <c r="V13" s="35"/>
      <c r="W13" s="35"/>
      <c r="X13" s="35"/>
      <c r="Y13" s="36"/>
      <c r="Z13" s="34"/>
      <c r="AA13" s="35"/>
      <c r="AB13" s="35"/>
      <c r="AC13" s="35"/>
      <c r="AD13" s="35"/>
      <c r="AE13" s="36"/>
      <c r="AF13" s="670"/>
      <c r="AG13" s="570"/>
      <c r="AH13" s="570"/>
      <c r="AI13" s="570"/>
      <c r="AJ13" s="570"/>
      <c r="AK13" s="571"/>
    </row>
    <row r="14" spans="1:37" ht="15.75" customHeight="1" thickBot="1">
      <c r="A14" s="104"/>
      <c r="B14" s="245">
        <v>2</v>
      </c>
      <c r="C14" s="245"/>
      <c r="D14" s="572" t="s">
        <v>71</v>
      </c>
      <c r="E14" s="573"/>
      <c r="F14" s="573"/>
      <c r="G14" s="573"/>
      <c r="H14" s="573"/>
      <c r="I14" s="573"/>
      <c r="J14" s="573"/>
      <c r="K14" s="573"/>
      <c r="L14" s="573"/>
      <c r="M14" s="573"/>
      <c r="N14" s="573"/>
      <c r="O14" s="573"/>
      <c r="P14" s="573"/>
      <c r="Q14" s="573"/>
      <c r="R14" s="573"/>
      <c r="S14" s="574"/>
      <c r="T14" s="623"/>
      <c r="U14" s="623"/>
      <c r="V14" s="623"/>
      <c r="W14" s="623"/>
      <c r="X14" s="623"/>
      <c r="Y14" s="624"/>
      <c r="Z14" s="581"/>
      <c r="AA14" s="582"/>
      <c r="AB14" s="582"/>
      <c r="AC14" s="582"/>
      <c r="AD14" s="582"/>
      <c r="AE14" s="583"/>
      <c r="AF14" s="581"/>
      <c r="AG14" s="582"/>
      <c r="AH14" s="582"/>
      <c r="AI14" s="582"/>
      <c r="AJ14" s="582"/>
      <c r="AK14" s="583"/>
    </row>
    <row r="15" spans="1:37" ht="15" customHeight="1">
      <c r="A15" s="306" t="s">
        <v>666</v>
      </c>
      <c r="B15" s="687" t="s">
        <v>220</v>
      </c>
      <c r="C15" s="688"/>
      <c r="D15" s="578" t="s">
        <v>72</v>
      </c>
      <c r="E15" s="579"/>
      <c r="F15" s="579"/>
      <c r="G15" s="579"/>
      <c r="H15" s="579"/>
      <c r="I15" s="579"/>
      <c r="J15" s="579"/>
      <c r="K15" s="579"/>
      <c r="L15" s="579"/>
      <c r="M15" s="579"/>
      <c r="N15" s="579"/>
      <c r="O15" s="579"/>
      <c r="P15" s="579"/>
      <c r="Q15" s="579"/>
      <c r="R15" s="579"/>
      <c r="S15" s="580"/>
      <c r="T15" s="625" t="s">
        <v>156</v>
      </c>
      <c r="U15" s="625"/>
      <c r="V15" s="625"/>
      <c r="W15" s="625"/>
      <c r="X15" s="625"/>
      <c r="Y15" s="626"/>
      <c r="Z15" s="590" t="e">
        <f>+T15/T16</f>
        <v>#VALUE!</v>
      </c>
      <c r="AA15" s="590"/>
      <c r="AB15" s="590"/>
      <c r="AC15" s="590"/>
      <c r="AD15" s="590"/>
      <c r="AE15" s="590"/>
      <c r="AF15" s="607" t="s">
        <v>74</v>
      </c>
      <c r="AG15" s="608"/>
      <c r="AH15" s="608"/>
      <c r="AI15" s="608"/>
      <c r="AJ15" s="608"/>
      <c r="AK15" s="609"/>
    </row>
    <row r="16" spans="1:37" ht="15" customHeight="1">
      <c r="A16" s="306" t="s">
        <v>667</v>
      </c>
      <c r="B16" s="689" t="s">
        <v>221</v>
      </c>
      <c r="C16" s="690"/>
      <c r="D16" s="575" t="s">
        <v>200</v>
      </c>
      <c r="E16" s="576"/>
      <c r="F16" s="576"/>
      <c r="G16" s="576"/>
      <c r="H16" s="576"/>
      <c r="I16" s="576"/>
      <c r="J16" s="576"/>
      <c r="K16" s="576"/>
      <c r="L16" s="576"/>
      <c r="M16" s="576"/>
      <c r="N16" s="576"/>
      <c r="O16" s="576"/>
      <c r="P16" s="576"/>
      <c r="Q16" s="576"/>
      <c r="R16" s="576"/>
      <c r="S16" s="577"/>
      <c r="T16" s="605" t="s">
        <v>198</v>
      </c>
      <c r="U16" s="605"/>
      <c r="V16" s="605"/>
      <c r="W16" s="605"/>
      <c r="X16" s="605"/>
      <c r="Y16" s="606"/>
      <c r="Z16" s="592"/>
      <c r="AA16" s="592"/>
      <c r="AB16" s="592"/>
      <c r="AC16" s="592"/>
      <c r="AD16" s="592"/>
      <c r="AE16" s="592"/>
      <c r="AF16" s="610"/>
      <c r="AG16" s="611"/>
      <c r="AH16" s="611"/>
      <c r="AI16" s="611"/>
      <c r="AJ16" s="611"/>
      <c r="AK16" s="612"/>
    </row>
    <row r="17" spans="1:37" ht="15" customHeight="1" thickBot="1">
      <c r="A17" s="306" t="s">
        <v>668</v>
      </c>
      <c r="B17" s="689" t="s">
        <v>222</v>
      </c>
      <c r="C17" s="690"/>
      <c r="D17" s="613" t="s">
        <v>262</v>
      </c>
      <c r="E17" s="614"/>
      <c r="F17" s="614"/>
      <c r="G17" s="614"/>
      <c r="H17" s="614"/>
      <c r="I17" s="614"/>
      <c r="J17" s="614"/>
      <c r="K17" s="614"/>
      <c r="L17" s="614"/>
      <c r="M17" s="614"/>
      <c r="N17" s="614"/>
      <c r="O17" s="614"/>
      <c r="P17" s="614"/>
      <c r="Q17" s="614"/>
      <c r="R17" s="614"/>
      <c r="S17" s="615"/>
      <c r="T17" s="616" t="s">
        <v>211</v>
      </c>
      <c r="U17" s="616"/>
      <c r="V17" s="616"/>
      <c r="W17" s="616"/>
      <c r="X17" s="616"/>
      <c r="Y17" s="617"/>
      <c r="Z17" s="618" t="s">
        <v>244</v>
      </c>
      <c r="AA17" s="618"/>
      <c r="AB17" s="618"/>
      <c r="AC17" s="618"/>
      <c r="AD17" s="618"/>
      <c r="AE17" s="619"/>
      <c r="AF17" s="610"/>
      <c r="AG17" s="611"/>
      <c r="AH17" s="611"/>
      <c r="AI17" s="611"/>
      <c r="AJ17" s="611"/>
      <c r="AK17" s="612"/>
    </row>
    <row r="18" spans="1:37" ht="10.8" thickBot="1">
      <c r="A18" s="307"/>
      <c r="B18" s="250"/>
      <c r="C18" s="250"/>
      <c r="D18" s="620"/>
      <c r="E18" s="621"/>
      <c r="F18" s="621"/>
      <c r="G18" s="621"/>
      <c r="H18" s="621"/>
      <c r="I18" s="621"/>
      <c r="J18" s="621"/>
      <c r="K18" s="621"/>
      <c r="L18" s="621"/>
      <c r="M18" s="621"/>
      <c r="N18" s="621"/>
      <c r="O18" s="621"/>
      <c r="P18" s="621"/>
      <c r="Q18" s="621"/>
      <c r="R18" s="621"/>
      <c r="S18" s="622"/>
      <c r="T18" s="93"/>
      <c r="U18" s="93"/>
      <c r="V18" s="93"/>
      <c r="W18" s="93"/>
      <c r="X18" s="93"/>
      <c r="Y18" s="93"/>
      <c r="Z18" s="35"/>
      <c r="AA18" s="35"/>
      <c r="AB18" s="35"/>
      <c r="AC18" s="35"/>
      <c r="AD18" s="35"/>
      <c r="AE18" s="35"/>
      <c r="AF18" s="570"/>
      <c r="AG18" s="570"/>
      <c r="AH18" s="570"/>
      <c r="AI18" s="570"/>
      <c r="AJ18" s="570"/>
      <c r="AK18" s="571"/>
    </row>
    <row r="19" spans="1:37" ht="10.8" thickBot="1">
      <c r="A19" s="307"/>
      <c r="B19" s="246">
        <v>3</v>
      </c>
      <c r="C19" s="246"/>
      <c r="D19" s="633" t="s">
        <v>75</v>
      </c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5"/>
      <c r="T19" s="660"/>
      <c r="U19" s="660"/>
      <c r="V19" s="660"/>
      <c r="W19" s="660"/>
      <c r="X19" s="660"/>
      <c r="Y19" s="661"/>
      <c r="Z19" s="660"/>
      <c r="AA19" s="660"/>
      <c r="AB19" s="660"/>
      <c r="AC19" s="660"/>
      <c r="AD19" s="660"/>
      <c r="AE19" s="661"/>
      <c r="AF19" s="662"/>
      <c r="AG19" s="660"/>
      <c r="AH19" s="660"/>
      <c r="AI19" s="660"/>
      <c r="AJ19" s="660"/>
      <c r="AK19" s="661"/>
    </row>
    <row r="20" spans="1:37" ht="15" customHeight="1">
      <c r="A20" s="306" t="s">
        <v>669</v>
      </c>
      <c r="B20" s="691" t="s">
        <v>223</v>
      </c>
      <c r="C20" s="692"/>
      <c r="D20" s="628" t="s">
        <v>258</v>
      </c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63" t="e">
        <f>T21+T22+T23+T24+T25</f>
        <v>#VALUE!</v>
      </c>
      <c r="U20" s="640"/>
      <c r="V20" s="640"/>
      <c r="W20" s="640"/>
      <c r="X20" s="640"/>
      <c r="Y20" s="640"/>
      <c r="Z20" s="589" t="e">
        <f>T20/T26</f>
        <v>#VALUE!</v>
      </c>
      <c r="AA20" s="590"/>
      <c r="AB20" s="590"/>
      <c r="AC20" s="590"/>
      <c r="AD20" s="590"/>
      <c r="AE20" s="590"/>
      <c r="AF20" s="607" t="s">
        <v>77</v>
      </c>
      <c r="AG20" s="608"/>
      <c r="AH20" s="608"/>
      <c r="AI20" s="608"/>
      <c r="AJ20" s="608"/>
      <c r="AK20" s="609"/>
    </row>
    <row r="21" spans="1:37" ht="13.8">
      <c r="A21" s="306" t="s">
        <v>670</v>
      </c>
      <c r="B21" s="689" t="s">
        <v>249</v>
      </c>
      <c r="C21" s="690"/>
      <c r="D21" s="575" t="s">
        <v>226</v>
      </c>
      <c r="E21" s="576"/>
      <c r="F21" s="576"/>
      <c r="G21" s="576"/>
      <c r="H21" s="576"/>
      <c r="I21" s="576"/>
      <c r="J21" s="576"/>
      <c r="K21" s="576"/>
      <c r="L21" s="576"/>
      <c r="M21" s="576"/>
      <c r="N21" s="576"/>
      <c r="O21" s="576"/>
      <c r="P21" s="576"/>
      <c r="Q21" s="576"/>
      <c r="R21" s="576"/>
      <c r="S21" s="576"/>
      <c r="T21" s="627" t="s">
        <v>156</v>
      </c>
      <c r="U21" s="605"/>
      <c r="V21" s="605"/>
      <c r="W21" s="605"/>
      <c r="X21" s="605"/>
      <c r="Y21" s="605"/>
      <c r="Z21" s="591"/>
      <c r="AA21" s="592"/>
      <c r="AB21" s="592"/>
      <c r="AC21" s="592"/>
      <c r="AD21" s="592"/>
      <c r="AE21" s="592"/>
      <c r="AF21" s="610"/>
      <c r="AG21" s="611"/>
      <c r="AH21" s="611"/>
      <c r="AI21" s="611"/>
      <c r="AJ21" s="611"/>
      <c r="AK21" s="612"/>
    </row>
    <row r="22" spans="1:37" ht="13.8">
      <c r="A22" s="306" t="s">
        <v>671</v>
      </c>
      <c r="B22" s="689" t="s">
        <v>251</v>
      </c>
      <c r="C22" s="690"/>
      <c r="D22" s="575" t="s">
        <v>250</v>
      </c>
      <c r="E22" s="576"/>
      <c r="F22" s="576"/>
      <c r="G22" s="576"/>
      <c r="H22" s="576"/>
      <c r="I22" s="576"/>
      <c r="J22" s="576"/>
      <c r="K22" s="576"/>
      <c r="L22" s="576"/>
      <c r="M22" s="576"/>
      <c r="N22" s="576"/>
      <c r="O22" s="576"/>
      <c r="P22" s="576"/>
      <c r="Q22" s="576"/>
      <c r="R22" s="576"/>
      <c r="S22" s="576"/>
      <c r="T22" s="627" t="s">
        <v>159</v>
      </c>
      <c r="U22" s="605"/>
      <c r="V22" s="605"/>
      <c r="W22" s="605"/>
      <c r="X22" s="605"/>
      <c r="Y22" s="605"/>
      <c r="Z22" s="591"/>
      <c r="AA22" s="592"/>
      <c r="AB22" s="592"/>
      <c r="AC22" s="592"/>
      <c r="AD22" s="592"/>
      <c r="AE22" s="592"/>
      <c r="AF22" s="610"/>
      <c r="AG22" s="611"/>
      <c r="AH22" s="611"/>
      <c r="AI22" s="611"/>
      <c r="AJ22" s="611"/>
      <c r="AK22" s="612"/>
    </row>
    <row r="23" spans="1:37" ht="13.8">
      <c r="A23" s="306" t="s">
        <v>672</v>
      </c>
      <c r="B23" s="689" t="s">
        <v>252</v>
      </c>
      <c r="C23" s="690"/>
      <c r="D23" s="575" t="s">
        <v>253</v>
      </c>
      <c r="E23" s="576"/>
      <c r="F23" s="576"/>
      <c r="G23" s="576"/>
      <c r="H23" s="576"/>
      <c r="I23" s="576"/>
      <c r="J23" s="576"/>
      <c r="K23" s="576"/>
      <c r="L23" s="576"/>
      <c r="M23" s="576"/>
      <c r="N23" s="576"/>
      <c r="O23" s="576"/>
      <c r="P23" s="576"/>
      <c r="Q23" s="576"/>
      <c r="R23" s="576"/>
      <c r="S23" s="576"/>
      <c r="T23" s="627" t="s">
        <v>160</v>
      </c>
      <c r="U23" s="605"/>
      <c r="V23" s="605"/>
      <c r="W23" s="605"/>
      <c r="X23" s="605"/>
      <c r="Y23" s="605"/>
      <c r="Z23" s="591"/>
      <c r="AA23" s="592"/>
      <c r="AB23" s="592"/>
      <c r="AC23" s="592"/>
      <c r="AD23" s="592"/>
      <c r="AE23" s="592"/>
      <c r="AF23" s="610"/>
      <c r="AG23" s="611"/>
      <c r="AH23" s="611"/>
      <c r="AI23" s="611"/>
      <c r="AJ23" s="611"/>
      <c r="AK23" s="612"/>
    </row>
    <row r="24" spans="1:37" ht="13.8">
      <c r="A24" s="306" t="s">
        <v>673</v>
      </c>
      <c r="B24" s="689" t="s">
        <v>255</v>
      </c>
      <c r="C24" s="690"/>
      <c r="D24" s="575" t="s">
        <v>254</v>
      </c>
      <c r="E24" s="576"/>
      <c r="F24" s="576"/>
      <c r="G24" s="576"/>
      <c r="H24" s="576"/>
      <c r="I24" s="576"/>
      <c r="J24" s="576"/>
      <c r="K24" s="576"/>
      <c r="L24" s="576"/>
      <c r="M24" s="576"/>
      <c r="N24" s="576"/>
      <c r="O24" s="576"/>
      <c r="P24" s="576"/>
      <c r="Q24" s="576"/>
      <c r="R24" s="576"/>
      <c r="S24" s="576"/>
      <c r="T24" s="627" t="s">
        <v>161</v>
      </c>
      <c r="U24" s="605"/>
      <c r="V24" s="605"/>
      <c r="W24" s="605"/>
      <c r="X24" s="605"/>
      <c r="Y24" s="605"/>
      <c r="Z24" s="591"/>
      <c r="AA24" s="592"/>
      <c r="AB24" s="592"/>
      <c r="AC24" s="592"/>
      <c r="AD24" s="592"/>
      <c r="AE24" s="592"/>
      <c r="AF24" s="610"/>
      <c r="AG24" s="611"/>
      <c r="AH24" s="611"/>
      <c r="AI24" s="611"/>
      <c r="AJ24" s="611"/>
      <c r="AK24" s="612"/>
    </row>
    <row r="25" spans="1:37" ht="13.8">
      <c r="A25" s="306" t="s">
        <v>674</v>
      </c>
      <c r="B25" s="689" t="s">
        <v>257</v>
      </c>
      <c r="C25" s="690"/>
      <c r="D25" s="575" t="s">
        <v>256</v>
      </c>
      <c r="E25" s="576"/>
      <c r="F25" s="576"/>
      <c r="G25" s="576"/>
      <c r="H25" s="576"/>
      <c r="I25" s="576"/>
      <c r="J25" s="576"/>
      <c r="K25" s="576"/>
      <c r="L25" s="576"/>
      <c r="M25" s="576"/>
      <c r="N25" s="576"/>
      <c r="O25" s="576"/>
      <c r="P25" s="576"/>
      <c r="Q25" s="576"/>
      <c r="R25" s="576"/>
      <c r="S25" s="576"/>
      <c r="T25" s="627" t="s">
        <v>162</v>
      </c>
      <c r="U25" s="605"/>
      <c r="V25" s="605"/>
      <c r="W25" s="605"/>
      <c r="X25" s="605"/>
      <c r="Y25" s="605"/>
      <c r="Z25" s="591"/>
      <c r="AA25" s="592"/>
      <c r="AB25" s="592"/>
      <c r="AC25" s="592"/>
      <c r="AD25" s="592"/>
      <c r="AE25" s="592"/>
      <c r="AF25" s="610"/>
      <c r="AG25" s="611"/>
      <c r="AH25" s="611"/>
      <c r="AI25" s="611"/>
      <c r="AJ25" s="611"/>
      <c r="AK25" s="612"/>
    </row>
    <row r="26" spans="1:37" ht="15.75" customHeight="1">
      <c r="A26" s="306" t="s">
        <v>675</v>
      </c>
      <c r="B26" s="693" t="s">
        <v>224</v>
      </c>
      <c r="C26" s="694"/>
      <c r="D26" s="587" t="s">
        <v>334</v>
      </c>
      <c r="E26" s="588"/>
      <c r="F26" s="588"/>
      <c r="G26" s="588"/>
      <c r="H26" s="588"/>
      <c r="I26" s="588"/>
      <c r="J26" s="588"/>
      <c r="K26" s="588"/>
      <c r="L26" s="588"/>
      <c r="M26" s="588"/>
      <c r="N26" s="588"/>
      <c r="O26" s="588"/>
      <c r="P26" s="588"/>
      <c r="Q26" s="588"/>
      <c r="R26" s="588"/>
      <c r="S26" s="588"/>
      <c r="T26" s="664" t="s">
        <v>198</v>
      </c>
      <c r="U26" s="642"/>
      <c r="V26" s="642"/>
      <c r="W26" s="642"/>
      <c r="X26" s="642"/>
      <c r="Y26" s="642"/>
      <c r="Z26" s="591"/>
      <c r="AA26" s="592"/>
      <c r="AB26" s="592"/>
      <c r="AC26" s="592"/>
      <c r="AD26" s="592"/>
      <c r="AE26" s="592"/>
      <c r="AF26" s="610"/>
      <c r="AG26" s="611"/>
      <c r="AH26" s="611"/>
      <c r="AI26" s="611"/>
      <c r="AJ26" s="611"/>
      <c r="AK26" s="612"/>
    </row>
    <row r="27" spans="1:37" ht="15.75" customHeight="1" thickBot="1">
      <c r="A27" s="306" t="s">
        <v>676</v>
      </c>
      <c r="B27" s="685" t="s">
        <v>259</v>
      </c>
      <c r="C27" s="686"/>
      <c r="D27" s="613" t="s">
        <v>263</v>
      </c>
      <c r="E27" s="614"/>
      <c r="F27" s="614"/>
      <c r="G27" s="614"/>
      <c r="H27" s="614"/>
      <c r="I27" s="614"/>
      <c r="J27" s="614"/>
      <c r="K27" s="614"/>
      <c r="L27" s="614"/>
      <c r="M27" s="614"/>
      <c r="N27" s="614"/>
      <c r="O27" s="614"/>
      <c r="P27" s="614"/>
      <c r="Q27" s="614"/>
      <c r="R27" s="614"/>
      <c r="S27" s="615"/>
      <c r="T27" s="616" t="s">
        <v>260</v>
      </c>
      <c r="U27" s="616"/>
      <c r="V27" s="616"/>
      <c r="W27" s="616"/>
      <c r="X27" s="616"/>
      <c r="Y27" s="617"/>
      <c r="Z27" s="618" t="s">
        <v>261</v>
      </c>
      <c r="AA27" s="618"/>
      <c r="AB27" s="618"/>
      <c r="AC27" s="618"/>
      <c r="AD27" s="618"/>
      <c r="AE27" s="619"/>
      <c r="AF27" s="236"/>
      <c r="AG27" s="237"/>
      <c r="AH27" s="237"/>
      <c r="AI27" s="237"/>
      <c r="AJ27" s="237"/>
      <c r="AK27" s="238"/>
    </row>
    <row r="28" spans="1:37" ht="10.8" thickBot="1">
      <c r="A28" s="307"/>
      <c r="B28" s="251"/>
      <c r="C28" s="251"/>
      <c r="D28" s="37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9"/>
      <c r="T28" s="38"/>
      <c r="U28" s="38"/>
      <c r="V28" s="38"/>
      <c r="W28" s="38"/>
      <c r="X28" s="38"/>
      <c r="Y28" s="39"/>
      <c r="Z28" s="37"/>
      <c r="AA28" s="38"/>
      <c r="AB28" s="38"/>
      <c r="AC28" s="38"/>
      <c r="AD28" s="38"/>
      <c r="AE28" s="39"/>
      <c r="AF28" s="584"/>
      <c r="AG28" s="585"/>
      <c r="AH28" s="585"/>
      <c r="AI28" s="585"/>
      <c r="AJ28" s="585"/>
      <c r="AK28" s="586"/>
    </row>
    <row r="29" spans="1:37" ht="12" customHeight="1" thickBot="1">
      <c r="A29" s="307"/>
      <c r="B29" s="247">
        <v>4</v>
      </c>
      <c r="C29" s="247"/>
      <c r="D29" s="572" t="s">
        <v>80</v>
      </c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3"/>
      <c r="Q29" s="573"/>
      <c r="R29" s="573"/>
      <c r="S29" s="574"/>
      <c r="T29" s="623"/>
      <c r="U29" s="623"/>
      <c r="V29" s="623"/>
      <c r="W29" s="623"/>
      <c r="X29" s="623"/>
      <c r="Y29" s="624"/>
      <c r="Z29" s="581"/>
      <c r="AA29" s="582"/>
      <c r="AB29" s="582"/>
      <c r="AC29" s="582"/>
      <c r="AD29" s="582"/>
      <c r="AE29" s="583"/>
      <c r="AF29" s="581"/>
      <c r="AG29" s="582"/>
      <c r="AH29" s="582"/>
      <c r="AI29" s="582"/>
      <c r="AJ29" s="582"/>
      <c r="AK29" s="583"/>
    </row>
    <row r="30" spans="1:37" ht="15" customHeight="1">
      <c r="A30" s="306" t="s">
        <v>677</v>
      </c>
      <c r="B30" s="687" t="s">
        <v>225</v>
      </c>
      <c r="C30" s="688"/>
      <c r="D30" s="628" t="s">
        <v>267</v>
      </c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/>
      <c r="Q30" s="629"/>
      <c r="R30" s="629"/>
      <c r="S30" s="639"/>
      <c r="T30" s="640" t="s">
        <v>445</v>
      </c>
      <c r="U30" s="640"/>
      <c r="V30" s="640"/>
      <c r="W30" s="640"/>
      <c r="X30" s="640"/>
      <c r="Y30" s="641"/>
      <c r="Z30" s="589" t="e">
        <f>T31/T30</f>
        <v>#VALUE!</v>
      </c>
      <c r="AA30" s="590"/>
      <c r="AB30" s="590"/>
      <c r="AC30" s="590"/>
      <c r="AD30" s="590"/>
      <c r="AE30" s="646"/>
      <c r="AF30" s="651" t="s">
        <v>81</v>
      </c>
      <c r="AG30" s="652"/>
      <c r="AH30" s="652"/>
      <c r="AI30" s="652"/>
      <c r="AJ30" s="652"/>
      <c r="AK30" s="653"/>
    </row>
    <row r="31" spans="1:37" ht="9.4499999999999993" customHeight="1">
      <c r="A31" s="306" t="s">
        <v>678</v>
      </c>
      <c r="B31" s="689" t="s">
        <v>264</v>
      </c>
      <c r="C31" s="690"/>
      <c r="D31" s="633" t="s">
        <v>268</v>
      </c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5"/>
      <c r="T31" s="642" t="e">
        <f>T32-T33</f>
        <v>#VALUE!</v>
      </c>
      <c r="U31" s="642"/>
      <c r="V31" s="642"/>
      <c r="W31" s="642"/>
      <c r="X31" s="642"/>
      <c r="Y31" s="643"/>
      <c r="Z31" s="591"/>
      <c r="AA31" s="592"/>
      <c r="AB31" s="592"/>
      <c r="AC31" s="592"/>
      <c r="AD31" s="592"/>
      <c r="AE31" s="647"/>
      <c r="AF31" s="654"/>
      <c r="AG31" s="655"/>
      <c r="AH31" s="655"/>
      <c r="AI31" s="655"/>
      <c r="AJ31" s="655"/>
      <c r="AK31" s="656"/>
    </row>
    <row r="32" spans="1:37" ht="13.8">
      <c r="A32" s="306" t="s">
        <v>679</v>
      </c>
      <c r="B32" s="689" t="s">
        <v>265</v>
      </c>
      <c r="C32" s="690"/>
      <c r="D32" s="636" t="s">
        <v>269</v>
      </c>
      <c r="E32" s="637"/>
      <c r="F32" s="637"/>
      <c r="G32" s="637"/>
      <c r="H32" s="637"/>
      <c r="I32" s="637"/>
      <c r="J32" s="637"/>
      <c r="K32" s="637"/>
      <c r="L32" s="637"/>
      <c r="M32" s="637"/>
      <c r="N32" s="637"/>
      <c r="O32" s="637"/>
      <c r="P32" s="637"/>
      <c r="Q32" s="637"/>
      <c r="R32" s="637"/>
      <c r="S32" s="638"/>
      <c r="T32" s="605" t="s">
        <v>446</v>
      </c>
      <c r="U32" s="605"/>
      <c r="V32" s="605"/>
      <c r="W32" s="605"/>
      <c r="X32" s="605"/>
      <c r="Y32" s="606"/>
      <c r="Z32" s="591"/>
      <c r="AA32" s="592"/>
      <c r="AB32" s="592"/>
      <c r="AC32" s="592"/>
      <c r="AD32" s="592"/>
      <c r="AE32" s="647"/>
      <c r="AF32" s="654"/>
      <c r="AG32" s="655"/>
      <c r="AH32" s="655"/>
      <c r="AI32" s="655"/>
      <c r="AJ32" s="655"/>
      <c r="AK32" s="656"/>
    </row>
    <row r="33" spans="1:37" ht="9" customHeight="1" thickBot="1">
      <c r="A33" s="306" t="s">
        <v>680</v>
      </c>
      <c r="B33" s="685" t="s">
        <v>266</v>
      </c>
      <c r="C33" s="686"/>
      <c r="D33" s="630" t="s">
        <v>270</v>
      </c>
      <c r="E33" s="631"/>
      <c r="F33" s="631"/>
      <c r="G33" s="631"/>
      <c r="H33" s="631"/>
      <c r="I33" s="631"/>
      <c r="J33" s="631"/>
      <c r="K33" s="631"/>
      <c r="L33" s="631"/>
      <c r="M33" s="631"/>
      <c r="N33" s="631"/>
      <c r="O33" s="631"/>
      <c r="P33" s="631"/>
      <c r="Q33" s="631"/>
      <c r="R33" s="631"/>
      <c r="S33" s="632"/>
      <c r="T33" s="644" t="s">
        <v>447</v>
      </c>
      <c r="U33" s="644"/>
      <c r="V33" s="644"/>
      <c r="W33" s="644"/>
      <c r="X33" s="644"/>
      <c r="Y33" s="645"/>
      <c r="Z33" s="648"/>
      <c r="AA33" s="649"/>
      <c r="AB33" s="649"/>
      <c r="AC33" s="649"/>
      <c r="AD33" s="649"/>
      <c r="AE33" s="650"/>
      <c r="AF33" s="657"/>
      <c r="AG33" s="658"/>
      <c r="AH33" s="658"/>
      <c r="AI33" s="658"/>
      <c r="AJ33" s="658"/>
      <c r="AK33" s="659"/>
    </row>
    <row r="34" spans="1:37" ht="10.8" thickBot="1">
      <c r="A34" s="307"/>
      <c r="B34" s="248"/>
      <c r="C34" s="248"/>
      <c r="D34" s="41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2"/>
      <c r="T34" s="44"/>
      <c r="U34" s="44"/>
      <c r="V34" s="44"/>
      <c r="W34" s="44"/>
      <c r="X34" s="44"/>
      <c r="Y34" s="42"/>
      <c r="Z34" s="41"/>
      <c r="AA34" s="44"/>
      <c r="AB34" s="44"/>
      <c r="AC34" s="44"/>
      <c r="AD34" s="44"/>
      <c r="AE34" s="42"/>
      <c r="AF34" s="45"/>
      <c r="AG34" s="43"/>
      <c r="AH34" s="43"/>
      <c r="AI34" s="43"/>
      <c r="AJ34" s="43"/>
      <c r="AK34" s="40"/>
    </row>
    <row r="35" spans="1:37" ht="10.8" thickBot="1">
      <c r="A35" s="307"/>
      <c r="B35" s="247">
        <v>5</v>
      </c>
      <c r="C35" s="247"/>
      <c r="D35" s="572" t="s">
        <v>83</v>
      </c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573"/>
      <c r="R35" s="573"/>
      <c r="S35" s="574"/>
      <c r="T35" s="582"/>
      <c r="U35" s="582"/>
      <c r="V35" s="582"/>
      <c r="W35" s="582"/>
      <c r="X35" s="582"/>
      <c r="Y35" s="583"/>
      <c r="Z35" s="581"/>
      <c r="AA35" s="582"/>
      <c r="AB35" s="582"/>
      <c r="AC35" s="582"/>
      <c r="AD35" s="582"/>
      <c r="AE35" s="583"/>
      <c r="AF35" s="581"/>
      <c r="AG35" s="582"/>
      <c r="AH35" s="582"/>
      <c r="AI35" s="582"/>
      <c r="AJ35" s="582"/>
      <c r="AK35" s="583"/>
    </row>
    <row r="36" spans="1:37" ht="10.050000000000001" customHeight="1">
      <c r="A36" s="306" t="s">
        <v>682</v>
      </c>
      <c r="B36" s="687" t="s">
        <v>247</v>
      </c>
      <c r="C36" s="688"/>
      <c r="D36" s="578" t="s">
        <v>82</v>
      </c>
      <c r="E36" s="579"/>
      <c r="F36" s="579"/>
      <c r="G36" s="579"/>
      <c r="H36" s="579"/>
      <c r="I36" s="579"/>
      <c r="J36" s="579"/>
      <c r="K36" s="579"/>
      <c r="L36" s="579"/>
      <c r="M36" s="579"/>
      <c r="N36" s="579"/>
      <c r="O36" s="579"/>
      <c r="P36" s="579"/>
      <c r="Q36" s="579"/>
      <c r="R36" s="579"/>
      <c r="S36" s="580"/>
      <c r="T36" s="605" t="s">
        <v>157</v>
      </c>
      <c r="U36" s="605"/>
      <c r="V36" s="605"/>
      <c r="W36" s="605"/>
      <c r="X36" s="605"/>
      <c r="Y36" s="606"/>
      <c r="Z36" s="593" t="e">
        <f>T36/T37</f>
        <v>#VALUE!</v>
      </c>
      <c r="AA36" s="594"/>
      <c r="AB36" s="594"/>
      <c r="AC36" s="594"/>
      <c r="AD36" s="594"/>
      <c r="AE36" s="595"/>
      <c r="AF36" s="599" t="s">
        <v>85</v>
      </c>
      <c r="AG36" s="600"/>
      <c r="AH36" s="600"/>
      <c r="AI36" s="600"/>
      <c r="AJ36" s="600"/>
      <c r="AK36" s="601"/>
    </row>
    <row r="37" spans="1:37" ht="13.5" customHeight="1" thickBot="1">
      <c r="A37" s="308" t="s">
        <v>681</v>
      </c>
      <c r="B37" s="685" t="s">
        <v>248</v>
      </c>
      <c r="C37" s="686"/>
      <c r="D37" s="575" t="s">
        <v>158</v>
      </c>
      <c r="E37" s="576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6"/>
      <c r="R37" s="576"/>
      <c r="S37" s="577"/>
      <c r="T37" s="605" t="s">
        <v>419</v>
      </c>
      <c r="U37" s="605"/>
      <c r="V37" s="605"/>
      <c r="W37" s="605"/>
      <c r="X37" s="605"/>
      <c r="Y37" s="606"/>
      <c r="Z37" s="596"/>
      <c r="AA37" s="597"/>
      <c r="AB37" s="597"/>
      <c r="AC37" s="597"/>
      <c r="AD37" s="597"/>
      <c r="AE37" s="598"/>
      <c r="AF37" s="602"/>
      <c r="AG37" s="603"/>
      <c r="AH37" s="603"/>
      <c r="AI37" s="603"/>
      <c r="AJ37" s="603"/>
      <c r="AK37" s="604"/>
    </row>
    <row r="38" spans="1:37" ht="15.75" customHeight="1" thickBot="1">
      <c r="A38" s="76" t="s">
        <v>33</v>
      </c>
      <c r="B38" s="74"/>
      <c r="C38" s="77"/>
      <c r="D38" s="572" t="s">
        <v>84</v>
      </c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3"/>
      <c r="R38" s="573"/>
      <c r="S38" s="574"/>
      <c r="T38" s="570"/>
      <c r="U38" s="570"/>
      <c r="V38" s="570"/>
      <c r="W38" s="570"/>
      <c r="X38" s="570"/>
      <c r="Y38" s="571"/>
      <c r="Z38" s="34"/>
      <c r="AA38" s="35"/>
      <c r="AB38" s="35"/>
      <c r="AC38" s="35"/>
      <c r="AD38" s="35"/>
      <c r="AE38" s="36"/>
      <c r="AF38" s="34"/>
      <c r="AG38" s="35"/>
      <c r="AH38" s="35"/>
      <c r="AI38" s="35"/>
      <c r="AJ38" s="35"/>
      <c r="AK38" s="36"/>
    </row>
  </sheetData>
  <mergeCells count="103">
    <mergeCell ref="B27:C27"/>
    <mergeCell ref="B36:C36"/>
    <mergeCell ref="B37:C37"/>
    <mergeCell ref="B15:C15"/>
    <mergeCell ref="B16:C16"/>
    <mergeCell ref="B17:C17"/>
    <mergeCell ref="B30:C30"/>
    <mergeCell ref="B31:C31"/>
    <mergeCell ref="B32:C32"/>
    <mergeCell ref="B33:C33"/>
    <mergeCell ref="B20:C20"/>
    <mergeCell ref="B21:C21"/>
    <mergeCell ref="B22:C22"/>
    <mergeCell ref="B23:C23"/>
    <mergeCell ref="B24:C24"/>
    <mergeCell ref="B25:C25"/>
    <mergeCell ref="B26:C26"/>
    <mergeCell ref="B11:C11"/>
    <mergeCell ref="B12:C12"/>
    <mergeCell ref="A1:AK1"/>
    <mergeCell ref="A2:AK2"/>
    <mergeCell ref="AF13:AK13"/>
    <mergeCell ref="D12:S12"/>
    <mergeCell ref="Z11:AE12"/>
    <mergeCell ref="T11:Y11"/>
    <mergeCell ref="D11:S11"/>
    <mergeCell ref="D7:J7"/>
    <mergeCell ref="V7:W7"/>
    <mergeCell ref="AF9:AK9"/>
    <mergeCell ref="T9:Y9"/>
    <mergeCell ref="Z9:AE9"/>
    <mergeCell ref="D9:S9"/>
    <mergeCell ref="AF10:AK10"/>
    <mergeCell ref="T10:Y10"/>
    <mergeCell ref="Z10:AE10"/>
    <mergeCell ref="AF11:AK12"/>
    <mergeCell ref="T12:Y12"/>
    <mergeCell ref="B10:C10"/>
    <mergeCell ref="AF18:AK18"/>
    <mergeCell ref="AF19:AK19"/>
    <mergeCell ref="D19:S19"/>
    <mergeCell ref="Z15:AE16"/>
    <mergeCell ref="D24:S24"/>
    <mergeCell ref="T20:Y20"/>
    <mergeCell ref="T24:Y24"/>
    <mergeCell ref="T25:Y25"/>
    <mergeCell ref="T26:Y26"/>
    <mergeCell ref="AF14:AK14"/>
    <mergeCell ref="Z14:AE14"/>
    <mergeCell ref="AF15:AK17"/>
    <mergeCell ref="D17:S17"/>
    <mergeCell ref="T17:Y17"/>
    <mergeCell ref="Z17:AE17"/>
    <mergeCell ref="D33:S33"/>
    <mergeCell ref="D31:S31"/>
    <mergeCell ref="D32:S32"/>
    <mergeCell ref="AF29:AK29"/>
    <mergeCell ref="D29:S29"/>
    <mergeCell ref="T29:Y29"/>
    <mergeCell ref="Z29:AE29"/>
    <mergeCell ref="D30:S30"/>
    <mergeCell ref="T30:Y30"/>
    <mergeCell ref="T31:Y31"/>
    <mergeCell ref="T32:Y32"/>
    <mergeCell ref="T33:Y33"/>
    <mergeCell ref="Z30:AE33"/>
    <mergeCell ref="AF30:AK33"/>
    <mergeCell ref="T19:Y19"/>
    <mergeCell ref="Z19:AE19"/>
    <mergeCell ref="D22:S22"/>
    <mergeCell ref="D23:S23"/>
    <mergeCell ref="D14:S14"/>
    <mergeCell ref="D15:S15"/>
    <mergeCell ref="D16:S16"/>
    <mergeCell ref="D18:S18"/>
    <mergeCell ref="T14:Y14"/>
    <mergeCell ref="T15:Y15"/>
    <mergeCell ref="T16:Y16"/>
    <mergeCell ref="T22:Y22"/>
    <mergeCell ref="T23:Y23"/>
    <mergeCell ref="D20:S20"/>
    <mergeCell ref="D21:S21"/>
    <mergeCell ref="T21:Y21"/>
    <mergeCell ref="T38:Y38"/>
    <mergeCell ref="D38:S38"/>
    <mergeCell ref="D37:S37"/>
    <mergeCell ref="D36:S36"/>
    <mergeCell ref="AF35:AK35"/>
    <mergeCell ref="AF28:AK28"/>
    <mergeCell ref="D26:S26"/>
    <mergeCell ref="Z20:AE26"/>
    <mergeCell ref="D35:S35"/>
    <mergeCell ref="T35:Y35"/>
    <mergeCell ref="Z35:AE35"/>
    <mergeCell ref="Z36:AE37"/>
    <mergeCell ref="AF36:AK37"/>
    <mergeCell ref="T36:Y36"/>
    <mergeCell ref="T37:Y37"/>
    <mergeCell ref="AF20:AK26"/>
    <mergeCell ref="D25:S25"/>
    <mergeCell ref="D27:S27"/>
    <mergeCell ref="T27:Y27"/>
    <mergeCell ref="Z27:AE27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8255-5AAD-41C7-A386-9E79C5EAEDEF}">
  <sheetPr>
    <tabColor rgb="FF00B0F0"/>
  </sheetPr>
  <dimension ref="A1:DG55"/>
  <sheetViews>
    <sheetView showGridLines="0" view="pageBreakPreview" topLeftCell="A4" zoomScaleNormal="100" zoomScaleSheetLayoutView="100" workbookViewId="0">
      <selection activeCell="E18" sqref="E18:T18"/>
    </sheetView>
  </sheetViews>
  <sheetFormatPr baseColWidth="10" defaultColWidth="3.5546875" defaultRowHeight="10.199999999999999"/>
  <cols>
    <col min="1" max="1" width="22.21875" style="1" customWidth="1"/>
    <col min="2" max="2" width="12.77734375" style="1" customWidth="1"/>
    <col min="3" max="3" width="3.5546875" style="1"/>
    <col min="4" max="4" width="1.44140625" style="1" customWidth="1"/>
    <col min="5" max="19" width="3.5546875" style="1"/>
    <col min="20" max="20" width="11.109375" style="1" customWidth="1"/>
    <col min="21" max="25" width="3.5546875" style="1"/>
    <col min="26" max="26" width="11" style="1" customWidth="1"/>
    <col min="27" max="30" width="3.5546875" style="1"/>
    <col min="31" max="31" width="1.77734375" style="1" customWidth="1"/>
    <col min="32" max="32" width="0.77734375" style="1" hidden="1" customWidth="1"/>
    <col min="33" max="37" width="3.5546875" style="1"/>
    <col min="38" max="38" width="3.5546875" style="1" customWidth="1"/>
    <col min="39" max="16384" width="3.5546875" style="1"/>
  </cols>
  <sheetData>
    <row r="1" spans="1:38" ht="16.2" thickBot="1">
      <c r="B1" s="695" t="s">
        <v>454</v>
      </c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  <c r="AA1" s="696"/>
      <c r="AB1" s="696"/>
      <c r="AC1" s="696"/>
      <c r="AD1" s="696"/>
      <c r="AE1" s="696"/>
      <c r="AF1" s="696"/>
      <c r="AG1" s="696"/>
      <c r="AH1" s="696"/>
      <c r="AI1" s="696"/>
      <c r="AJ1" s="696"/>
      <c r="AK1" s="696"/>
      <c r="AL1" s="697"/>
    </row>
    <row r="2" spans="1:38" s="105" customFormat="1" ht="10.8" thickBot="1">
      <c r="B2" s="667" t="s">
        <v>112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668"/>
      <c r="AA2" s="668"/>
      <c r="AB2" s="668"/>
      <c r="AC2" s="668"/>
      <c r="AD2" s="668"/>
      <c r="AE2" s="668"/>
      <c r="AF2" s="668"/>
      <c r="AG2" s="668"/>
      <c r="AH2" s="668"/>
      <c r="AI2" s="668"/>
      <c r="AJ2" s="668"/>
      <c r="AK2" s="668"/>
      <c r="AL2" s="669"/>
    </row>
    <row r="3" spans="1:38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>
      <c r="B4" s="5"/>
      <c r="C4" s="547" t="s">
        <v>16</v>
      </c>
      <c r="D4" s="548"/>
      <c r="E4" s="550"/>
      <c r="F4" s="550"/>
      <c r="G4" s="550"/>
      <c r="H4" s="698"/>
      <c r="M4" s="547" t="s">
        <v>52</v>
      </c>
      <c r="N4" s="547"/>
      <c r="O4" s="547"/>
      <c r="P4" s="547"/>
      <c r="Q4" s="548"/>
      <c r="R4" s="549"/>
      <c r="S4" s="550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698"/>
    </row>
    <row r="5" spans="1:38">
      <c r="B5" s="5"/>
    </row>
    <row r="6" spans="1:38">
      <c r="B6" s="5"/>
      <c r="E6" s="7" t="s">
        <v>5</v>
      </c>
      <c r="F6" s="7" t="s">
        <v>5</v>
      </c>
      <c r="G6" s="7" t="s">
        <v>5</v>
      </c>
      <c r="H6" s="7" t="s">
        <v>5</v>
      </c>
      <c r="I6" s="7" t="s">
        <v>9</v>
      </c>
      <c r="J6" s="7" t="s">
        <v>9</v>
      </c>
      <c r="K6" s="7" t="s">
        <v>10</v>
      </c>
      <c r="L6" s="7" t="s">
        <v>10</v>
      </c>
      <c r="P6" s="7"/>
      <c r="Q6" s="7"/>
      <c r="R6" s="7"/>
      <c r="S6" s="7"/>
      <c r="T6" s="7"/>
      <c r="W6" s="7">
        <v>0</v>
      </c>
      <c r="X6" s="7">
        <v>7</v>
      </c>
      <c r="AC6" s="7" t="s">
        <v>9</v>
      </c>
      <c r="AG6" s="7"/>
    </row>
    <row r="7" spans="1:38">
      <c r="B7" s="5"/>
      <c r="E7" s="555"/>
      <c r="F7" s="555"/>
      <c r="G7" s="555"/>
      <c r="H7" s="555"/>
      <c r="I7" s="555"/>
      <c r="J7" s="555"/>
      <c r="K7" s="555"/>
      <c r="L7" s="30"/>
      <c r="R7" s="31" t="s">
        <v>11</v>
      </c>
      <c r="S7" s="31"/>
      <c r="W7" s="555" t="s">
        <v>14</v>
      </c>
      <c r="X7" s="555"/>
      <c r="AC7" s="30" t="s">
        <v>15</v>
      </c>
      <c r="AG7" s="30" t="s">
        <v>21</v>
      </c>
    </row>
    <row r="8" spans="1:38" ht="10.8" thickBot="1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 spans="1:38" ht="15.75" customHeight="1" thickBot="1">
      <c r="A9" s="113" t="s">
        <v>237</v>
      </c>
      <c r="B9" s="702" t="s">
        <v>216</v>
      </c>
      <c r="C9" s="702"/>
      <c r="D9" s="702"/>
      <c r="E9" s="581" t="s">
        <v>109</v>
      </c>
      <c r="F9" s="582"/>
      <c r="G9" s="582"/>
      <c r="H9" s="582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3"/>
      <c r="U9" s="581" t="s">
        <v>8</v>
      </c>
      <c r="V9" s="582"/>
      <c r="W9" s="582"/>
      <c r="X9" s="582"/>
      <c r="Y9" s="582"/>
      <c r="Z9" s="583"/>
      <c r="AA9" s="581" t="s">
        <v>100</v>
      </c>
      <c r="AB9" s="582"/>
      <c r="AC9" s="582"/>
      <c r="AD9" s="582"/>
      <c r="AE9" s="582"/>
      <c r="AF9" s="583"/>
      <c r="AG9" s="581" t="s">
        <v>76</v>
      </c>
      <c r="AH9" s="582"/>
      <c r="AI9" s="582"/>
      <c r="AJ9" s="582"/>
      <c r="AK9" s="582"/>
      <c r="AL9" s="583"/>
    </row>
    <row r="10" spans="1:38" ht="15.75" customHeight="1" thickBot="1">
      <c r="A10" s="297" t="s">
        <v>526</v>
      </c>
      <c r="B10" s="388">
        <v>1</v>
      </c>
      <c r="C10" s="388"/>
      <c r="D10" s="389"/>
      <c r="E10" s="699" t="s">
        <v>338</v>
      </c>
      <c r="F10" s="700"/>
      <c r="G10" s="700"/>
      <c r="H10" s="700"/>
      <c r="I10" s="700"/>
      <c r="J10" s="700"/>
      <c r="K10" s="700"/>
      <c r="L10" s="700"/>
      <c r="M10" s="700"/>
      <c r="N10" s="700"/>
      <c r="O10" s="700"/>
      <c r="P10" s="700"/>
      <c r="Q10" s="700"/>
      <c r="R10" s="700"/>
      <c r="S10" s="700"/>
      <c r="T10" s="701"/>
      <c r="U10" s="581"/>
      <c r="V10" s="582"/>
      <c r="W10" s="582"/>
      <c r="X10" s="582"/>
      <c r="Y10" s="582"/>
      <c r="Z10" s="583"/>
      <c r="AA10" s="581"/>
      <c r="AB10" s="582"/>
      <c r="AC10" s="582"/>
      <c r="AD10" s="582"/>
      <c r="AE10" s="582"/>
      <c r="AF10" s="583"/>
      <c r="AG10" s="581"/>
      <c r="AH10" s="582"/>
      <c r="AI10" s="582"/>
      <c r="AJ10" s="582"/>
      <c r="AK10" s="582"/>
      <c r="AL10" s="583"/>
    </row>
    <row r="11" spans="1:38" ht="15" customHeight="1" thickBot="1">
      <c r="A11" s="297" t="s">
        <v>527</v>
      </c>
      <c r="B11" s="707" t="s">
        <v>218</v>
      </c>
      <c r="C11" s="687"/>
      <c r="D11" s="688"/>
      <c r="E11" s="708" t="s">
        <v>335</v>
      </c>
      <c r="F11" s="709"/>
      <c r="G11" s="709"/>
      <c r="H11" s="709"/>
      <c r="I11" s="709"/>
      <c r="J11" s="709"/>
      <c r="K11" s="709"/>
      <c r="L11" s="709"/>
      <c r="M11" s="709"/>
      <c r="N11" s="709"/>
      <c r="O11" s="709"/>
      <c r="P11" s="709"/>
      <c r="Q11" s="709"/>
      <c r="R11" s="709"/>
      <c r="S11" s="709"/>
      <c r="T11" s="710"/>
      <c r="U11" s="711" t="s">
        <v>202</v>
      </c>
      <c r="V11" s="625"/>
      <c r="W11" s="625"/>
      <c r="X11" s="625"/>
      <c r="Y11" s="625"/>
      <c r="Z11" s="626"/>
      <c r="AA11" s="589" t="e">
        <f>U11/U12</f>
        <v>#VALUE!</v>
      </c>
      <c r="AB11" s="590"/>
      <c r="AC11" s="590"/>
      <c r="AD11" s="590"/>
      <c r="AE11" s="590"/>
      <c r="AF11" s="646"/>
      <c r="AG11" s="607" t="s">
        <v>99</v>
      </c>
      <c r="AH11" s="608"/>
      <c r="AI11" s="608"/>
      <c r="AJ11" s="608"/>
      <c r="AK11" s="608"/>
      <c r="AL11" s="609"/>
    </row>
    <row r="12" spans="1:38" ht="15" customHeight="1" thickBot="1">
      <c r="A12" s="297" t="s">
        <v>528</v>
      </c>
      <c r="B12" s="712" t="s">
        <v>219</v>
      </c>
      <c r="C12" s="685"/>
      <c r="D12" s="686"/>
      <c r="E12" s="713" t="s">
        <v>336</v>
      </c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15"/>
      <c r="U12" s="716" t="s">
        <v>145</v>
      </c>
      <c r="V12" s="717"/>
      <c r="W12" s="717"/>
      <c r="X12" s="717"/>
      <c r="Y12" s="717"/>
      <c r="Z12" s="718"/>
      <c r="AA12" s="648"/>
      <c r="AB12" s="649"/>
      <c r="AC12" s="649"/>
      <c r="AD12" s="649"/>
      <c r="AE12" s="649"/>
      <c r="AF12" s="650"/>
      <c r="AG12" s="680"/>
      <c r="AH12" s="681"/>
      <c r="AI12" s="681"/>
      <c r="AJ12" s="681"/>
      <c r="AK12" s="681"/>
      <c r="AL12" s="682"/>
    </row>
    <row r="13" spans="1:38" ht="15.75" customHeight="1" thickBot="1">
      <c r="A13" s="297" t="s">
        <v>529</v>
      </c>
      <c r="B13" s="719">
        <v>2</v>
      </c>
      <c r="C13" s="719"/>
      <c r="D13" s="719"/>
      <c r="E13" s="699" t="s">
        <v>337</v>
      </c>
      <c r="F13" s="700"/>
      <c r="G13" s="700"/>
      <c r="H13" s="700"/>
      <c r="I13" s="700"/>
      <c r="J13" s="700"/>
      <c r="K13" s="700"/>
      <c r="L13" s="700"/>
      <c r="M13" s="700"/>
      <c r="N13" s="700"/>
      <c r="O13" s="700"/>
      <c r="P13" s="700"/>
      <c r="Q13" s="700"/>
      <c r="R13" s="700"/>
      <c r="S13" s="700"/>
      <c r="T13" s="701"/>
      <c r="U13" s="581"/>
      <c r="V13" s="582"/>
      <c r="W13" s="582"/>
      <c r="X13" s="582"/>
      <c r="Y13" s="582"/>
      <c r="Z13" s="583"/>
      <c r="AA13" s="581"/>
      <c r="AB13" s="582"/>
      <c r="AC13" s="582"/>
      <c r="AD13" s="582"/>
      <c r="AE13" s="582"/>
      <c r="AF13" s="583"/>
      <c r="AG13" s="581"/>
      <c r="AH13" s="582"/>
      <c r="AI13" s="582"/>
      <c r="AJ13" s="582"/>
      <c r="AK13" s="582"/>
      <c r="AL13" s="583"/>
    </row>
    <row r="14" spans="1:38" ht="15.75" customHeight="1" thickBot="1">
      <c r="A14" s="297" t="s">
        <v>530</v>
      </c>
      <c r="B14" s="703" t="s">
        <v>299</v>
      </c>
      <c r="C14" s="703"/>
      <c r="D14" s="703"/>
      <c r="E14" s="572" t="s">
        <v>341</v>
      </c>
      <c r="F14" s="573"/>
      <c r="G14" s="573"/>
      <c r="H14" s="573"/>
      <c r="I14" s="573"/>
      <c r="J14" s="573"/>
      <c r="K14" s="573"/>
      <c r="L14" s="573"/>
      <c r="M14" s="573"/>
      <c r="N14" s="573"/>
      <c r="O14" s="573"/>
      <c r="P14" s="573"/>
      <c r="Q14" s="573"/>
      <c r="R14" s="573"/>
      <c r="S14" s="573"/>
      <c r="T14" s="574"/>
      <c r="U14" s="704"/>
      <c r="V14" s="705"/>
      <c r="W14" s="705"/>
      <c r="X14" s="705"/>
      <c r="Y14" s="705"/>
      <c r="Z14" s="706"/>
      <c r="AA14" s="581"/>
      <c r="AB14" s="582"/>
      <c r="AC14" s="582"/>
      <c r="AD14" s="582"/>
      <c r="AE14" s="582"/>
      <c r="AF14" s="583"/>
      <c r="AG14" s="581"/>
      <c r="AH14" s="582"/>
      <c r="AI14" s="582"/>
      <c r="AJ14" s="582"/>
      <c r="AK14" s="582"/>
      <c r="AL14" s="583"/>
    </row>
    <row r="15" spans="1:38" ht="15" customHeight="1" thickBot="1">
      <c r="A15" s="297" t="s">
        <v>531</v>
      </c>
      <c r="B15" s="728" t="s">
        <v>339</v>
      </c>
      <c r="C15" s="728"/>
      <c r="D15" s="728"/>
      <c r="E15" s="729" t="s">
        <v>103</v>
      </c>
      <c r="F15" s="730"/>
      <c r="G15" s="730"/>
      <c r="H15" s="730"/>
      <c r="I15" s="730"/>
      <c r="J15" s="730"/>
      <c r="K15" s="730"/>
      <c r="L15" s="730"/>
      <c r="M15" s="730"/>
      <c r="N15" s="730"/>
      <c r="O15" s="730"/>
      <c r="P15" s="730"/>
      <c r="Q15" s="730"/>
      <c r="R15" s="730"/>
      <c r="S15" s="730"/>
      <c r="T15" s="730"/>
      <c r="U15" s="716" t="s">
        <v>146</v>
      </c>
      <c r="V15" s="717"/>
      <c r="W15" s="717"/>
      <c r="X15" s="717"/>
      <c r="Y15" s="717"/>
      <c r="Z15" s="718"/>
      <c r="AA15" s="589" t="e">
        <f>+U15/U16</f>
        <v>#VALUE!</v>
      </c>
      <c r="AB15" s="590"/>
      <c r="AC15" s="590"/>
      <c r="AD15" s="590"/>
      <c r="AE15" s="590"/>
      <c r="AF15" s="646"/>
      <c r="AG15" s="607" t="s">
        <v>104</v>
      </c>
      <c r="AH15" s="608"/>
      <c r="AI15" s="608"/>
      <c r="AJ15" s="608"/>
      <c r="AK15" s="608"/>
      <c r="AL15" s="609"/>
    </row>
    <row r="16" spans="1:38" ht="15" customHeight="1" thickBot="1">
      <c r="A16" s="297" t="s">
        <v>532</v>
      </c>
      <c r="B16" s="720" t="s">
        <v>340</v>
      </c>
      <c r="C16" s="720"/>
      <c r="D16" s="720"/>
      <c r="E16" s="708" t="s">
        <v>106</v>
      </c>
      <c r="F16" s="709"/>
      <c r="G16" s="709"/>
      <c r="H16" s="709"/>
      <c r="I16" s="709"/>
      <c r="J16" s="70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627" t="s">
        <v>147</v>
      </c>
      <c r="V16" s="605"/>
      <c r="W16" s="605"/>
      <c r="X16" s="605"/>
      <c r="Y16" s="605"/>
      <c r="Z16" s="606"/>
      <c r="AA16" s="591"/>
      <c r="AB16" s="592"/>
      <c r="AC16" s="592"/>
      <c r="AD16" s="592"/>
      <c r="AE16" s="592"/>
      <c r="AF16" s="647"/>
      <c r="AG16" s="610"/>
      <c r="AH16" s="611"/>
      <c r="AI16" s="611"/>
      <c r="AJ16" s="611"/>
      <c r="AK16" s="611"/>
      <c r="AL16" s="612"/>
    </row>
    <row r="17" spans="1:111" ht="15" customHeight="1" thickBot="1">
      <c r="A17" s="297" t="s">
        <v>533</v>
      </c>
      <c r="B17" s="703" t="s">
        <v>220</v>
      </c>
      <c r="C17" s="703"/>
      <c r="D17" s="703"/>
      <c r="E17" s="572" t="s">
        <v>342</v>
      </c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3"/>
      <c r="Q17" s="573"/>
      <c r="R17" s="573"/>
      <c r="S17" s="573"/>
      <c r="T17" s="574"/>
      <c r="U17" s="582"/>
      <c r="V17" s="582"/>
      <c r="W17" s="582"/>
      <c r="X17" s="582"/>
      <c r="Y17" s="582"/>
      <c r="Z17" s="583"/>
      <c r="AA17" s="581"/>
      <c r="AB17" s="582"/>
      <c r="AC17" s="582"/>
      <c r="AD17" s="582"/>
      <c r="AE17" s="582"/>
      <c r="AF17" s="583"/>
      <c r="AG17" s="581"/>
      <c r="AH17" s="582"/>
      <c r="AI17" s="582"/>
      <c r="AJ17" s="582"/>
      <c r="AK17" s="582"/>
      <c r="AL17" s="583"/>
    </row>
    <row r="18" spans="1:111" ht="15" customHeight="1" thickBot="1">
      <c r="A18" s="297" t="s">
        <v>534</v>
      </c>
      <c r="B18" s="724" t="s">
        <v>343</v>
      </c>
      <c r="C18" s="724"/>
      <c r="D18" s="724"/>
      <c r="E18" s="725" t="s">
        <v>105</v>
      </c>
      <c r="F18" s="726"/>
      <c r="G18" s="726"/>
      <c r="H18" s="726"/>
      <c r="I18" s="726"/>
      <c r="J18" s="726"/>
      <c r="K18" s="726"/>
      <c r="L18" s="726"/>
      <c r="M18" s="726"/>
      <c r="N18" s="726"/>
      <c r="O18" s="726"/>
      <c r="P18" s="726"/>
      <c r="Q18" s="726"/>
      <c r="R18" s="726"/>
      <c r="S18" s="726"/>
      <c r="T18" s="727"/>
      <c r="U18" s="716" t="s">
        <v>148</v>
      </c>
      <c r="V18" s="717"/>
      <c r="W18" s="717"/>
      <c r="X18" s="717"/>
      <c r="Y18" s="717"/>
      <c r="Z18" s="718"/>
      <c r="AA18" s="589" t="e">
        <f>U18/U19</f>
        <v>#VALUE!</v>
      </c>
      <c r="AB18" s="590"/>
      <c r="AC18" s="590"/>
      <c r="AD18" s="590"/>
      <c r="AE18" s="590"/>
      <c r="AF18" s="646"/>
      <c r="AG18" s="607"/>
      <c r="AH18" s="608"/>
      <c r="AI18" s="608"/>
      <c r="AJ18" s="608"/>
      <c r="AK18" s="608"/>
      <c r="AL18" s="609"/>
    </row>
    <row r="19" spans="1:111" ht="15.75" customHeight="1" thickBot="1">
      <c r="A19" s="297" t="s">
        <v>535</v>
      </c>
      <c r="B19" s="720" t="s">
        <v>344</v>
      </c>
      <c r="C19" s="720"/>
      <c r="D19" s="720"/>
      <c r="E19" s="721" t="s">
        <v>103</v>
      </c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3"/>
      <c r="U19" s="644" t="s">
        <v>146</v>
      </c>
      <c r="V19" s="644"/>
      <c r="W19" s="644"/>
      <c r="X19" s="644"/>
      <c r="Y19" s="644"/>
      <c r="Z19" s="645"/>
      <c r="AA19" s="648"/>
      <c r="AB19" s="649"/>
      <c r="AC19" s="649"/>
      <c r="AD19" s="649"/>
      <c r="AE19" s="649"/>
      <c r="AF19" s="650"/>
      <c r="AG19" s="680"/>
      <c r="AH19" s="681"/>
      <c r="AI19" s="681"/>
      <c r="AJ19" s="681"/>
      <c r="AK19" s="681"/>
      <c r="AL19" s="682"/>
    </row>
    <row r="20" spans="1:111" ht="12" customHeight="1" thickBot="1">
      <c r="A20" s="297" t="s">
        <v>536</v>
      </c>
      <c r="B20" s="719">
        <v>3</v>
      </c>
      <c r="C20" s="719"/>
      <c r="D20" s="719"/>
      <c r="E20" s="734" t="s">
        <v>347</v>
      </c>
      <c r="F20" s="735"/>
      <c r="G20" s="735"/>
      <c r="H20" s="735"/>
      <c r="I20" s="735"/>
      <c r="J20" s="735"/>
      <c r="K20" s="735"/>
      <c r="L20" s="735"/>
      <c r="M20" s="735"/>
      <c r="N20" s="735"/>
      <c r="O20" s="735"/>
      <c r="P20" s="735"/>
      <c r="Q20" s="735"/>
      <c r="R20" s="735"/>
      <c r="S20" s="735"/>
      <c r="T20" s="736"/>
      <c r="U20" s="660"/>
      <c r="V20" s="660"/>
      <c r="W20" s="660"/>
      <c r="X20" s="660"/>
      <c r="Y20" s="660"/>
      <c r="Z20" s="661"/>
      <c r="AA20" s="660"/>
      <c r="AB20" s="660"/>
      <c r="AC20" s="660"/>
      <c r="AD20" s="660"/>
      <c r="AE20" s="660"/>
      <c r="AF20" s="661"/>
      <c r="AG20" s="662"/>
      <c r="AH20" s="660"/>
      <c r="AI20" s="660"/>
      <c r="AJ20" s="660"/>
      <c r="AK20" s="660"/>
      <c r="AL20" s="661"/>
    </row>
    <row r="21" spans="1:111" s="74" customFormat="1" ht="15" customHeight="1" thickBot="1">
      <c r="A21" s="297" t="s">
        <v>537</v>
      </c>
      <c r="B21" s="703" t="s">
        <v>223</v>
      </c>
      <c r="C21" s="703"/>
      <c r="D21" s="703"/>
      <c r="E21" s="572" t="s">
        <v>346</v>
      </c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3"/>
      <c r="Q21" s="573"/>
      <c r="R21" s="573"/>
      <c r="S21" s="573"/>
      <c r="T21" s="574"/>
      <c r="U21" s="581"/>
      <c r="V21" s="582"/>
      <c r="W21" s="582"/>
      <c r="X21" s="582"/>
      <c r="Y21" s="582"/>
      <c r="Z21" s="583"/>
      <c r="AA21" s="581"/>
      <c r="AB21" s="582"/>
      <c r="AC21" s="582"/>
      <c r="AD21" s="582"/>
      <c r="AE21" s="582"/>
      <c r="AF21" s="583"/>
      <c r="AG21" s="581"/>
      <c r="AH21" s="582"/>
      <c r="AI21" s="582"/>
      <c r="AJ21" s="582"/>
      <c r="AK21" s="582"/>
      <c r="AL21" s="583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</row>
    <row r="22" spans="1:111" ht="15" customHeight="1" thickBot="1">
      <c r="A22" s="297" t="s">
        <v>538</v>
      </c>
      <c r="B22" s="728" t="s">
        <v>249</v>
      </c>
      <c r="C22" s="728"/>
      <c r="D22" s="728"/>
      <c r="E22" s="708" t="s">
        <v>353</v>
      </c>
      <c r="F22" s="709"/>
      <c r="G22" s="709"/>
      <c r="H22" s="709"/>
      <c r="I22" s="709"/>
      <c r="J22" s="709"/>
      <c r="K22" s="709"/>
      <c r="L22" s="709"/>
      <c r="M22" s="709"/>
      <c r="N22" s="709"/>
      <c r="O22" s="709"/>
      <c r="P22" s="709"/>
      <c r="Q22" s="709"/>
      <c r="R22" s="709"/>
      <c r="S22" s="709"/>
      <c r="T22" s="710"/>
      <c r="U22" s="716" t="s">
        <v>425</v>
      </c>
      <c r="V22" s="717"/>
      <c r="W22" s="717"/>
      <c r="X22" s="717"/>
      <c r="Y22" s="717"/>
      <c r="Z22" s="718"/>
      <c r="AA22" s="589" t="e">
        <f>U22/U23</f>
        <v>#VALUE!</v>
      </c>
      <c r="AB22" s="590"/>
      <c r="AC22" s="590"/>
      <c r="AD22" s="590"/>
      <c r="AE22" s="590"/>
      <c r="AF22" s="646"/>
      <c r="AG22" s="607" t="s">
        <v>110</v>
      </c>
      <c r="AH22" s="608"/>
      <c r="AI22" s="608"/>
      <c r="AJ22" s="608"/>
      <c r="AK22" s="608"/>
      <c r="AL22" s="609"/>
    </row>
    <row r="23" spans="1:111" ht="12.45" customHeight="1" thickBot="1">
      <c r="A23" s="297" t="s">
        <v>539</v>
      </c>
      <c r="B23" s="720" t="s">
        <v>345</v>
      </c>
      <c r="C23" s="720"/>
      <c r="D23" s="720"/>
      <c r="E23" s="725" t="s">
        <v>354</v>
      </c>
      <c r="F23" s="726"/>
      <c r="G23" s="726"/>
      <c r="H23" s="726"/>
      <c r="I23" s="726"/>
      <c r="J23" s="726"/>
      <c r="K23" s="726"/>
      <c r="L23" s="726"/>
      <c r="M23" s="726"/>
      <c r="N23" s="726"/>
      <c r="O23" s="726"/>
      <c r="P23" s="726"/>
      <c r="Q23" s="726"/>
      <c r="R23" s="726"/>
      <c r="S23" s="726"/>
      <c r="T23" s="727"/>
      <c r="U23" s="731" t="s">
        <v>149</v>
      </c>
      <c r="V23" s="732"/>
      <c r="W23" s="732"/>
      <c r="X23" s="732"/>
      <c r="Y23" s="732"/>
      <c r="Z23" s="733"/>
      <c r="AA23" s="648"/>
      <c r="AB23" s="649"/>
      <c r="AC23" s="649"/>
      <c r="AD23" s="649"/>
      <c r="AE23" s="649"/>
      <c r="AF23" s="650"/>
      <c r="AG23" s="680"/>
      <c r="AH23" s="681"/>
      <c r="AI23" s="681"/>
      <c r="AJ23" s="681"/>
      <c r="AK23" s="681"/>
      <c r="AL23" s="682"/>
    </row>
    <row r="24" spans="1:111" s="74" customFormat="1" ht="12" customHeight="1" thickBot="1">
      <c r="A24" s="297" t="s">
        <v>540</v>
      </c>
      <c r="B24" s="703" t="s">
        <v>224</v>
      </c>
      <c r="C24" s="703"/>
      <c r="D24" s="703"/>
      <c r="E24" s="572" t="s">
        <v>350</v>
      </c>
      <c r="F24" s="573"/>
      <c r="G24" s="573"/>
      <c r="H24" s="573"/>
      <c r="I24" s="573"/>
      <c r="J24" s="573"/>
      <c r="K24" s="573"/>
      <c r="L24" s="573"/>
      <c r="M24" s="573"/>
      <c r="N24" s="573"/>
      <c r="O24" s="573"/>
      <c r="P24" s="573"/>
      <c r="Q24" s="573"/>
      <c r="R24" s="573"/>
      <c r="S24" s="573"/>
      <c r="T24" s="574"/>
      <c r="U24" s="582"/>
      <c r="V24" s="582"/>
      <c r="W24" s="582"/>
      <c r="X24" s="582"/>
      <c r="Y24" s="582"/>
      <c r="Z24" s="583"/>
      <c r="AA24" s="581"/>
      <c r="AB24" s="582"/>
      <c r="AC24" s="582"/>
      <c r="AD24" s="582"/>
      <c r="AE24" s="582"/>
      <c r="AF24" s="583"/>
      <c r="AG24" s="581"/>
      <c r="AH24" s="582"/>
      <c r="AI24" s="582"/>
      <c r="AJ24" s="582"/>
      <c r="AK24" s="582"/>
      <c r="AL24" s="583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</row>
    <row r="25" spans="1:111" ht="12.45" customHeight="1" thickBot="1">
      <c r="A25" s="297" t="s">
        <v>541</v>
      </c>
      <c r="B25" s="728" t="s">
        <v>348</v>
      </c>
      <c r="C25" s="728"/>
      <c r="D25" s="728"/>
      <c r="E25" s="708" t="s">
        <v>351</v>
      </c>
      <c r="F25" s="709"/>
      <c r="G25" s="709"/>
      <c r="H25" s="709"/>
      <c r="I25" s="709"/>
      <c r="J25" s="70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16" t="s">
        <v>422</v>
      </c>
      <c r="V25" s="717"/>
      <c r="W25" s="717"/>
      <c r="X25" s="717"/>
      <c r="Y25" s="717"/>
      <c r="Z25" s="718"/>
      <c r="AA25" s="589" t="e">
        <f>U25/U26</f>
        <v>#VALUE!</v>
      </c>
      <c r="AB25" s="590"/>
      <c r="AC25" s="590"/>
      <c r="AD25" s="590"/>
      <c r="AE25" s="590"/>
      <c r="AF25" s="646"/>
      <c r="AG25" s="607" t="s">
        <v>110</v>
      </c>
      <c r="AH25" s="608"/>
      <c r="AI25" s="608"/>
      <c r="AJ25" s="608"/>
      <c r="AK25" s="608"/>
      <c r="AL25" s="609"/>
    </row>
    <row r="26" spans="1:111" ht="14.25" customHeight="1" thickBot="1">
      <c r="A26" s="297" t="s">
        <v>542</v>
      </c>
      <c r="B26" s="720" t="s">
        <v>349</v>
      </c>
      <c r="C26" s="720"/>
      <c r="D26" s="720"/>
      <c r="E26" s="725" t="s">
        <v>352</v>
      </c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31" t="s">
        <v>150</v>
      </c>
      <c r="V26" s="732"/>
      <c r="W26" s="732"/>
      <c r="X26" s="732"/>
      <c r="Y26" s="732"/>
      <c r="Z26" s="733"/>
      <c r="AA26" s="648"/>
      <c r="AB26" s="649"/>
      <c r="AC26" s="649"/>
      <c r="AD26" s="649"/>
      <c r="AE26" s="649"/>
      <c r="AF26" s="650"/>
      <c r="AG26" s="680"/>
      <c r="AH26" s="681"/>
      <c r="AI26" s="681"/>
      <c r="AJ26" s="681"/>
      <c r="AK26" s="681"/>
      <c r="AL26" s="682"/>
    </row>
    <row r="27" spans="1:111" ht="14.4" thickBot="1">
      <c r="A27" s="297" t="s">
        <v>543</v>
      </c>
      <c r="B27" s="728" t="s">
        <v>259</v>
      </c>
      <c r="C27" s="728"/>
      <c r="D27" s="728"/>
      <c r="E27" s="572" t="s">
        <v>357</v>
      </c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3"/>
      <c r="R27" s="573"/>
      <c r="S27" s="573"/>
      <c r="T27" s="574"/>
      <c r="U27" s="582"/>
      <c r="V27" s="582"/>
      <c r="W27" s="582"/>
      <c r="X27" s="582"/>
      <c r="Y27" s="582"/>
      <c r="Z27" s="583"/>
      <c r="AA27" s="582"/>
      <c r="AB27" s="582"/>
      <c r="AC27" s="582"/>
      <c r="AD27" s="582"/>
      <c r="AE27" s="582"/>
      <c r="AF27" s="583"/>
      <c r="AG27" s="581"/>
      <c r="AH27" s="582"/>
      <c r="AI27" s="582"/>
      <c r="AJ27" s="582"/>
      <c r="AK27" s="582"/>
      <c r="AL27" s="583"/>
    </row>
    <row r="28" spans="1:111" ht="12.75" customHeight="1" thickBot="1">
      <c r="A28" s="297" t="s">
        <v>544</v>
      </c>
      <c r="B28" s="807" t="s">
        <v>355</v>
      </c>
      <c r="C28" s="808"/>
      <c r="D28" s="809"/>
      <c r="E28" s="709" t="s">
        <v>358</v>
      </c>
      <c r="F28" s="709"/>
      <c r="G28" s="709"/>
      <c r="H28" s="709"/>
      <c r="I28" s="709"/>
      <c r="J28" s="709"/>
      <c r="K28" s="709"/>
      <c r="L28" s="709"/>
      <c r="M28" s="709"/>
      <c r="N28" s="709"/>
      <c r="O28" s="709"/>
      <c r="P28" s="709"/>
      <c r="Q28" s="709"/>
      <c r="R28" s="709"/>
      <c r="S28" s="709"/>
      <c r="T28" s="709"/>
      <c r="U28" s="627" t="s">
        <v>424</v>
      </c>
      <c r="V28" s="605"/>
      <c r="W28" s="605"/>
      <c r="X28" s="605"/>
      <c r="Y28" s="605"/>
      <c r="Z28" s="606"/>
      <c r="AA28" s="589" t="e">
        <f>U28/U29</f>
        <v>#VALUE!</v>
      </c>
      <c r="AB28" s="590"/>
      <c r="AC28" s="590"/>
      <c r="AD28" s="590"/>
      <c r="AE28" s="590"/>
      <c r="AF28" s="646"/>
      <c r="AG28" s="607"/>
      <c r="AH28" s="608"/>
      <c r="AI28" s="608"/>
      <c r="AJ28" s="608"/>
      <c r="AK28" s="608"/>
      <c r="AL28" s="609"/>
    </row>
    <row r="29" spans="1:111" ht="14.25" customHeight="1" thickBot="1">
      <c r="A29" s="297" t="s">
        <v>545</v>
      </c>
      <c r="B29" s="752" t="s">
        <v>356</v>
      </c>
      <c r="C29" s="753"/>
      <c r="D29" s="754"/>
      <c r="E29" s="714" t="s">
        <v>359</v>
      </c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4"/>
      <c r="U29" s="716" t="s">
        <v>423</v>
      </c>
      <c r="V29" s="717"/>
      <c r="W29" s="717"/>
      <c r="X29" s="717"/>
      <c r="Y29" s="717"/>
      <c r="Z29" s="718"/>
      <c r="AA29" s="648"/>
      <c r="AB29" s="649"/>
      <c r="AC29" s="649"/>
      <c r="AD29" s="649"/>
      <c r="AE29" s="649"/>
      <c r="AF29" s="650"/>
      <c r="AG29" s="680"/>
      <c r="AH29" s="681"/>
      <c r="AI29" s="681"/>
      <c r="AJ29" s="681"/>
      <c r="AK29" s="681"/>
      <c r="AL29" s="682"/>
    </row>
    <row r="30" spans="1:111" ht="12" customHeight="1" thickBot="1">
      <c r="A30" s="297" t="s">
        <v>546</v>
      </c>
      <c r="B30" s="757">
        <v>4</v>
      </c>
      <c r="C30" s="757"/>
      <c r="D30" s="757"/>
      <c r="E30" s="734" t="s">
        <v>107</v>
      </c>
      <c r="F30" s="735"/>
      <c r="G30" s="735"/>
      <c r="H30" s="735"/>
      <c r="I30" s="735"/>
      <c r="J30" s="735"/>
      <c r="K30" s="735"/>
      <c r="L30" s="735"/>
      <c r="M30" s="735"/>
      <c r="N30" s="735"/>
      <c r="O30" s="735"/>
      <c r="P30" s="735"/>
      <c r="Q30" s="735"/>
      <c r="R30" s="735"/>
      <c r="S30" s="735"/>
      <c r="T30" s="736"/>
      <c r="U30" s="806"/>
      <c r="V30" s="623"/>
      <c r="W30" s="623"/>
      <c r="X30" s="623"/>
      <c r="Y30" s="623"/>
      <c r="Z30" s="624"/>
      <c r="AA30" s="581"/>
      <c r="AB30" s="582"/>
      <c r="AC30" s="582"/>
      <c r="AD30" s="582"/>
      <c r="AE30" s="582"/>
      <c r="AF30" s="583"/>
      <c r="AG30" s="581"/>
      <c r="AH30" s="582"/>
      <c r="AI30" s="582"/>
      <c r="AJ30" s="582"/>
      <c r="AK30" s="582"/>
      <c r="AL30" s="583"/>
    </row>
    <row r="31" spans="1:111" ht="15" customHeight="1" thickBot="1">
      <c r="A31" s="297" t="s">
        <v>547</v>
      </c>
      <c r="B31" s="728" t="s">
        <v>225</v>
      </c>
      <c r="C31" s="728"/>
      <c r="D31" s="728"/>
      <c r="E31" s="572" t="s">
        <v>362</v>
      </c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3"/>
      <c r="Q31" s="573"/>
      <c r="R31" s="573"/>
      <c r="S31" s="573"/>
      <c r="T31" s="574"/>
      <c r="U31" s="755"/>
      <c r="V31" s="755"/>
      <c r="W31" s="755"/>
      <c r="X31" s="755"/>
      <c r="Y31" s="755"/>
      <c r="Z31" s="756"/>
      <c r="AA31" s="582"/>
      <c r="AB31" s="582"/>
      <c r="AC31" s="582"/>
      <c r="AD31" s="582"/>
      <c r="AE31" s="582"/>
      <c r="AF31" s="583"/>
      <c r="AG31" s="581"/>
      <c r="AH31" s="582"/>
      <c r="AI31" s="582"/>
      <c r="AJ31" s="582"/>
      <c r="AK31" s="582"/>
      <c r="AL31" s="583"/>
    </row>
    <row r="32" spans="1:111" ht="14.25" customHeight="1" thickBot="1">
      <c r="A32" s="297" t="s">
        <v>548</v>
      </c>
      <c r="B32" s="728" t="s">
        <v>360</v>
      </c>
      <c r="C32" s="728"/>
      <c r="D32" s="728"/>
      <c r="E32" s="575" t="s">
        <v>363</v>
      </c>
      <c r="F32" s="576"/>
      <c r="G32" s="576"/>
      <c r="H32" s="576"/>
      <c r="I32" s="576"/>
      <c r="J32" s="576"/>
      <c r="K32" s="576"/>
      <c r="L32" s="576"/>
      <c r="M32" s="576"/>
      <c r="N32" s="576"/>
      <c r="O32" s="576"/>
      <c r="P32" s="576"/>
      <c r="Q32" s="576"/>
      <c r="R32" s="576"/>
      <c r="S32" s="576"/>
      <c r="T32" s="577"/>
      <c r="U32" s="716" t="s">
        <v>426</v>
      </c>
      <c r="V32" s="717"/>
      <c r="W32" s="717"/>
      <c r="X32" s="717"/>
      <c r="Y32" s="717"/>
      <c r="Z32" s="718"/>
      <c r="AA32" s="758" t="e">
        <f>U32/U33</f>
        <v>#VALUE!</v>
      </c>
      <c r="AB32" s="759"/>
      <c r="AC32" s="759"/>
      <c r="AD32" s="759"/>
      <c r="AE32" s="759"/>
      <c r="AF32" s="760"/>
      <c r="AG32" s="654"/>
      <c r="AH32" s="655"/>
      <c r="AI32" s="655"/>
      <c r="AJ32" s="655"/>
      <c r="AK32" s="655"/>
      <c r="AL32" s="656"/>
    </row>
    <row r="33" spans="1:38" ht="12.75" customHeight="1" thickBot="1">
      <c r="A33" s="297" t="s">
        <v>549</v>
      </c>
      <c r="B33" s="720" t="s">
        <v>361</v>
      </c>
      <c r="C33" s="720"/>
      <c r="D33" s="720"/>
      <c r="E33" s="575" t="s">
        <v>364</v>
      </c>
      <c r="F33" s="576"/>
      <c r="G33" s="576"/>
      <c r="H33" s="576"/>
      <c r="I33" s="576"/>
      <c r="J33" s="576"/>
      <c r="K33" s="576"/>
      <c r="L33" s="576"/>
      <c r="M33" s="576"/>
      <c r="N33" s="576"/>
      <c r="O33" s="576"/>
      <c r="P33" s="576"/>
      <c r="Q33" s="576"/>
      <c r="R33" s="576"/>
      <c r="S33" s="576"/>
      <c r="T33" s="577"/>
      <c r="U33" s="770" t="s">
        <v>419</v>
      </c>
      <c r="V33" s="768"/>
      <c r="W33" s="768"/>
      <c r="X33" s="768"/>
      <c r="Y33" s="768"/>
      <c r="Z33" s="769"/>
      <c r="AA33" s="761"/>
      <c r="AB33" s="762"/>
      <c r="AC33" s="762"/>
      <c r="AD33" s="762"/>
      <c r="AE33" s="762"/>
      <c r="AF33" s="763"/>
      <c r="AG33" s="654"/>
      <c r="AH33" s="655"/>
      <c r="AI33" s="655"/>
      <c r="AJ33" s="655"/>
      <c r="AK33" s="655"/>
      <c r="AL33" s="656"/>
    </row>
    <row r="34" spans="1:38" ht="15" customHeight="1" thickBot="1">
      <c r="A34" s="297" t="s">
        <v>550</v>
      </c>
      <c r="B34" s="703" t="s">
        <v>264</v>
      </c>
      <c r="C34" s="703"/>
      <c r="D34" s="703"/>
      <c r="E34" s="749" t="s">
        <v>387</v>
      </c>
      <c r="F34" s="750"/>
      <c r="G34" s="750"/>
      <c r="H34" s="750"/>
      <c r="I34" s="750"/>
      <c r="J34" s="750"/>
      <c r="K34" s="750"/>
      <c r="L34" s="750"/>
      <c r="M34" s="750"/>
      <c r="N34" s="750"/>
      <c r="O34" s="750"/>
      <c r="P34" s="750"/>
      <c r="Q34" s="750"/>
      <c r="R34" s="750"/>
      <c r="S34" s="750"/>
      <c r="T34" s="750"/>
      <c r="U34" s="802"/>
      <c r="V34" s="755"/>
      <c r="W34" s="755"/>
      <c r="X34" s="755"/>
      <c r="Y34" s="755"/>
      <c r="Z34" s="756"/>
      <c r="AA34" s="582"/>
      <c r="AB34" s="582"/>
      <c r="AC34" s="582"/>
      <c r="AD34" s="582"/>
      <c r="AE34" s="582"/>
      <c r="AF34" s="583"/>
      <c r="AG34" s="581"/>
      <c r="AH34" s="582"/>
      <c r="AI34" s="582"/>
      <c r="AJ34" s="582"/>
      <c r="AK34" s="582"/>
      <c r="AL34" s="583"/>
    </row>
    <row r="35" spans="1:38" ht="15" customHeight="1" thickBot="1">
      <c r="A35" s="297" t="s">
        <v>551</v>
      </c>
      <c r="B35" s="728" t="s">
        <v>265</v>
      </c>
      <c r="C35" s="728"/>
      <c r="D35" s="728"/>
      <c r="E35" s="743" t="s">
        <v>365</v>
      </c>
      <c r="F35" s="744"/>
      <c r="G35" s="744"/>
      <c r="H35" s="744"/>
      <c r="I35" s="744"/>
      <c r="J35" s="744"/>
      <c r="K35" s="744"/>
      <c r="L35" s="744"/>
      <c r="M35" s="744"/>
      <c r="N35" s="744"/>
      <c r="O35" s="744"/>
      <c r="P35" s="744"/>
      <c r="Q35" s="744"/>
      <c r="R35" s="744"/>
      <c r="S35" s="744"/>
      <c r="T35" s="744"/>
      <c r="U35" s="716" t="s">
        <v>426</v>
      </c>
      <c r="V35" s="717"/>
      <c r="W35" s="717"/>
      <c r="X35" s="717"/>
      <c r="Y35" s="717"/>
      <c r="Z35" s="718"/>
      <c r="AA35" s="771" t="e">
        <f>U35/U36</f>
        <v>#VALUE!</v>
      </c>
      <c r="AB35" s="772"/>
      <c r="AC35" s="772"/>
      <c r="AD35" s="772"/>
      <c r="AE35" s="772"/>
      <c r="AF35" s="773"/>
      <c r="AG35" s="764"/>
      <c r="AH35" s="765"/>
      <c r="AI35" s="765"/>
      <c r="AJ35" s="765"/>
      <c r="AK35" s="765"/>
      <c r="AL35" s="766"/>
    </row>
    <row r="36" spans="1:38" ht="15.75" customHeight="1" thickBot="1">
      <c r="A36" s="297" t="s">
        <v>552</v>
      </c>
      <c r="B36" s="720" t="s">
        <v>266</v>
      </c>
      <c r="C36" s="720"/>
      <c r="D36" s="720"/>
      <c r="E36" s="800" t="s">
        <v>366</v>
      </c>
      <c r="F36" s="801"/>
      <c r="G36" s="801"/>
      <c r="H36" s="801"/>
      <c r="I36" s="801"/>
      <c r="J36" s="801"/>
      <c r="K36" s="801"/>
      <c r="L36" s="801"/>
      <c r="M36" s="801"/>
      <c r="N36" s="801"/>
      <c r="O36" s="801"/>
      <c r="P36" s="801"/>
      <c r="Q36" s="801"/>
      <c r="R36" s="801"/>
      <c r="S36" s="801"/>
      <c r="T36" s="801"/>
      <c r="U36" s="716" t="s">
        <v>427</v>
      </c>
      <c r="V36" s="717"/>
      <c r="W36" s="717"/>
      <c r="X36" s="717"/>
      <c r="Y36" s="717"/>
      <c r="Z36" s="718"/>
      <c r="AA36" s="774"/>
      <c r="AB36" s="775"/>
      <c r="AC36" s="775"/>
      <c r="AD36" s="775"/>
      <c r="AE36" s="775"/>
      <c r="AF36" s="776"/>
      <c r="AG36" s="767"/>
      <c r="AH36" s="768"/>
      <c r="AI36" s="768"/>
      <c r="AJ36" s="768"/>
      <c r="AK36" s="768"/>
      <c r="AL36" s="769"/>
    </row>
    <row r="37" spans="1:38" ht="15.75" customHeight="1" thickBot="1">
      <c r="A37" s="297" t="s">
        <v>553</v>
      </c>
      <c r="B37" s="703" t="s">
        <v>367</v>
      </c>
      <c r="C37" s="703"/>
      <c r="D37" s="703"/>
      <c r="E37" s="749" t="s">
        <v>370</v>
      </c>
      <c r="F37" s="750"/>
      <c r="G37" s="750"/>
      <c r="H37" s="750"/>
      <c r="I37" s="750"/>
      <c r="J37" s="750"/>
      <c r="K37" s="750"/>
      <c r="L37" s="750"/>
      <c r="M37" s="750"/>
      <c r="N37" s="750"/>
      <c r="O37" s="750"/>
      <c r="P37" s="750"/>
      <c r="Q37" s="750"/>
      <c r="R37" s="750"/>
      <c r="S37" s="750"/>
      <c r="T37" s="750"/>
      <c r="U37" s="802"/>
      <c r="V37" s="755"/>
      <c r="W37" s="755"/>
      <c r="X37" s="755"/>
      <c r="Y37" s="755"/>
      <c r="Z37" s="756"/>
      <c r="AA37" s="582"/>
      <c r="AB37" s="582"/>
      <c r="AC37" s="582"/>
      <c r="AD37" s="582"/>
      <c r="AE37" s="582"/>
      <c r="AF37" s="583"/>
      <c r="AG37" s="581"/>
      <c r="AH37" s="582"/>
      <c r="AI37" s="582"/>
      <c r="AJ37" s="582"/>
      <c r="AK37" s="582"/>
      <c r="AL37" s="583"/>
    </row>
    <row r="38" spans="1:38" ht="15.75" customHeight="1" thickBot="1">
      <c r="A38" s="297" t="s">
        <v>554</v>
      </c>
      <c r="B38" s="728" t="s">
        <v>368</v>
      </c>
      <c r="C38" s="728"/>
      <c r="D38" s="728"/>
      <c r="E38" s="743" t="s">
        <v>365</v>
      </c>
      <c r="F38" s="744"/>
      <c r="G38" s="744"/>
      <c r="H38" s="744"/>
      <c r="I38" s="744"/>
      <c r="J38" s="744"/>
      <c r="K38" s="744"/>
      <c r="L38" s="744"/>
      <c r="M38" s="744"/>
      <c r="N38" s="744"/>
      <c r="O38" s="744"/>
      <c r="P38" s="744"/>
      <c r="Q38" s="744"/>
      <c r="R38" s="744"/>
      <c r="S38" s="744"/>
      <c r="T38" s="744"/>
      <c r="U38" s="716" t="s">
        <v>426</v>
      </c>
      <c r="V38" s="717"/>
      <c r="W38" s="717"/>
      <c r="X38" s="717"/>
      <c r="Y38" s="717"/>
      <c r="Z38" s="718"/>
      <c r="AA38" s="771" t="e">
        <f>U38/U39</f>
        <v>#VALUE!</v>
      </c>
      <c r="AB38" s="772"/>
      <c r="AC38" s="772"/>
      <c r="AD38" s="772"/>
      <c r="AE38" s="772"/>
      <c r="AF38" s="773"/>
      <c r="AG38" s="764"/>
      <c r="AH38" s="765"/>
      <c r="AI38" s="765"/>
      <c r="AJ38" s="765"/>
      <c r="AK38" s="765"/>
      <c r="AL38" s="766"/>
    </row>
    <row r="39" spans="1:38" ht="15.75" customHeight="1" thickBot="1">
      <c r="A39" s="297" t="s">
        <v>555</v>
      </c>
      <c r="B39" s="720" t="s">
        <v>369</v>
      </c>
      <c r="C39" s="720"/>
      <c r="D39" s="720"/>
      <c r="E39" s="800" t="s">
        <v>371</v>
      </c>
      <c r="F39" s="801"/>
      <c r="G39" s="801"/>
      <c r="H39" s="801"/>
      <c r="I39" s="801"/>
      <c r="J39" s="801"/>
      <c r="K39" s="801"/>
      <c r="L39" s="801"/>
      <c r="M39" s="801"/>
      <c r="N39" s="801"/>
      <c r="O39" s="801"/>
      <c r="P39" s="801"/>
      <c r="Q39" s="801"/>
      <c r="R39" s="801"/>
      <c r="S39" s="801"/>
      <c r="T39" s="801"/>
      <c r="U39" s="746" t="s">
        <v>153</v>
      </c>
      <c r="V39" s="747"/>
      <c r="W39" s="747"/>
      <c r="X39" s="747"/>
      <c r="Y39" s="747"/>
      <c r="Z39" s="748"/>
      <c r="AA39" s="774"/>
      <c r="AB39" s="775"/>
      <c r="AC39" s="775"/>
      <c r="AD39" s="775"/>
      <c r="AE39" s="775"/>
      <c r="AF39" s="776"/>
      <c r="AG39" s="767"/>
      <c r="AH39" s="768"/>
      <c r="AI39" s="768"/>
      <c r="AJ39" s="768"/>
      <c r="AK39" s="768"/>
      <c r="AL39" s="769"/>
    </row>
    <row r="40" spans="1:38" ht="15.75" customHeight="1" thickBot="1">
      <c r="A40" s="297" t="s">
        <v>556</v>
      </c>
      <c r="B40" s="702">
        <v>5</v>
      </c>
      <c r="C40" s="702"/>
      <c r="D40" s="702"/>
      <c r="E40" s="803" t="s">
        <v>108</v>
      </c>
      <c r="F40" s="804"/>
      <c r="G40" s="804"/>
      <c r="H40" s="804"/>
      <c r="I40" s="804"/>
      <c r="J40" s="804"/>
      <c r="K40" s="804"/>
      <c r="L40" s="804"/>
      <c r="M40" s="804"/>
      <c r="N40" s="804"/>
      <c r="O40" s="804"/>
      <c r="P40" s="804"/>
      <c r="Q40" s="804"/>
      <c r="R40" s="804"/>
      <c r="S40" s="804"/>
      <c r="T40" s="805"/>
      <c r="U40" s="581"/>
      <c r="V40" s="582"/>
      <c r="W40" s="582"/>
      <c r="X40" s="582"/>
      <c r="Y40" s="582"/>
      <c r="Z40" s="583"/>
      <c r="AA40" s="581"/>
      <c r="AB40" s="582"/>
      <c r="AC40" s="582"/>
      <c r="AD40" s="582"/>
      <c r="AE40" s="582"/>
      <c r="AF40" s="583"/>
      <c r="AG40" s="581"/>
      <c r="AH40" s="582"/>
      <c r="AI40" s="582"/>
      <c r="AJ40" s="582"/>
      <c r="AK40" s="582"/>
      <c r="AL40" s="583"/>
    </row>
    <row r="41" spans="1:38" ht="13.5" customHeight="1" thickBot="1">
      <c r="A41" s="297" t="s">
        <v>557</v>
      </c>
      <c r="B41" s="798" t="s">
        <v>247</v>
      </c>
      <c r="C41" s="703"/>
      <c r="D41" s="799"/>
      <c r="E41" s="749" t="s">
        <v>386</v>
      </c>
      <c r="F41" s="750"/>
      <c r="G41" s="750"/>
      <c r="H41" s="750"/>
      <c r="I41" s="750"/>
      <c r="J41" s="750"/>
      <c r="K41" s="750"/>
      <c r="L41" s="750"/>
      <c r="M41" s="750"/>
      <c r="N41" s="750"/>
      <c r="O41" s="750"/>
      <c r="P41" s="750"/>
      <c r="Q41" s="750"/>
      <c r="R41" s="750"/>
      <c r="S41" s="750"/>
      <c r="T41" s="751"/>
      <c r="U41" s="581"/>
      <c r="V41" s="582"/>
      <c r="W41" s="582"/>
      <c r="X41" s="582"/>
      <c r="Y41" s="582"/>
      <c r="Z41" s="583"/>
      <c r="AA41" s="71"/>
      <c r="AB41" s="72"/>
      <c r="AC41" s="72"/>
      <c r="AD41" s="72"/>
      <c r="AE41" s="72"/>
      <c r="AF41" s="73"/>
      <c r="AG41" s="71"/>
      <c r="AH41" s="72"/>
      <c r="AI41" s="72"/>
      <c r="AJ41" s="72"/>
      <c r="AK41" s="72"/>
      <c r="AL41" s="73"/>
    </row>
    <row r="42" spans="1:38" ht="10.5" customHeight="1" thickBot="1">
      <c r="A42" s="297" t="s">
        <v>558</v>
      </c>
      <c r="B42" s="728" t="s">
        <v>372</v>
      </c>
      <c r="C42" s="728"/>
      <c r="D42" s="728"/>
      <c r="E42" s="743" t="s">
        <v>374</v>
      </c>
      <c r="F42" s="744"/>
      <c r="G42" s="744"/>
      <c r="H42" s="744"/>
      <c r="I42" s="744"/>
      <c r="J42" s="744"/>
      <c r="K42" s="744"/>
      <c r="L42" s="744"/>
      <c r="M42" s="744"/>
      <c r="N42" s="744"/>
      <c r="O42" s="744"/>
      <c r="P42" s="744"/>
      <c r="Q42" s="744"/>
      <c r="R42" s="744"/>
      <c r="S42" s="744"/>
      <c r="T42" s="745"/>
      <c r="U42" s="783" t="s">
        <v>152</v>
      </c>
      <c r="V42" s="784"/>
      <c r="W42" s="784"/>
      <c r="X42" s="784"/>
      <c r="Y42" s="784"/>
      <c r="Z42" s="785"/>
      <c r="AA42" s="771" t="e">
        <f>U42/U43</f>
        <v>#VALUE!</v>
      </c>
      <c r="AB42" s="772"/>
      <c r="AC42" s="772"/>
      <c r="AD42" s="772"/>
      <c r="AE42" s="772"/>
      <c r="AF42" s="773"/>
      <c r="AG42" s="737" t="s">
        <v>111</v>
      </c>
      <c r="AH42" s="738"/>
      <c r="AI42" s="738"/>
      <c r="AJ42" s="738"/>
      <c r="AK42" s="738"/>
      <c r="AL42" s="739"/>
    </row>
    <row r="43" spans="1:38" ht="12.45" customHeight="1" thickBot="1">
      <c r="A43" s="297" t="s">
        <v>559</v>
      </c>
      <c r="B43" s="720" t="s">
        <v>373</v>
      </c>
      <c r="C43" s="720"/>
      <c r="D43" s="720"/>
      <c r="E43" s="743" t="s">
        <v>375</v>
      </c>
      <c r="F43" s="744"/>
      <c r="G43" s="744"/>
      <c r="H43" s="744"/>
      <c r="I43" s="744"/>
      <c r="J43" s="744"/>
      <c r="K43" s="744"/>
      <c r="L43" s="744"/>
      <c r="M43" s="744"/>
      <c r="N43" s="744"/>
      <c r="O43" s="744"/>
      <c r="P43" s="744"/>
      <c r="Q43" s="744"/>
      <c r="R43" s="744"/>
      <c r="S43" s="744"/>
      <c r="T43" s="745"/>
      <c r="U43" s="746" t="s">
        <v>153</v>
      </c>
      <c r="V43" s="747"/>
      <c r="W43" s="747"/>
      <c r="X43" s="747"/>
      <c r="Y43" s="747"/>
      <c r="Z43" s="748"/>
      <c r="AA43" s="774"/>
      <c r="AB43" s="775"/>
      <c r="AC43" s="775"/>
      <c r="AD43" s="775"/>
      <c r="AE43" s="775"/>
      <c r="AF43" s="776"/>
      <c r="AG43" s="740"/>
      <c r="AH43" s="741"/>
      <c r="AI43" s="741"/>
      <c r="AJ43" s="741"/>
      <c r="AK43" s="741"/>
      <c r="AL43" s="742"/>
    </row>
    <row r="44" spans="1:38" ht="15" customHeight="1" thickBot="1">
      <c r="A44" s="297" t="s">
        <v>560</v>
      </c>
      <c r="B44" s="798" t="s">
        <v>248</v>
      </c>
      <c r="C44" s="703"/>
      <c r="D44" s="799"/>
      <c r="E44" s="749" t="s">
        <v>380</v>
      </c>
      <c r="F44" s="750"/>
      <c r="G44" s="750"/>
      <c r="H44" s="750"/>
      <c r="I44" s="750"/>
      <c r="J44" s="750"/>
      <c r="K44" s="750"/>
      <c r="L44" s="750"/>
      <c r="M44" s="750"/>
      <c r="N44" s="750"/>
      <c r="O44" s="750"/>
      <c r="P44" s="750"/>
      <c r="Q44" s="750"/>
      <c r="R44" s="750"/>
      <c r="S44" s="750"/>
      <c r="T44" s="751"/>
      <c r="U44" s="581"/>
      <c r="V44" s="582"/>
      <c r="W44" s="582"/>
      <c r="X44" s="582"/>
      <c r="Y44" s="582"/>
      <c r="Z44" s="583"/>
      <c r="AA44" s="581"/>
      <c r="AB44" s="582"/>
      <c r="AC44" s="582"/>
      <c r="AD44" s="582"/>
      <c r="AE44" s="582"/>
      <c r="AF44" s="583"/>
      <c r="AG44" s="581"/>
      <c r="AH44" s="582"/>
      <c r="AI44" s="582"/>
      <c r="AJ44" s="582"/>
      <c r="AK44" s="582"/>
      <c r="AL44" s="583"/>
    </row>
    <row r="45" spans="1:38" ht="13.05" customHeight="1" thickBot="1">
      <c r="A45" s="297" t="s">
        <v>561</v>
      </c>
      <c r="B45" s="728" t="s">
        <v>376</v>
      </c>
      <c r="C45" s="728"/>
      <c r="D45" s="728"/>
      <c r="E45" s="777" t="s">
        <v>378</v>
      </c>
      <c r="F45" s="778"/>
      <c r="G45" s="778"/>
      <c r="H45" s="778"/>
      <c r="I45" s="778"/>
      <c r="J45" s="778"/>
      <c r="K45" s="778"/>
      <c r="L45" s="778"/>
      <c r="M45" s="778"/>
      <c r="N45" s="778"/>
      <c r="O45" s="778"/>
      <c r="P45" s="778"/>
      <c r="Q45" s="778"/>
      <c r="R45" s="778"/>
      <c r="S45" s="778"/>
      <c r="T45" s="779"/>
      <c r="U45" s="780" t="s">
        <v>428</v>
      </c>
      <c r="V45" s="781"/>
      <c r="W45" s="781"/>
      <c r="X45" s="781"/>
      <c r="Y45" s="781"/>
      <c r="Z45" s="782"/>
      <c r="AA45" s="758" t="e">
        <f>U45/U46</f>
        <v>#VALUE!</v>
      </c>
      <c r="AB45" s="759"/>
      <c r="AC45" s="759"/>
      <c r="AD45" s="759"/>
      <c r="AE45" s="759"/>
      <c r="AF45" s="760"/>
      <c r="AG45" s="764"/>
      <c r="AH45" s="765"/>
      <c r="AI45" s="765"/>
      <c r="AJ45" s="765"/>
      <c r="AK45" s="765"/>
      <c r="AL45" s="766"/>
    </row>
    <row r="46" spans="1:38" ht="11.55" customHeight="1" thickBot="1">
      <c r="A46" s="297" t="s">
        <v>562</v>
      </c>
      <c r="B46" s="720" t="s">
        <v>377</v>
      </c>
      <c r="C46" s="720"/>
      <c r="D46" s="720"/>
      <c r="E46" s="743" t="s">
        <v>379</v>
      </c>
      <c r="F46" s="744"/>
      <c r="G46" s="744"/>
      <c r="H46" s="744"/>
      <c r="I46" s="744"/>
      <c r="J46" s="744"/>
      <c r="K46" s="744"/>
      <c r="L46" s="744"/>
      <c r="M46" s="744"/>
      <c r="N46" s="744"/>
      <c r="O46" s="744"/>
      <c r="P46" s="744"/>
      <c r="Q46" s="744"/>
      <c r="R46" s="744"/>
      <c r="S46" s="744"/>
      <c r="T46" s="745"/>
      <c r="U46" s="783" t="s">
        <v>152</v>
      </c>
      <c r="V46" s="784"/>
      <c r="W46" s="784"/>
      <c r="X46" s="784"/>
      <c r="Y46" s="784"/>
      <c r="Z46" s="785"/>
      <c r="AA46" s="761"/>
      <c r="AB46" s="762"/>
      <c r="AC46" s="762"/>
      <c r="AD46" s="762"/>
      <c r="AE46" s="762"/>
      <c r="AF46" s="763"/>
      <c r="AG46" s="767"/>
      <c r="AH46" s="768"/>
      <c r="AI46" s="768"/>
      <c r="AJ46" s="768"/>
      <c r="AK46" s="768"/>
      <c r="AL46" s="769"/>
    </row>
    <row r="47" spans="1:38" ht="12.75" customHeight="1" thickBot="1">
      <c r="A47" s="297" t="s">
        <v>563</v>
      </c>
      <c r="B47" s="798" t="s">
        <v>381</v>
      </c>
      <c r="C47" s="703"/>
      <c r="D47" s="799"/>
      <c r="E47" s="749" t="s">
        <v>382</v>
      </c>
      <c r="F47" s="750"/>
      <c r="G47" s="750"/>
      <c r="H47" s="750"/>
      <c r="I47" s="750"/>
      <c r="J47" s="750"/>
      <c r="K47" s="750"/>
      <c r="L47" s="750"/>
      <c r="M47" s="750"/>
      <c r="N47" s="750"/>
      <c r="O47" s="750"/>
      <c r="P47" s="750"/>
      <c r="Q47" s="750"/>
      <c r="R47" s="750"/>
      <c r="S47" s="750"/>
      <c r="T47" s="751"/>
      <c r="U47" s="581"/>
      <c r="V47" s="582"/>
      <c r="W47" s="582"/>
      <c r="X47" s="582"/>
      <c r="Y47" s="582"/>
      <c r="Z47" s="583"/>
      <c r="AA47" s="581"/>
      <c r="AB47" s="582"/>
      <c r="AC47" s="582"/>
      <c r="AD47" s="582"/>
      <c r="AE47" s="582"/>
      <c r="AF47" s="583"/>
      <c r="AG47" s="581"/>
      <c r="AH47" s="582"/>
      <c r="AI47" s="582"/>
      <c r="AJ47" s="582"/>
      <c r="AK47" s="582"/>
      <c r="AL47" s="583"/>
    </row>
    <row r="48" spans="1:38" ht="14.4" thickBot="1">
      <c r="A48" s="297" t="s">
        <v>564</v>
      </c>
      <c r="B48" s="728" t="s">
        <v>383</v>
      </c>
      <c r="C48" s="728"/>
      <c r="D48" s="728"/>
      <c r="E48" s="743" t="s">
        <v>385</v>
      </c>
      <c r="F48" s="744"/>
      <c r="G48" s="744"/>
      <c r="H48" s="744"/>
      <c r="I48" s="744"/>
      <c r="J48" s="744"/>
      <c r="K48" s="744"/>
      <c r="L48" s="744"/>
      <c r="M48" s="744"/>
      <c r="N48" s="744"/>
      <c r="O48" s="744"/>
      <c r="P48" s="744"/>
      <c r="Q48" s="744"/>
      <c r="R48" s="744"/>
      <c r="S48" s="744"/>
      <c r="T48" s="745"/>
      <c r="U48" s="644" t="s">
        <v>146</v>
      </c>
      <c r="V48" s="644"/>
      <c r="W48" s="644"/>
      <c r="X48" s="644"/>
      <c r="Y48" s="644"/>
      <c r="Z48" s="645"/>
      <c r="AA48" s="591" t="e">
        <f>U48/U49</f>
        <v>#VALUE!</v>
      </c>
      <c r="AB48" s="592"/>
      <c r="AC48" s="592"/>
      <c r="AD48" s="590"/>
      <c r="AE48" s="590"/>
      <c r="AF48" s="646"/>
      <c r="AG48" s="651"/>
      <c r="AH48" s="652"/>
      <c r="AI48" s="652"/>
      <c r="AJ48" s="652"/>
      <c r="AK48" s="652"/>
      <c r="AL48" s="653"/>
    </row>
    <row r="49" spans="1:38" ht="12.75" customHeight="1" thickBot="1">
      <c r="A49" s="297" t="s">
        <v>565</v>
      </c>
      <c r="B49" s="720" t="s">
        <v>384</v>
      </c>
      <c r="C49" s="720"/>
      <c r="D49" s="720"/>
      <c r="E49" s="743" t="s">
        <v>379</v>
      </c>
      <c r="F49" s="744"/>
      <c r="G49" s="744"/>
      <c r="H49" s="744"/>
      <c r="I49" s="744"/>
      <c r="J49" s="744"/>
      <c r="K49" s="744"/>
      <c r="L49" s="744"/>
      <c r="M49" s="744"/>
      <c r="N49" s="744"/>
      <c r="O49" s="744"/>
      <c r="P49" s="744"/>
      <c r="Q49" s="744"/>
      <c r="R49" s="744"/>
      <c r="S49" s="744"/>
      <c r="T49" s="745"/>
      <c r="U49" s="783" t="s">
        <v>152</v>
      </c>
      <c r="V49" s="784"/>
      <c r="W49" s="784"/>
      <c r="X49" s="784"/>
      <c r="Y49" s="784"/>
      <c r="Z49" s="785"/>
      <c r="AA49" s="648"/>
      <c r="AB49" s="649"/>
      <c r="AC49" s="649"/>
      <c r="AD49" s="649"/>
      <c r="AE49" s="649"/>
      <c r="AF49" s="650"/>
      <c r="AG49" s="657"/>
      <c r="AH49" s="658"/>
      <c r="AI49" s="658"/>
      <c r="AJ49" s="658"/>
      <c r="AK49" s="658"/>
      <c r="AL49" s="659"/>
    </row>
    <row r="50" spans="1:38" ht="12.75" customHeight="1" thickBot="1">
      <c r="A50" s="297" t="s">
        <v>566</v>
      </c>
      <c r="B50" s="798" t="s">
        <v>388</v>
      </c>
      <c r="C50" s="703"/>
      <c r="D50" s="799"/>
      <c r="E50" s="749" t="s">
        <v>391</v>
      </c>
      <c r="F50" s="750"/>
      <c r="G50" s="750"/>
      <c r="H50" s="750"/>
      <c r="I50" s="750"/>
      <c r="J50" s="750"/>
      <c r="K50" s="750"/>
      <c r="L50" s="750"/>
      <c r="M50" s="750"/>
      <c r="N50" s="750"/>
      <c r="O50" s="750"/>
      <c r="P50" s="750"/>
      <c r="Q50" s="750"/>
      <c r="R50" s="750"/>
      <c r="S50" s="750"/>
      <c r="T50" s="751"/>
      <c r="U50" s="581"/>
      <c r="V50" s="582"/>
      <c r="W50" s="582"/>
      <c r="X50" s="582"/>
      <c r="Y50" s="582"/>
      <c r="Z50" s="583"/>
      <c r="AA50" s="581"/>
      <c r="AB50" s="582"/>
      <c r="AC50" s="582"/>
      <c r="AD50" s="582"/>
      <c r="AE50" s="582"/>
      <c r="AF50" s="583"/>
      <c r="AG50" s="581"/>
      <c r="AH50" s="582"/>
      <c r="AI50" s="582"/>
      <c r="AJ50" s="582"/>
      <c r="AK50" s="582"/>
      <c r="AL50" s="583"/>
    </row>
    <row r="51" spans="1:38" ht="12.75" customHeight="1" thickBot="1">
      <c r="A51" s="297" t="s">
        <v>567</v>
      </c>
      <c r="B51" s="728" t="s">
        <v>389</v>
      </c>
      <c r="C51" s="728"/>
      <c r="D51" s="728"/>
      <c r="E51" s="743" t="s">
        <v>392</v>
      </c>
      <c r="F51" s="744"/>
      <c r="G51" s="744"/>
      <c r="H51" s="744"/>
      <c r="I51" s="744"/>
      <c r="J51" s="744"/>
      <c r="K51" s="744"/>
      <c r="L51" s="744"/>
      <c r="M51" s="744"/>
      <c r="N51" s="744"/>
      <c r="O51" s="744"/>
      <c r="P51" s="744"/>
      <c r="Q51" s="744"/>
      <c r="R51" s="744"/>
      <c r="S51" s="744"/>
      <c r="T51" s="745"/>
      <c r="U51" s="711" t="s">
        <v>429</v>
      </c>
      <c r="V51" s="625"/>
      <c r="W51" s="625"/>
      <c r="X51" s="625"/>
      <c r="Y51" s="625"/>
      <c r="Z51" s="626"/>
      <c r="AA51" s="593" t="e">
        <f>U51/U52</f>
        <v>#VALUE!</v>
      </c>
      <c r="AB51" s="594"/>
      <c r="AC51" s="594"/>
      <c r="AD51" s="594"/>
      <c r="AE51" s="594"/>
      <c r="AF51" s="595"/>
      <c r="AG51" s="599"/>
      <c r="AH51" s="600"/>
      <c r="AI51" s="600"/>
      <c r="AJ51" s="600"/>
      <c r="AK51" s="600"/>
      <c r="AL51" s="601"/>
    </row>
    <row r="52" spans="1:38" ht="12.75" customHeight="1" thickBot="1">
      <c r="A52" s="297" t="s">
        <v>568</v>
      </c>
      <c r="B52" s="720" t="s">
        <v>390</v>
      </c>
      <c r="C52" s="720"/>
      <c r="D52" s="720"/>
      <c r="E52" s="743" t="s">
        <v>393</v>
      </c>
      <c r="F52" s="744"/>
      <c r="G52" s="744"/>
      <c r="H52" s="744"/>
      <c r="I52" s="744"/>
      <c r="J52" s="744"/>
      <c r="K52" s="744"/>
      <c r="L52" s="744"/>
      <c r="M52" s="744"/>
      <c r="N52" s="744"/>
      <c r="O52" s="744"/>
      <c r="P52" s="744"/>
      <c r="Q52" s="744"/>
      <c r="R52" s="744"/>
      <c r="S52" s="744"/>
      <c r="T52" s="745"/>
      <c r="U52" s="783" t="s">
        <v>152</v>
      </c>
      <c r="V52" s="784"/>
      <c r="W52" s="784"/>
      <c r="X52" s="784"/>
      <c r="Y52" s="784"/>
      <c r="Z52" s="785"/>
      <c r="AA52" s="596"/>
      <c r="AB52" s="597"/>
      <c r="AC52" s="597"/>
      <c r="AD52" s="597"/>
      <c r="AE52" s="597"/>
      <c r="AF52" s="598"/>
      <c r="AG52" s="602"/>
      <c r="AH52" s="603"/>
      <c r="AI52" s="603"/>
      <c r="AJ52" s="603"/>
      <c r="AK52" s="603"/>
      <c r="AL52" s="604"/>
    </row>
    <row r="53" spans="1:38" ht="12.75" customHeight="1" thickBot="1">
      <c r="A53" s="297" t="s">
        <v>569</v>
      </c>
      <c r="B53" s="798" t="s">
        <v>394</v>
      </c>
      <c r="C53" s="703"/>
      <c r="D53" s="799"/>
      <c r="E53" s="749" t="s">
        <v>399</v>
      </c>
      <c r="F53" s="750"/>
      <c r="G53" s="750"/>
      <c r="H53" s="750"/>
      <c r="I53" s="750"/>
      <c r="J53" s="750"/>
      <c r="K53" s="750"/>
      <c r="L53" s="750"/>
      <c r="M53" s="750"/>
      <c r="N53" s="750"/>
      <c r="O53" s="750"/>
      <c r="P53" s="750"/>
      <c r="Q53" s="750"/>
      <c r="R53" s="750"/>
      <c r="S53" s="750"/>
      <c r="T53" s="751"/>
      <c r="U53" s="581"/>
      <c r="V53" s="582"/>
      <c r="W53" s="582"/>
      <c r="X53" s="582"/>
      <c r="Y53" s="582"/>
      <c r="Z53" s="583"/>
      <c r="AA53" s="581"/>
      <c r="AB53" s="582"/>
      <c r="AC53" s="582"/>
      <c r="AD53" s="582"/>
      <c r="AE53" s="582"/>
      <c r="AF53" s="583"/>
      <c r="AG53" s="581"/>
      <c r="AH53" s="582"/>
      <c r="AI53" s="582"/>
      <c r="AJ53" s="582"/>
      <c r="AK53" s="582"/>
      <c r="AL53" s="583"/>
    </row>
    <row r="54" spans="1:38" ht="16.95" customHeight="1" thickBot="1">
      <c r="A54" s="297" t="s">
        <v>570</v>
      </c>
      <c r="B54" s="728" t="s">
        <v>395</v>
      </c>
      <c r="C54" s="728"/>
      <c r="D54" s="728"/>
      <c r="E54" s="786" t="s">
        <v>397</v>
      </c>
      <c r="F54" s="787"/>
      <c r="G54" s="787"/>
      <c r="H54" s="787"/>
      <c r="I54" s="787"/>
      <c r="J54" s="787"/>
      <c r="K54" s="787"/>
      <c r="L54" s="787"/>
      <c r="M54" s="787"/>
      <c r="N54" s="787"/>
      <c r="O54" s="787"/>
      <c r="P54" s="787"/>
      <c r="Q54" s="787"/>
      <c r="R54" s="787"/>
      <c r="S54" s="787"/>
      <c r="T54" s="788"/>
      <c r="U54" s="789" t="s">
        <v>420</v>
      </c>
      <c r="V54" s="790"/>
      <c r="W54" s="790"/>
      <c r="X54" s="790"/>
      <c r="Y54" s="790"/>
      <c r="Z54" s="791"/>
      <c r="AA54" s="593" t="e">
        <f>U54/U55</f>
        <v>#VALUE!</v>
      </c>
      <c r="AB54" s="594"/>
      <c r="AC54" s="594"/>
      <c r="AD54" s="594"/>
      <c r="AE54" s="594"/>
      <c r="AF54" s="595"/>
      <c r="AG54" s="599"/>
      <c r="AH54" s="600"/>
      <c r="AI54" s="600"/>
      <c r="AJ54" s="600"/>
      <c r="AK54" s="600"/>
      <c r="AL54" s="601"/>
    </row>
    <row r="55" spans="1:38" ht="13.8" customHeight="1" thickBot="1">
      <c r="A55" s="297" t="s">
        <v>571</v>
      </c>
      <c r="B55" s="720" t="s">
        <v>396</v>
      </c>
      <c r="C55" s="720"/>
      <c r="D55" s="720"/>
      <c r="E55" s="792" t="s">
        <v>398</v>
      </c>
      <c r="F55" s="793"/>
      <c r="G55" s="793"/>
      <c r="H55" s="793"/>
      <c r="I55" s="793"/>
      <c r="J55" s="793"/>
      <c r="K55" s="793"/>
      <c r="L55" s="793"/>
      <c r="M55" s="793"/>
      <c r="N55" s="793"/>
      <c r="O55" s="793"/>
      <c r="P55" s="793"/>
      <c r="Q55" s="793"/>
      <c r="R55" s="793"/>
      <c r="S55" s="793"/>
      <c r="T55" s="794"/>
      <c r="U55" s="795" t="s">
        <v>176</v>
      </c>
      <c r="V55" s="796"/>
      <c r="W55" s="796"/>
      <c r="X55" s="796"/>
      <c r="Y55" s="796"/>
      <c r="Z55" s="797"/>
      <c r="AA55" s="596"/>
      <c r="AB55" s="597"/>
      <c r="AC55" s="597"/>
      <c r="AD55" s="597"/>
      <c r="AE55" s="597"/>
      <c r="AF55" s="598"/>
      <c r="AG55" s="602"/>
      <c r="AH55" s="603"/>
      <c r="AI55" s="603"/>
      <c r="AJ55" s="603"/>
      <c r="AK55" s="603"/>
      <c r="AL55" s="604"/>
    </row>
  </sheetData>
  <mergeCells count="213">
    <mergeCell ref="B45:D45"/>
    <mergeCell ref="B46:D46"/>
    <mergeCell ref="B47:D47"/>
    <mergeCell ref="B50:D50"/>
    <mergeCell ref="B51:D51"/>
    <mergeCell ref="B52:D52"/>
    <mergeCell ref="B24:D24"/>
    <mergeCell ref="B26:D26"/>
    <mergeCell ref="B27:D27"/>
    <mergeCell ref="B32:D32"/>
    <mergeCell ref="B33:D33"/>
    <mergeCell ref="B41:D41"/>
    <mergeCell ref="B42:D42"/>
    <mergeCell ref="B43:D43"/>
    <mergeCell ref="B44:D44"/>
    <mergeCell ref="B25:D25"/>
    <mergeCell ref="B40:D40"/>
    <mergeCell ref="B48:D48"/>
    <mergeCell ref="E40:T40"/>
    <mergeCell ref="U40:Z40"/>
    <mergeCell ref="U30:Z30"/>
    <mergeCell ref="E27:T27"/>
    <mergeCell ref="U27:Z27"/>
    <mergeCell ref="B35:D35"/>
    <mergeCell ref="E34:T34"/>
    <mergeCell ref="U34:Z34"/>
    <mergeCell ref="B36:D36"/>
    <mergeCell ref="U35:Z35"/>
    <mergeCell ref="B38:D38"/>
    <mergeCell ref="E38:T38"/>
    <mergeCell ref="U38:Z38"/>
    <mergeCell ref="E36:T36"/>
    <mergeCell ref="U36:Z36"/>
    <mergeCell ref="E35:T35"/>
    <mergeCell ref="B28:D28"/>
    <mergeCell ref="AA38:AF39"/>
    <mergeCell ref="AG38:AL39"/>
    <mergeCell ref="B39:D39"/>
    <mergeCell ref="E39:T39"/>
    <mergeCell ref="U39:Z39"/>
    <mergeCell ref="B37:D37"/>
    <mergeCell ref="E37:T37"/>
    <mergeCell ref="U37:Z37"/>
    <mergeCell ref="AA37:AF37"/>
    <mergeCell ref="AA53:AF53"/>
    <mergeCell ref="AG53:AL53"/>
    <mergeCell ref="B54:D54"/>
    <mergeCell ref="E54:T54"/>
    <mergeCell ref="U54:Z54"/>
    <mergeCell ref="AA54:AF55"/>
    <mergeCell ref="AG54:AL55"/>
    <mergeCell ref="E51:T51"/>
    <mergeCell ref="U51:Z51"/>
    <mergeCell ref="AA51:AF52"/>
    <mergeCell ref="AG51:AL52"/>
    <mergeCell ref="E52:T52"/>
    <mergeCell ref="U52:Z52"/>
    <mergeCell ref="B55:D55"/>
    <mergeCell ref="E55:T55"/>
    <mergeCell ref="U55:Z55"/>
    <mergeCell ref="B53:D53"/>
    <mergeCell ref="E53:T53"/>
    <mergeCell ref="U53:Z53"/>
    <mergeCell ref="E48:T48"/>
    <mergeCell ref="U48:Z48"/>
    <mergeCell ref="AA48:AF49"/>
    <mergeCell ref="AG48:AL49"/>
    <mergeCell ref="B49:D49"/>
    <mergeCell ref="E49:T49"/>
    <mergeCell ref="U49:Z49"/>
    <mergeCell ref="E50:T50"/>
    <mergeCell ref="U50:Z50"/>
    <mergeCell ref="U44:Z44"/>
    <mergeCell ref="AA50:AF50"/>
    <mergeCell ref="AG50:AL50"/>
    <mergeCell ref="E47:T47"/>
    <mergeCell ref="U47:Z47"/>
    <mergeCell ref="AA47:AF47"/>
    <mergeCell ref="AG47:AL47"/>
    <mergeCell ref="AG37:AL37"/>
    <mergeCell ref="AA35:AF36"/>
    <mergeCell ref="AA44:AF44"/>
    <mergeCell ref="AG44:AL44"/>
    <mergeCell ref="E45:T45"/>
    <mergeCell ref="U45:Z45"/>
    <mergeCell ref="AA45:AF46"/>
    <mergeCell ref="AG45:AL46"/>
    <mergeCell ref="E46:T46"/>
    <mergeCell ref="U46:Z46"/>
    <mergeCell ref="AA40:AF40"/>
    <mergeCell ref="AG40:AL40"/>
    <mergeCell ref="E41:T41"/>
    <mergeCell ref="U41:Z41"/>
    <mergeCell ref="E42:T42"/>
    <mergeCell ref="U42:Z42"/>
    <mergeCell ref="AA42:AF43"/>
    <mergeCell ref="AG42:AL43"/>
    <mergeCell ref="E43:T43"/>
    <mergeCell ref="U43:Z43"/>
    <mergeCell ref="E44:T44"/>
    <mergeCell ref="B29:D29"/>
    <mergeCell ref="AG30:AL30"/>
    <mergeCell ref="B31:D31"/>
    <mergeCell ref="E31:T31"/>
    <mergeCell ref="U31:Z31"/>
    <mergeCell ref="AA31:AF31"/>
    <mergeCell ref="AG31:AL31"/>
    <mergeCell ref="AG34:AL34"/>
    <mergeCell ref="AA30:AF30"/>
    <mergeCell ref="B30:D30"/>
    <mergeCell ref="E30:T30"/>
    <mergeCell ref="E32:T32"/>
    <mergeCell ref="U32:Z32"/>
    <mergeCell ref="AA32:AF33"/>
    <mergeCell ref="AA34:AF34"/>
    <mergeCell ref="AG35:AL36"/>
    <mergeCell ref="AG32:AL33"/>
    <mergeCell ref="E33:T33"/>
    <mergeCell ref="U33:Z33"/>
    <mergeCell ref="B34:D34"/>
    <mergeCell ref="AA24:AF24"/>
    <mergeCell ref="AG24:AL24"/>
    <mergeCell ref="E25:T25"/>
    <mergeCell ref="U25:Z25"/>
    <mergeCell ref="AA25:AF26"/>
    <mergeCell ref="AG25:AL26"/>
    <mergeCell ref="E26:T26"/>
    <mergeCell ref="U26:Z26"/>
    <mergeCell ref="E29:T29"/>
    <mergeCell ref="U29:Z29"/>
    <mergeCell ref="AA27:AF27"/>
    <mergeCell ref="E24:T24"/>
    <mergeCell ref="U24:Z24"/>
    <mergeCell ref="AG27:AL27"/>
    <mergeCell ref="E28:T28"/>
    <mergeCell ref="U28:Z28"/>
    <mergeCell ref="AA28:AF29"/>
    <mergeCell ref="AG28:AL29"/>
    <mergeCell ref="AA22:AF23"/>
    <mergeCell ref="AG22:AL23"/>
    <mergeCell ref="E23:T23"/>
    <mergeCell ref="U23:Z23"/>
    <mergeCell ref="AA20:AF20"/>
    <mergeCell ref="AG20:AL20"/>
    <mergeCell ref="B21:D21"/>
    <mergeCell ref="E21:T21"/>
    <mergeCell ref="U21:Z21"/>
    <mergeCell ref="AA21:AF21"/>
    <mergeCell ref="AG21:AL21"/>
    <mergeCell ref="B20:D20"/>
    <mergeCell ref="E20:T20"/>
    <mergeCell ref="U20:Z20"/>
    <mergeCell ref="B22:D22"/>
    <mergeCell ref="E22:T22"/>
    <mergeCell ref="U22:Z22"/>
    <mergeCell ref="B23:D23"/>
    <mergeCell ref="AA15:AF16"/>
    <mergeCell ref="AG15:AL16"/>
    <mergeCell ref="E16:T16"/>
    <mergeCell ref="U16:Z16"/>
    <mergeCell ref="B19:D19"/>
    <mergeCell ref="E19:T19"/>
    <mergeCell ref="U19:Z19"/>
    <mergeCell ref="B17:D17"/>
    <mergeCell ref="E17:T17"/>
    <mergeCell ref="U17:Z17"/>
    <mergeCell ref="AA17:AF17"/>
    <mergeCell ref="AG17:AL17"/>
    <mergeCell ref="B18:D18"/>
    <mergeCell ref="E18:T18"/>
    <mergeCell ref="U18:Z18"/>
    <mergeCell ref="AA18:AF19"/>
    <mergeCell ref="AG18:AL19"/>
    <mergeCell ref="B15:D15"/>
    <mergeCell ref="B16:D16"/>
    <mergeCell ref="E15:T15"/>
    <mergeCell ref="U15:Z15"/>
    <mergeCell ref="AA13:AF13"/>
    <mergeCell ref="AG13:AL13"/>
    <mergeCell ref="B14:D14"/>
    <mergeCell ref="E14:T14"/>
    <mergeCell ref="U14:Z14"/>
    <mergeCell ref="AA14:AF14"/>
    <mergeCell ref="AG14:AL14"/>
    <mergeCell ref="B11:D11"/>
    <mergeCell ref="E11:T11"/>
    <mergeCell ref="U11:Z11"/>
    <mergeCell ref="AA11:AF12"/>
    <mergeCell ref="AG11:AL12"/>
    <mergeCell ref="B12:D12"/>
    <mergeCell ref="E12:T12"/>
    <mergeCell ref="U12:Z12"/>
    <mergeCell ref="B13:D13"/>
    <mergeCell ref="E13:T13"/>
    <mergeCell ref="U13:Z13"/>
    <mergeCell ref="B1:AL1"/>
    <mergeCell ref="B2:AL2"/>
    <mergeCell ref="C4:D4"/>
    <mergeCell ref="E4:H4"/>
    <mergeCell ref="M4:Q4"/>
    <mergeCell ref="AG9:AL9"/>
    <mergeCell ref="B10:D10"/>
    <mergeCell ref="E10:T10"/>
    <mergeCell ref="U10:Z10"/>
    <mergeCell ref="AA10:AF10"/>
    <mergeCell ref="AG10:AL10"/>
    <mergeCell ref="E7:K7"/>
    <mergeCell ref="W7:X7"/>
    <mergeCell ref="B9:D9"/>
    <mergeCell ref="E9:T9"/>
    <mergeCell ref="U9:Z9"/>
    <mergeCell ref="AA9:AF9"/>
    <mergeCell ref="R4:AD4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F30E-6D09-4EC0-9E9F-3FC325333CBB}">
  <sheetPr>
    <tabColor rgb="FF00B0F0"/>
  </sheetPr>
  <dimension ref="A1:DG53"/>
  <sheetViews>
    <sheetView showGridLines="0" view="pageBreakPreview" zoomScaleNormal="100" zoomScaleSheetLayoutView="100" workbookViewId="0">
      <selection activeCell="B49" sqref="B49:D49"/>
    </sheetView>
  </sheetViews>
  <sheetFormatPr baseColWidth="10" defaultColWidth="3.5546875" defaultRowHeight="10.199999999999999"/>
  <cols>
    <col min="1" max="1" width="17.88671875" style="1" customWidth="1"/>
    <col min="2" max="2" width="10" style="1" customWidth="1"/>
    <col min="3" max="3" width="15" style="1" customWidth="1"/>
    <col min="4" max="4" width="7.77734375" style="1" customWidth="1"/>
    <col min="5" max="17" width="3.5546875" style="1"/>
    <col min="18" max="18" width="2.21875" style="1" customWidth="1"/>
    <col min="19" max="19" width="3.5546875" style="1" hidden="1" customWidth="1"/>
    <col min="20" max="20" width="1" style="1" hidden="1" customWidth="1"/>
    <col min="21" max="25" width="3.5546875" style="1"/>
    <col min="26" max="26" width="21.21875" style="1" customWidth="1"/>
    <col min="27" max="31" width="3.5546875" style="1"/>
    <col min="32" max="32" width="1.21875" style="1" customWidth="1"/>
    <col min="33" max="35" width="3.5546875" style="1"/>
    <col min="36" max="36" width="2.44140625" style="1" customWidth="1"/>
    <col min="37" max="38" width="3.5546875" style="1" hidden="1" customWidth="1"/>
    <col min="39" max="16384" width="3.5546875" style="1"/>
  </cols>
  <sheetData>
    <row r="1" spans="1:38" ht="16.2" thickBot="1">
      <c r="B1" s="695" t="s">
        <v>453</v>
      </c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  <c r="AA1" s="696"/>
      <c r="AB1" s="696"/>
      <c r="AC1" s="696"/>
      <c r="AD1" s="696"/>
      <c r="AE1" s="696"/>
      <c r="AF1" s="696"/>
      <c r="AG1" s="696"/>
      <c r="AH1" s="696"/>
      <c r="AI1" s="696"/>
      <c r="AJ1" s="696"/>
      <c r="AK1" s="696"/>
      <c r="AL1" s="697"/>
    </row>
    <row r="2" spans="1:38" ht="10.8" thickBot="1">
      <c r="B2" s="667" t="s">
        <v>113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668"/>
      <c r="AA2" s="668"/>
      <c r="AB2" s="668"/>
      <c r="AC2" s="668"/>
      <c r="AD2" s="668"/>
      <c r="AE2" s="668"/>
      <c r="AF2" s="668"/>
      <c r="AG2" s="668"/>
      <c r="AH2" s="668"/>
      <c r="AI2" s="668"/>
      <c r="AJ2" s="668"/>
      <c r="AK2" s="668"/>
      <c r="AL2" s="669"/>
    </row>
    <row r="3" spans="1:38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>
      <c r="B4" s="5"/>
      <c r="C4" s="30" t="s">
        <v>16</v>
      </c>
      <c r="F4" s="101"/>
      <c r="G4" s="102"/>
      <c r="H4" s="102"/>
      <c r="I4" s="102"/>
      <c r="J4" s="103"/>
      <c r="M4" s="547" t="s">
        <v>52</v>
      </c>
      <c r="N4" s="547"/>
      <c r="O4" s="547"/>
      <c r="P4" s="547"/>
      <c r="Q4" s="548"/>
      <c r="R4" s="549"/>
      <c r="S4" s="550"/>
      <c r="T4" s="550"/>
      <c r="U4" s="550"/>
      <c r="V4" s="550"/>
      <c r="W4" s="550"/>
      <c r="X4" s="550"/>
      <c r="Y4" s="550"/>
      <c r="Z4" s="550"/>
    </row>
    <row r="5" spans="1:38">
      <c r="B5" s="5"/>
    </row>
    <row r="6" spans="1:38">
      <c r="B6" s="5"/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  <c r="I6" s="7" t="s">
        <v>9</v>
      </c>
      <c r="J6" s="7" t="s">
        <v>9</v>
      </c>
      <c r="K6" s="7" t="s">
        <v>10</v>
      </c>
      <c r="L6" s="7" t="s">
        <v>10</v>
      </c>
      <c r="P6" s="7"/>
      <c r="Q6" s="7"/>
      <c r="R6" s="7"/>
      <c r="S6" s="7"/>
      <c r="T6" s="7"/>
      <c r="W6" s="7">
        <v>0</v>
      </c>
      <c r="X6" s="7">
        <v>7</v>
      </c>
      <c r="AC6" s="7" t="s">
        <v>9</v>
      </c>
      <c r="AG6" s="7"/>
    </row>
    <row r="7" spans="1:38">
      <c r="B7" s="5"/>
      <c r="D7" s="555" t="s">
        <v>17</v>
      </c>
      <c r="E7" s="555"/>
      <c r="F7" s="555"/>
      <c r="G7" s="555"/>
      <c r="H7" s="555"/>
      <c r="I7" s="555"/>
      <c r="J7" s="555"/>
      <c r="K7" s="555"/>
      <c r="L7" s="30"/>
      <c r="R7" s="31" t="s">
        <v>11</v>
      </c>
      <c r="S7" s="31"/>
      <c r="W7" s="555" t="s">
        <v>14</v>
      </c>
      <c r="X7" s="555"/>
      <c r="AC7" s="30" t="s">
        <v>15</v>
      </c>
      <c r="AG7" s="30" t="s">
        <v>21</v>
      </c>
    </row>
    <row r="8" spans="1:38" ht="10.8" thickBot="1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 spans="1:38" ht="15.75" customHeight="1" thickBot="1">
      <c r="A9" s="291" t="s">
        <v>246</v>
      </c>
      <c r="B9" s="582" t="s">
        <v>216</v>
      </c>
      <c r="C9" s="582"/>
      <c r="D9" s="582"/>
      <c r="E9" s="581" t="s">
        <v>109</v>
      </c>
      <c r="F9" s="582"/>
      <c r="G9" s="582"/>
      <c r="H9" s="582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3"/>
      <c r="U9" s="581" t="s">
        <v>8</v>
      </c>
      <c r="V9" s="582"/>
      <c r="W9" s="582"/>
      <c r="X9" s="582"/>
      <c r="Y9" s="582"/>
      <c r="Z9" s="583"/>
      <c r="AA9" s="581" t="s">
        <v>100</v>
      </c>
      <c r="AB9" s="582"/>
      <c r="AC9" s="582"/>
      <c r="AD9" s="582"/>
      <c r="AE9" s="582"/>
      <c r="AF9" s="583"/>
      <c r="AG9" s="581" t="s">
        <v>76</v>
      </c>
      <c r="AH9" s="582"/>
      <c r="AI9" s="582"/>
      <c r="AJ9" s="582"/>
      <c r="AK9" s="582"/>
      <c r="AL9" s="583"/>
    </row>
    <row r="10" spans="1:38" ht="15.75" customHeight="1" thickBot="1">
      <c r="A10" s="298" t="s">
        <v>572</v>
      </c>
      <c r="B10" s="388">
        <v>1</v>
      </c>
      <c r="C10" s="388"/>
      <c r="D10" s="389"/>
      <c r="E10" s="699" t="s">
        <v>400</v>
      </c>
      <c r="F10" s="700"/>
      <c r="G10" s="700"/>
      <c r="H10" s="700"/>
      <c r="I10" s="700"/>
      <c r="J10" s="700"/>
      <c r="K10" s="700"/>
      <c r="L10" s="700"/>
      <c r="M10" s="700"/>
      <c r="N10" s="700"/>
      <c r="O10" s="700"/>
      <c r="P10" s="700"/>
      <c r="Q10" s="700"/>
      <c r="R10" s="700"/>
      <c r="S10" s="700"/>
      <c r="T10" s="701"/>
      <c r="U10" s="581"/>
      <c r="V10" s="582"/>
      <c r="W10" s="582"/>
      <c r="X10" s="582"/>
      <c r="Y10" s="582"/>
      <c r="Z10" s="583"/>
      <c r="AA10" s="581"/>
      <c r="AB10" s="582"/>
      <c r="AC10" s="582"/>
      <c r="AD10" s="582"/>
      <c r="AE10" s="582"/>
      <c r="AF10" s="583"/>
      <c r="AG10" s="581"/>
      <c r="AH10" s="582"/>
      <c r="AI10" s="582"/>
      <c r="AJ10" s="582"/>
      <c r="AK10" s="582"/>
      <c r="AL10" s="583"/>
    </row>
    <row r="11" spans="1:38" ht="15" customHeight="1" thickBot="1">
      <c r="A11" s="298" t="s">
        <v>573</v>
      </c>
      <c r="B11" s="728" t="s">
        <v>218</v>
      </c>
      <c r="C11" s="728"/>
      <c r="D11" s="728"/>
      <c r="E11" s="708" t="s">
        <v>102</v>
      </c>
      <c r="F11" s="709"/>
      <c r="G11" s="709"/>
      <c r="H11" s="709"/>
      <c r="I11" s="709"/>
      <c r="J11" s="709"/>
      <c r="K11" s="709"/>
      <c r="L11" s="709"/>
      <c r="M11" s="709"/>
      <c r="N11" s="709"/>
      <c r="O11" s="709"/>
      <c r="P11" s="709"/>
      <c r="Q11" s="709"/>
      <c r="R11" s="709"/>
      <c r="S11" s="709"/>
      <c r="T11" s="710"/>
      <c r="U11" s="711" t="s">
        <v>202</v>
      </c>
      <c r="V11" s="625"/>
      <c r="W11" s="625"/>
      <c r="X11" s="625"/>
      <c r="Y11" s="625"/>
      <c r="Z11" s="626"/>
      <c r="AA11" s="589" t="e">
        <f>U11/U12</f>
        <v>#VALUE!</v>
      </c>
      <c r="AB11" s="590"/>
      <c r="AC11" s="590"/>
      <c r="AD11" s="590"/>
      <c r="AE11" s="590"/>
      <c r="AF11" s="646"/>
      <c r="AG11" s="607" t="s">
        <v>99</v>
      </c>
      <c r="AH11" s="608"/>
      <c r="AI11" s="608"/>
      <c r="AJ11" s="608"/>
      <c r="AK11" s="608"/>
      <c r="AL11" s="609"/>
    </row>
    <row r="12" spans="1:38" ht="15" customHeight="1" thickBot="1">
      <c r="A12" s="298" t="s">
        <v>574</v>
      </c>
      <c r="B12" s="720" t="s">
        <v>219</v>
      </c>
      <c r="C12" s="720"/>
      <c r="D12" s="720"/>
      <c r="E12" s="713" t="s">
        <v>101</v>
      </c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15"/>
      <c r="U12" s="716" t="s">
        <v>145</v>
      </c>
      <c r="V12" s="717"/>
      <c r="W12" s="717"/>
      <c r="X12" s="717"/>
      <c r="Y12" s="717"/>
      <c r="Z12" s="718"/>
      <c r="AA12" s="648"/>
      <c r="AB12" s="649"/>
      <c r="AC12" s="649"/>
      <c r="AD12" s="649"/>
      <c r="AE12" s="649"/>
      <c r="AF12" s="650"/>
      <c r="AG12" s="680"/>
      <c r="AH12" s="681"/>
      <c r="AI12" s="681"/>
      <c r="AJ12" s="681"/>
      <c r="AK12" s="681"/>
      <c r="AL12" s="682"/>
    </row>
    <row r="13" spans="1:38" ht="15.75" customHeight="1" thickBot="1">
      <c r="A13" s="298" t="s">
        <v>575</v>
      </c>
      <c r="B13" s="719">
        <v>2</v>
      </c>
      <c r="C13" s="719"/>
      <c r="D13" s="719"/>
      <c r="E13" s="699" t="s">
        <v>401</v>
      </c>
      <c r="F13" s="700"/>
      <c r="G13" s="700"/>
      <c r="H13" s="700"/>
      <c r="I13" s="700"/>
      <c r="J13" s="700"/>
      <c r="K13" s="700"/>
      <c r="L13" s="700"/>
      <c r="M13" s="700"/>
      <c r="N13" s="700"/>
      <c r="O13" s="700"/>
      <c r="P13" s="700"/>
      <c r="Q13" s="700"/>
      <c r="R13" s="700"/>
      <c r="S13" s="700"/>
      <c r="T13" s="701"/>
      <c r="U13" s="581"/>
      <c r="V13" s="582"/>
      <c r="W13" s="582"/>
      <c r="X13" s="582"/>
      <c r="Y13" s="582"/>
      <c r="Z13" s="583"/>
      <c r="AA13" s="581"/>
      <c r="AB13" s="582"/>
      <c r="AC13" s="582"/>
      <c r="AD13" s="582"/>
      <c r="AE13" s="582"/>
      <c r="AF13" s="583"/>
      <c r="AG13" s="581"/>
      <c r="AH13" s="582"/>
      <c r="AI13" s="582"/>
      <c r="AJ13" s="582"/>
      <c r="AK13" s="582"/>
      <c r="AL13" s="583"/>
    </row>
    <row r="14" spans="1:38" ht="15.75" customHeight="1" thickBot="1">
      <c r="A14" s="298" t="s">
        <v>576</v>
      </c>
      <c r="B14" s="703" t="s">
        <v>299</v>
      </c>
      <c r="C14" s="703"/>
      <c r="D14" s="703"/>
      <c r="E14" s="572" t="s">
        <v>402</v>
      </c>
      <c r="F14" s="573"/>
      <c r="G14" s="573"/>
      <c r="H14" s="573"/>
      <c r="I14" s="573"/>
      <c r="J14" s="573"/>
      <c r="K14" s="573"/>
      <c r="L14" s="573"/>
      <c r="M14" s="573"/>
      <c r="N14" s="573"/>
      <c r="O14" s="573"/>
      <c r="P14" s="573"/>
      <c r="Q14" s="573"/>
      <c r="R14" s="573"/>
      <c r="S14" s="573"/>
      <c r="T14" s="574"/>
      <c r="U14" s="704"/>
      <c r="V14" s="705"/>
      <c r="W14" s="705"/>
      <c r="X14" s="705"/>
      <c r="Y14" s="705"/>
      <c r="Z14" s="706"/>
      <c r="AA14" s="581"/>
      <c r="AB14" s="582"/>
      <c r="AC14" s="582"/>
      <c r="AD14" s="582"/>
      <c r="AE14" s="582"/>
      <c r="AF14" s="583"/>
      <c r="AG14" s="581"/>
      <c r="AH14" s="582"/>
      <c r="AI14" s="582"/>
      <c r="AJ14" s="582"/>
      <c r="AK14" s="582"/>
      <c r="AL14" s="583"/>
    </row>
    <row r="15" spans="1:38" ht="15" customHeight="1" thickBot="1">
      <c r="A15" s="298" t="s">
        <v>577</v>
      </c>
      <c r="B15" s="728" t="s">
        <v>339</v>
      </c>
      <c r="C15" s="728"/>
      <c r="D15" s="728"/>
      <c r="E15" s="729" t="s">
        <v>103</v>
      </c>
      <c r="F15" s="730"/>
      <c r="G15" s="730"/>
      <c r="H15" s="730"/>
      <c r="I15" s="730"/>
      <c r="J15" s="730"/>
      <c r="K15" s="730"/>
      <c r="L15" s="730"/>
      <c r="M15" s="730"/>
      <c r="N15" s="730"/>
      <c r="O15" s="730"/>
      <c r="P15" s="730"/>
      <c r="Q15" s="730"/>
      <c r="R15" s="730"/>
      <c r="S15" s="730"/>
      <c r="T15" s="730"/>
      <c r="U15" s="716" t="s">
        <v>146</v>
      </c>
      <c r="V15" s="717"/>
      <c r="W15" s="717"/>
      <c r="X15" s="717"/>
      <c r="Y15" s="717"/>
      <c r="Z15" s="718"/>
      <c r="AA15" s="589" t="e">
        <f>+U15/U16</f>
        <v>#VALUE!</v>
      </c>
      <c r="AB15" s="590"/>
      <c r="AC15" s="590"/>
      <c r="AD15" s="590"/>
      <c r="AE15" s="590"/>
      <c r="AF15" s="646"/>
      <c r="AG15" s="607" t="s">
        <v>104</v>
      </c>
      <c r="AH15" s="608"/>
      <c r="AI15" s="608"/>
      <c r="AJ15" s="608"/>
      <c r="AK15" s="608"/>
      <c r="AL15" s="609"/>
    </row>
    <row r="16" spans="1:38" ht="15" customHeight="1" thickBot="1">
      <c r="A16" s="298" t="s">
        <v>578</v>
      </c>
      <c r="B16" s="720" t="s">
        <v>340</v>
      </c>
      <c r="C16" s="720"/>
      <c r="D16" s="720"/>
      <c r="E16" s="708" t="s">
        <v>106</v>
      </c>
      <c r="F16" s="709"/>
      <c r="G16" s="709"/>
      <c r="H16" s="709"/>
      <c r="I16" s="709"/>
      <c r="J16" s="70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627" t="s">
        <v>147</v>
      </c>
      <c r="V16" s="605"/>
      <c r="W16" s="605"/>
      <c r="X16" s="605"/>
      <c r="Y16" s="605"/>
      <c r="Z16" s="606"/>
      <c r="AA16" s="591"/>
      <c r="AB16" s="592"/>
      <c r="AC16" s="592"/>
      <c r="AD16" s="592"/>
      <c r="AE16" s="592"/>
      <c r="AF16" s="647"/>
      <c r="AG16" s="610"/>
      <c r="AH16" s="611"/>
      <c r="AI16" s="611"/>
      <c r="AJ16" s="611"/>
      <c r="AK16" s="611"/>
      <c r="AL16" s="612"/>
    </row>
    <row r="17" spans="1:111" ht="15" customHeight="1" thickBot="1">
      <c r="A17" s="298" t="s">
        <v>579</v>
      </c>
      <c r="B17" s="703" t="s">
        <v>220</v>
      </c>
      <c r="C17" s="703"/>
      <c r="D17" s="703"/>
      <c r="E17" s="572" t="s">
        <v>403</v>
      </c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3"/>
      <c r="Q17" s="573"/>
      <c r="R17" s="573"/>
      <c r="S17" s="573"/>
      <c r="T17" s="574"/>
      <c r="U17" s="581"/>
      <c r="V17" s="582"/>
      <c r="W17" s="582"/>
      <c r="X17" s="582"/>
      <c r="Y17" s="582"/>
      <c r="Z17" s="583"/>
      <c r="AA17" s="581"/>
      <c r="AB17" s="582"/>
      <c r="AC17" s="582"/>
      <c r="AD17" s="582"/>
      <c r="AE17" s="582"/>
      <c r="AF17" s="583"/>
      <c r="AG17" s="581"/>
      <c r="AH17" s="582"/>
      <c r="AI17" s="582"/>
      <c r="AJ17" s="582"/>
      <c r="AK17" s="582"/>
      <c r="AL17" s="583"/>
    </row>
    <row r="18" spans="1:111" ht="15" customHeight="1" thickBot="1">
      <c r="A18" s="298" t="s">
        <v>580</v>
      </c>
      <c r="B18" s="724" t="s">
        <v>343</v>
      </c>
      <c r="C18" s="724"/>
      <c r="D18" s="724"/>
      <c r="E18" s="725" t="s">
        <v>105</v>
      </c>
      <c r="F18" s="726"/>
      <c r="G18" s="726"/>
      <c r="H18" s="726"/>
      <c r="I18" s="726"/>
      <c r="J18" s="726"/>
      <c r="K18" s="726"/>
      <c r="L18" s="726"/>
      <c r="M18" s="726"/>
      <c r="N18" s="726"/>
      <c r="O18" s="726"/>
      <c r="P18" s="726"/>
      <c r="Q18" s="726"/>
      <c r="R18" s="726"/>
      <c r="S18" s="726"/>
      <c r="T18" s="727"/>
      <c r="U18" s="716" t="s">
        <v>148</v>
      </c>
      <c r="V18" s="717"/>
      <c r="W18" s="717"/>
      <c r="X18" s="717"/>
      <c r="Y18" s="717"/>
      <c r="Z18" s="718"/>
      <c r="AA18" s="589" t="e">
        <f>U18/U19</f>
        <v>#VALUE!</v>
      </c>
      <c r="AB18" s="590"/>
      <c r="AC18" s="590"/>
      <c r="AD18" s="590"/>
      <c r="AE18" s="590"/>
      <c r="AF18" s="646"/>
      <c r="AG18" s="607"/>
      <c r="AH18" s="608"/>
      <c r="AI18" s="608"/>
      <c r="AJ18" s="608"/>
      <c r="AK18" s="608"/>
      <c r="AL18" s="609"/>
    </row>
    <row r="19" spans="1:111" ht="15.75" customHeight="1" thickBot="1">
      <c r="A19" s="298" t="s">
        <v>581</v>
      </c>
      <c r="B19" s="720" t="s">
        <v>344</v>
      </c>
      <c r="C19" s="720"/>
      <c r="D19" s="720"/>
      <c r="E19" s="721" t="s">
        <v>103</v>
      </c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3"/>
      <c r="U19" s="813" t="s">
        <v>146</v>
      </c>
      <c r="V19" s="644"/>
      <c r="W19" s="644"/>
      <c r="X19" s="644"/>
      <c r="Y19" s="644"/>
      <c r="Z19" s="645"/>
      <c r="AA19" s="648"/>
      <c r="AB19" s="649"/>
      <c r="AC19" s="649"/>
      <c r="AD19" s="649"/>
      <c r="AE19" s="649"/>
      <c r="AF19" s="650"/>
      <c r="AG19" s="680"/>
      <c r="AH19" s="681"/>
      <c r="AI19" s="681"/>
      <c r="AJ19" s="681"/>
      <c r="AK19" s="681"/>
      <c r="AL19" s="682"/>
    </row>
    <row r="20" spans="1:111" ht="12" customHeight="1" thickBot="1">
      <c r="A20" s="298" t="s">
        <v>582</v>
      </c>
      <c r="B20" s="719">
        <v>3</v>
      </c>
      <c r="C20" s="719"/>
      <c r="D20" s="719"/>
      <c r="E20" s="810" t="s">
        <v>404</v>
      </c>
      <c r="F20" s="811"/>
      <c r="G20" s="811"/>
      <c r="H20" s="811"/>
      <c r="I20" s="811"/>
      <c r="J20" s="811"/>
      <c r="K20" s="811"/>
      <c r="L20" s="811"/>
      <c r="M20" s="811"/>
      <c r="N20" s="811"/>
      <c r="O20" s="811"/>
      <c r="P20" s="811"/>
      <c r="Q20" s="811"/>
      <c r="R20" s="811"/>
      <c r="S20" s="811"/>
      <c r="T20" s="812"/>
      <c r="U20" s="662"/>
      <c r="V20" s="660"/>
      <c r="W20" s="660"/>
      <c r="X20" s="660"/>
      <c r="Y20" s="660"/>
      <c r="Z20" s="661"/>
      <c r="AA20" s="660"/>
      <c r="AB20" s="660"/>
      <c r="AC20" s="660"/>
      <c r="AD20" s="660"/>
      <c r="AE20" s="660"/>
      <c r="AF20" s="661"/>
      <c r="AG20" s="662"/>
      <c r="AH20" s="660"/>
      <c r="AI20" s="660"/>
      <c r="AJ20" s="660"/>
      <c r="AK20" s="660"/>
      <c r="AL20" s="661"/>
    </row>
    <row r="21" spans="1:111" s="74" customFormat="1" ht="15" customHeight="1" thickBot="1">
      <c r="A21" s="298" t="s">
        <v>583</v>
      </c>
      <c r="B21" s="703" t="s">
        <v>223</v>
      </c>
      <c r="C21" s="703"/>
      <c r="D21" s="703"/>
      <c r="E21" s="572" t="s">
        <v>405</v>
      </c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3"/>
      <c r="Q21" s="573"/>
      <c r="R21" s="573"/>
      <c r="S21" s="573"/>
      <c r="T21" s="574"/>
      <c r="U21" s="581"/>
      <c r="V21" s="582"/>
      <c r="W21" s="582"/>
      <c r="X21" s="582"/>
      <c r="Y21" s="582"/>
      <c r="Z21" s="583"/>
      <c r="AA21" s="581"/>
      <c r="AB21" s="582"/>
      <c r="AC21" s="582"/>
      <c r="AD21" s="582"/>
      <c r="AE21" s="582"/>
      <c r="AF21" s="583"/>
      <c r="AG21" s="581"/>
      <c r="AH21" s="582"/>
      <c r="AI21" s="582"/>
      <c r="AJ21" s="582"/>
      <c r="AK21" s="582"/>
      <c r="AL21" s="583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</row>
    <row r="22" spans="1:111" ht="11.25" customHeight="1" thickBot="1">
      <c r="A22" s="298" t="s">
        <v>584</v>
      </c>
      <c r="B22" s="728" t="s">
        <v>249</v>
      </c>
      <c r="C22" s="728"/>
      <c r="D22" s="728"/>
      <c r="E22" s="708" t="s">
        <v>353</v>
      </c>
      <c r="F22" s="709"/>
      <c r="G22" s="709"/>
      <c r="H22" s="709"/>
      <c r="I22" s="709"/>
      <c r="J22" s="709"/>
      <c r="K22" s="709"/>
      <c r="L22" s="709"/>
      <c r="M22" s="709"/>
      <c r="N22" s="709"/>
      <c r="O22" s="709"/>
      <c r="P22" s="709"/>
      <c r="Q22" s="709"/>
      <c r="R22" s="709"/>
      <c r="S22" s="709"/>
      <c r="T22" s="710"/>
      <c r="U22" s="716" t="s">
        <v>420</v>
      </c>
      <c r="V22" s="717"/>
      <c r="W22" s="717"/>
      <c r="X22" s="717"/>
      <c r="Y22" s="717"/>
      <c r="Z22" s="718"/>
      <c r="AA22" s="589" t="e">
        <f>U22/U23</f>
        <v>#VALUE!</v>
      </c>
      <c r="AB22" s="590"/>
      <c r="AC22" s="590"/>
      <c r="AD22" s="590"/>
      <c r="AE22" s="590"/>
      <c r="AF22" s="646"/>
      <c r="AG22" s="607" t="s">
        <v>110</v>
      </c>
      <c r="AH22" s="608"/>
      <c r="AI22" s="608"/>
      <c r="AJ22" s="608"/>
      <c r="AK22" s="608"/>
      <c r="AL22" s="609"/>
    </row>
    <row r="23" spans="1:111" ht="12" customHeight="1" thickBot="1">
      <c r="A23" s="298" t="s">
        <v>585</v>
      </c>
      <c r="B23" s="720" t="s">
        <v>345</v>
      </c>
      <c r="C23" s="720"/>
      <c r="D23" s="720"/>
      <c r="E23" s="708" t="s">
        <v>354</v>
      </c>
      <c r="F23" s="709"/>
      <c r="G23" s="709"/>
      <c r="H23" s="709"/>
      <c r="I23" s="709"/>
      <c r="J23" s="709"/>
      <c r="K23" s="709"/>
      <c r="L23" s="709"/>
      <c r="M23" s="709"/>
      <c r="N23" s="709"/>
      <c r="O23" s="709"/>
      <c r="P23" s="709"/>
      <c r="Q23" s="709"/>
      <c r="R23" s="709"/>
      <c r="S23" s="709"/>
      <c r="T23" s="710"/>
      <c r="U23" s="731" t="s">
        <v>149</v>
      </c>
      <c r="V23" s="732"/>
      <c r="W23" s="732"/>
      <c r="X23" s="732"/>
      <c r="Y23" s="732"/>
      <c r="Z23" s="733"/>
      <c r="AA23" s="648"/>
      <c r="AB23" s="649"/>
      <c r="AC23" s="649"/>
      <c r="AD23" s="649"/>
      <c r="AE23" s="649"/>
      <c r="AF23" s="650"/>
      <c r="AG23" s="680"/>
      <c r="AH23" s="681"/>
      <c r="AI23" s="681"/>
      <c r="AJ23" s="681"/>
      <c r="AK23" s="681"/>
      <c r="AL23" s="682"/>
    </row>
    <row r="24" spans="1:111" s="74" customFormat="1" ht="12" customHeight="1" thickBot="1">
      <c r="A24" s="298" t="s">
        <v>586</v>
      </c>
      <c r="B24" s="703" t="s">
        <v>224</v>
      </c>
      <c r="C24" s="703"/>
      <c r="D24" s="703"/>
      <c r="E24" s="572" t="s">
        <v>406</v>
      </c>
      <c r="F24" s="573"/>
      <c r="G24" s="573"/>
      <c r="H24" s="573"/>
      <c r="I24" s="573"/>
      <c r="J24" s="573"/>
      <c r="K24" s="573"/>
      <c r="L24" s="573"/>
      <c r="M24" s="573"/>
      <c r="N24" s="573"/>
      <c r="O24" s="573"/>
      <c r="P24" s="573"/>
      <c r="Q24" s="573"/>
      <c r="R24" s="573"/>
      <c r="S24" s="573"/>
      <c r="T24" s="574"/>
      <c r="U24" s="581"/>
      <c r="V24" s="582"/>
      <c r="W24" s="582"/>
      <c r="X24" s="582"/>
      <c r="Y24" s="582"/>
      <c r="Z24" s="583"/>
      <c r="AA24" s="581"/>
      <c r="AB24" s="582"/>
      <c r="AC24" s="582"/>
      <c r="AD24" s="582"/>
      <c r="AE24" s="582"/>
      <c r="AF24" s="583"/>
      <c r="AG24" s="581"/>
      <c r="AH24" s="582"/>
      <c r="AI24" s="582"/>
      <c r="AJ24" s="582"/>
      <c r="AK24" s="582"/>
      <c r="AL24" s="583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</row>
    <row r="25" spans="1:111" ht="14.4" thickBot="1">
      <c r="A25" s="298" t="s">
        <v>587</v>
      </c>
      <c r="B25" s="728" t="s">
        <v>348</v>
      </c>
      <c r="C25" s="728"/>
      <c r="D25" s="728"/>
      <c r="E25" s="708" t="s">
        <v>407</v>
      </c>
      <c r="F25" s="709"/>
      <c r="G25" s="709"/>
      <c r="H25" s="709"/>
      <c r="I25" s="709"/>
      <c r="J25" s="70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16" t="s">
        <v>421</v>
      </c>
      <c r="V25" s="717"/>
      <c r="W25" s="717"/>
      <c r="X25" s="717"/>
      <c r="Y25" s="717"/>
      <c r="Z25" s="718"/>
      <c r="AA25" s="589" t="e">
        <f>U25/U26</f>
        <v>#VALUE!</v>
      </c>
      <c r="AB25" s="590"/>
      <c r="AC25" s="590"/>
      <c r="AD25" s="590"/>
      <c r="AE25" s="590"/>
      <c r="AF25" s="646"/>
      <c r="AG25" s="607" t="s">
        <v>110</v>
      </c>
      <c r="AH25" s="608"/>
      <c r="AI25" s="608"/>
      <c r="AJ25" s="608"/>
      <c r="AK25" s="608"/>
      <c r="AL25" s="609"/>
    </row>
    <row r="26" spans="1:111" ht="14.4" thickBot="1">
      <c r="A26" s="298" t="s">
        <v>588</v>
      </c>
      <c r="B26" s="720" t="s">
        <v>349</v>
      </c>
      <c r="C26" s="720"/>
      <c r="D26" s="720"/>
      <c r="E26" s="708" t="s">
        <v>352</v>
      </c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31" t="s">
        <v>150</v>
      </c>
      <c r="V26" s="732"/>
      <c r="W26" s="732"/>
      <c r="X26" s="732"/>
      <c r="Y26" s="732"/>
      <c r="Z26" s="733"/>
      <c r="AA26" s="648"/>
      <c r="AB26" s="649"/>
      <c r="AC26" s="649"/>
      <c r="AD26" s="649"/>
      <c r="AE26" s="649"/>
      <c r="AF26" s="650"/>
      <c r="AG26" s="680"/>
      <c r="AH26" s="681"/>
      <c r="AI26" s="681"/>
      <c r="AJ26" s="681"/>
      <c r="AK26" s="681"/>
      <c r="AL26" s="682"/>
    </row>
    <row r="27" spans="1:111" ht="14.4" thickBot="1">
      <c r="A27" s="298" t="s">
        <v>589</v>
      </c>
      <c r="B27" s="728" t="s">
        <v>259</v>
      </c>
      <c r="C27" s="728"/>
      <c r="D27" s="728"/>
      <c r="E27" s="572" t="s">
        <v>408</v>
      </c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3"/>
      <c r="R27" s="573"/>
      <c r="S27" s="573"/>
      <c r="T27" s="574"/>
      <c r="U27" s="581"/>
      <c r="V27" s="582"/>
      <c r="W27" s="582"/>
      <c r="X27" s="582"/>
      <c r="Y27" s="582"/>
      <c r="Z27" s="583"/>
      <c r="AA27" s="582"/>
      <c r="AB27" s="582"/>
      <c r="AC27" s="582"/>
      <c r="AD27" s="582"/>
      <c r="AE27" s="582"/>
      <c r="AF27" s="583"/>
      <c r="AG27" s="581"/>
      <c r="AH27" s="582"/>
      <c r="AI27" s="582"/>
      <c r="AJ27" s="582"/>
      <c r="AK27" s="582"/>
      <c r="AL27" s="583"/>
    </row>
    <row r="28" spans="1:111" ht="12.75" customHeight="1" thickBot="1">
      <c r="A28" s="298" t="s">
        <v>590</v>
      </c>
      <c r="B28" s="808" t="s">
        <v>355</v>
      </c>
      <c r="C28" s="808"/>
      <c r="D28" s="809"/>
      <c r="E28" s="708" t="s">
        <v>358</v>
      </c>
      <c r="F28" s="709"/>
      <c r="G28" s="709"/>
      <c r="H28" s="709"/>
      <c r="I28" s="709"/>
      <c r="J28" s="709"/>
      <c r="K28" s="709"/>
      <c r="L28" s="709"/>
      <c r="M28" s="709"/>
      <c r="N28" s="709"/>
      <c r="O28" s="709"/>
      <c r="P28" s="709"/>
      <c r="Q28" s="709"/>
      <c r="R28" s="709"/>
      <c r="S28" s="709"/>
      <c r="T28" s="709"/>
      <c r="U28" s="627" t="s">
        <v>424</v>
      </c>
      <c r="V28" s="605"/>
      <c r="W28" s="605"/>
      <c r="X28" s="605"/>
      <c r="Y28" s="605"/>
      <c r="Z28" s="606"/>
      <c r="AA28" s="589" t="e">
        <f>U28/U29</f>
        <v>#VALUE!</v>
      </c>
      <c r="AB28" s="590"/>
      <c r="AC28" s="590"/>
      <c r="AD28" s="590"/>
      <c r="AE28" s="590"/>
      <c r="AF28" s="646"/>
      <c r="AG28" s="607"/>
      <c r="AH28" s="608"/>
      <c r="AI28" s="608"/>
      <c r="AJ28" s="608"/>
      <c r="AK28" s="608"/>
      <c r="AL28" s="609"/>
    </row>
    <row r="29" spans="1:111" ht="14.25" customHeight="1" thickBot="1">
      <c r="A29" s="298" t="s">
        <v>591</v>
      </c>
      <c r="B29" s="753" t="s">
        <v>356</v>
      </c>
      <c r="C29" s="753"/>
      <c r="D29" s="754"/>
      <c r="E29" s="713" t="s">
        <v>359</v>
      </c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4"/>
      <c r="U29" s="716" t="s">
        <v>423</v>
      </c>
      <c r="V29" s="717"/>
      <c r="W29" s="717"/>
      <c r="X29" s="717"/>
      <c r="Y29" s="717"/>
      <c r="Z29" s="718"/>
      <c r="AA29" s="648"/>
      <c r="AB29" s="649"/>
      <c r="AC29" s="649"/>
      <c r="AD29" s="649"/>
      <c r="AE29" s="649"/>
      <c r="AF29" s="650"/>
      <c r="AG29" s="680"/>
      <c r="AH29" s="681"/>
      <c r="AI29" s="681"/>
      <c r="AJ29" s="681"/>
      <c r="AK29" s="681"/>
      <c r="AL29" s="682"/>
    </row>
    <row r="30" spans="1:111" ht="12" customHeight="1" thickBot="1">
      <c r="A30" s="298" t="s">
        <v>592</v>
      </c>
      <c r="B30" s="757">
        <v>4</v>
      </c>
      <c r="C30" s="757"/>
      <c r="D30" s="757"/>
      <c r="E30" s="734" t="s">
        <v>107</v>
      </c>
      <c r="F30" s="735"/>
      <c r="G30" s="735"/>
      <c r="H30" s="735"/>
      <c r="I30" s="735"/>
      <c r="J30" s="735"/>
      <c r="K30" s="735"/>
      <c r="L30" s="735"/>
      <c r="M30" s="735"/>
      <c r="N30" s="735"/>
      <c r="O30" s="735"/>
      <c r="P30" s="735"/>
      <c r="Q30" s="735"/>
      <c r="R30" s="735"/>
      <c r="S30" s="735"/>
      <c r="T30" s="736"/>
      <c r="U30" s="806"/>
      <c r="V30" s="623"/>
      <c r="W30" s="623"/>
      <c r="X30" s="623"/>
      <c r="Y30" s="623"/>
      <c r="Z30" s="624"/>
      <c r="AA30" s="581"/>
      <c r="AB30" s="582"/>
      <c r="AC30" s="582"/>
      <c r="AD30" s="582"/>
      <c r="AE30" s="582"/>
      <c r="AF30" s="583"/>
      <c r="AG30" s="581"/>
      <c r="AH30" s="582"/>
      <c r="AI30" s="582"/>
      <c r="AJ30" s="582"/>
      <c r="AK30" s="582"/>
      <c r="AL30" s="583"/>
    </row>
    <row r="31" spans="1:111" ht="15" customHeight="1" thickBot="1">
      <c r="A31" s="298" t="s">
        <v>593</v>
      </c>
      <c r="B31" s="728" t="s">
        <v>225</v>
      </c>
      <c r="C31" s="728"/>
      <c r="D31" s="728"/>
      <c r="E31" s="572" t="s">
        <v>409</v>
      </c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3"/>
      <c r="Q31" s="573"/>
      <c r="R31" s="573"/>
      <c r="S31" s="573"/>
      <c r="T31" s="574"/>
      <c r="U31" s="802"/>
      <c r="V31" s="755"/>
      <c r="W31" s="755"/>
      <c r="X31" s="755"/>
      <c r="Y31" s="755"/>
      <c r="Z31" s="756"/>
      <c r="AA31" s="582"/>
      <c r="AB31" s="582"/>
      <c r="AC31" s="582"/>
      <c r="AD31" s="582"/>
      <c r="AE31" s="582"/>
      <c r="AF31" s="583"/>
      <c r="AG31" s="581"/>
      <c r="AH31" s="582"/>
      <c r="AI31" s="582"/>
      <c r="AJ31" s="582"/>
      <c r="AK31" s="582"/>
      <c r="AL31" s="583"/>
    </row>
    <row r="32" spans="1:111" ht="14.25" customHeight="1" thickBot="1">
      <c r="A32" s="298" t="s">
        <v>594</v>
      </c>
      <c r="B32" s="728" t="s">
        <v>360</v>
      </c>
      <c r="C32" s="728"/>
      <c r="D32" s="728"/>
      <c r="E32" s="708" t="s">
        <v>363</v>
      </c>
      <c r="F32" s="709"/>
      <c r="G32" s="709"/>
      <c r="H32" s="709"/>
      <c r="I32" s="709"/>
      <c r="J32" s="709"/>
      <c r="K32" s="709"/>
      <c r="L32" s="709"/>
      <c r="M32" s="709"/>
      <c r="N32" s="709"/>
      <c r="O32" s="709"/>
      <c r="P32" s="709"/>
      <c r="Q32" s="709"/>
      <c r="R32" s="709"/>
      <c r="S32" s="709"/>
      <c r="T32" s="710"/>
      <c r="U32" s="716" t="s">
        <v>426</v>
      </c>
      <c r="V32" s="717"/>
      <c r="W32" s="717"/>
      <c r="X32" s="717"/>
      <c r="Y32" s="717"/>
      <c r="Z32" s="718"/>
      <c r="AA32" s="758" t="e">
        <f>U32/U33</f>
        <v>#VALUE!</v>
      </c>
      <c r="AB32" s="759"/>
      <c r="AC32" s="759"/>
      <c r="AD32" s="759"/>
      <c r="AE32" s="759"/>
      <c r="AF32" s="760"/>
      <c r="AG32" s="815"/>
      <c r="AH32" s="816"/>
      <c r="AI32" s="816"/>
      <c r="AJ32" s="816"/>
      <c r="AK32" s="816"/>
      <c r="AL32" s="817"/>
    </row>
    <row r="33" spans="1:38" ht="12.75" customHeight="1" thickBot="1">
      <c r="A33" s="298" t="s">
        <v>595</v>
      </c>
      <c r="B33" s="720" t="s">
        <v>361</v>
      </c>
      <c r="C33" s="720"/>
      <c r="D33" s="720"/>
      <c r="E33" s="708" t="s">
        <v>364</v>
      </c>
      <c r="F33" s="709"/>
      <c r="G33" s="709"/>
      <c r="H33" s="709"/>
      <c r="I33" s="709"/>
      <c r="J33" s="709"/>
      <c r="K33" s="709"/>
      <c r="L33" s="709"/>
      <c r="M33" s="709"/>
      <c r="N33" s="709"/>
      <c r="O33" s="709"/>
      <c r="P33" s="709"/>
      <c r="Q33" s="709"/>
      <c r="R33" s="709"/>
      <c r="S33" s="709"/>
      <c r="T33" s="710"/>
      <c r="U33" s="770" t="s">
        <v>419</v>
      </c>
      <c r="V33" s="768"/>
      <c r="W33" s="768"/>
      <c r="X33" s="768"/>
      <c r="Y33" s="768"/>
      <c r="Z33" s="769"/>
      <c r="AA33" s="761"/>
      <c r="AB33" s="762"/>
      <c r="AC33" s="762"/>
      <c r="AD33" s="762"/>
      <c r="AE33" s="762"/>
      <c r="AF33" s="763"/>
      <c r="AG33" s="818"/>
      <c r="AH33" s="816"/>
      <c r="AI33" s="816"/>
      <c r="AJ33" s="816"/>
      <c r="AK33" s="816"/>
      <c r="AL33" s="817"/>
    </row>
    <row r="34" spans="1:38" ht="15" customHeight="1" thickBot="1">
      <c r="A34" s="298" t="s">
        <v>596</v>
      </c>
      <c r="B34" s="703" t="s">
        <v>264</v>
      </c>
      <c r="C34" s="703"/>
      <c r="D34" s="703"/>
      <c r="E34" s="572" t="s">
        <v>410</v>
      </c>
      <c r="F34" s="573"/>
      <c r="G34" s="573"/>
      <c r="H34" s="573"/>
      <c r="I34" s="573"/>
      <c r="J34" s="573"/>
      <c r="K34" s="573"/>
      <c r="L34" s="573"/>
      <c r="M34" s="573"/>
      <c r="N34" s="573"/>
      <c r="O34" s="573"/>
      <c r="P34" s="573"/>
      <c r="Q34" s="573"/>
      <c r="R34" s="573"/>
      <c r="S34" s="573"/>
      <c r="T34" s="573"/>
      <c r="U34" s="802"/>
      <c r="V34" s="755"/>
      <c r="W34" s="755"/>
      <c r="X34" s="755"/>
      <c r="Y34" s="755"/>
      <c r="Z34" s="756"/>
      <c r="AA34" s="582"/>
      <c r="AB34" s="582"/>
      <c r="AC34" s="582"/>
      <c r="AD34" s="582"/>
      <c r="AE34" s="582"/>
      <c r="AF34" s="583"/>
      <c r="AG34" s="581"/>
      <c r="AH34" s="582"/>
      <c r="AI34" s="582"/>
      <c r="AJ34" s="582"/>
      <c r="AK34" s="582"/>
      <c r="AL34" s="583"/>
    </row>
    <row r="35" spans="1:38" ht="15" customHeight="1" thickBot="1">
      <c r="A35" s="298" t="s">
        <v>597</v>
      </c>
      <c r="B35" s="728" t="s">
        <v>265</v>
      </c>
      <c r="C35" s="728"/>
      <c r="D35" s="728"/>
      <c r="E35" s="708" t="s">
        <v>365</v>
      </c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16" t="s">
        <v>426</v>
      </c>
      <c r="V35" s="717"/>
      <c r="W35" s="717"/>
      <c r="X35" s="717"/>
      <c r="Y35" s="717"/>
      <c r="Z35" s="718"/>
      <c r="AA35" s="771" t="e">
        <f>U35/U36</f>
        <v>#VALUE!</v>
      </c>
      <c r="AB35" s="772"/>
      <c r="AC35" s="772"/>
      <c r="AD35" s="772"/>
      <c r="AE35" s="772"/>
      <c r="AF35" s="773"/>
      <c r="AG35" s="764"/>
      <c r="AH35" s="765"/>
      <c r="AI35" s="765"/>
      <c r="AJ35" s="765"/>
      <c r="AK35" s="765"/>
      <c r="AL35" s="766"/>
    </row>
    <row r="36" spans="1:38" ht="15.75" customHeight="1" thickBot="1">
      <c r="A36" s="298" t="s">
        <v>598</v>
      </c>
      <c r="B36" s="720" t="s">
        <v>266</v>
      </c>
      <c r="C36" s="720"/>
      <c r="D36" s="720"/>
      <c r="E36" s="713" t="s">
        <v>366</v>
      </c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6" t="s">
        <v>427</v>
      </c>
      <c r="V36" s="717"/>
      <c r="W36" s="717"/>
      <c r="X36" s="717"/>
      <c r="Y36" s="717"/>
      <c r="Z36" s="718"/>
      <c r="AA36" s="774"/>
      <c r="AB36" s="775"/>
      <c r="AC36" s="775"/>
      <c r="AD36" s="775"/>
      <c r="AE36" s="775"/>
      <c r="AF36" s="776"/>
      <c r="AG36" s="767"/>
      <c r="AH36" s="768"/>
      <c r="AI36" s="768"/>
      <c r="AJ36" s="768"/>
      <c r="AK36" s="768"/>
      <c r="AL36" s="769"/>
    </row>
    <row r="37" spans="1:38" ht="15.75" customHeight="1" thickBot="1">
      <c r="A37" s="298" t="s">
        <v>599</v>
      </c>
      <c r="B37" s="819">
        <v>5</v>
      </c>
      <c r="C37" s="719"/>
      <c r="D37" s="290"/>
      <c r="E37" s="699" t="s">
        <v>108</v>
      </c>
      <c r="F37" s="700"/>
      <c r="G37" s="700"/>
      <c r="H37" s="700"/>
      <c r="I37" s="700"/>
      <c r="J37" s="700"/>
      <c r="K37" s="700"/>
      <c r="L37" s="700"/>
      <c r="M37" s="700"/>
      <c r="N37" s="700"/>
      <c r="O37" s="700"/>
      <c r="P37" s="700"/>
      <c r="Q37" s="700"/>
      <c r="R37" s="700"/>
      <c r="S37" s="700"/>
      <c r="T37" s="701"/>
      <c r="U37" s="581"/>
      <c r="V37" s="582"/>
      <c r="W37" s="582"/>
      <c r="X37" s="582"/>
      <c r="Y37" s="582"/>
      <c r="Z37" s="583"/>
      <c r="AA37" s="581"/>
      <c r="AB37" s="582"/>
      <c r="AC37" s="582"/>
      <c r="AD37" s="582"/>
      <c r="AE37" s="582"/>
      <c r="AF37" s="583"/>
      <c r="AG37" s="581"/>
      <c r="AH37" s="582"/>
      <c r="AI37" s="582"/>
      <c r="AJ37" s="582"/>
      <c r="AK37" s="582"/>
      <c r="AL37" s="583"/>
    </row>
    <row r="38" spans="1:38" ht="15.75" customHeight="1" thickBot="1">
      <c r="A38" s="298" t="s">
        <v>600</v>
      </c>
      <c r="B38" s="820" t="s">
        <v>247</v>
      </c>
      <c r="C38" s="703"/>
      <c r="D38" s="292"/>
      <c r="E38" s="572" t="s">
        <v>411</v>
      </c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3"/>
      <c r="R38" s="573"/>
      <c r="S38" s="573"/>
      <c r="T38" s="574"/>
      <c r="U38" s="581"/>
      <c r="V38" s="582"/>
      <c r="W38" s="582"/>
      <c r="X38" s="582"/>
      <c r="Y38" s="582"/>
      <c r="Z38" s="583"/>
      <c r="AA38" s="71"/>
      <c r="AB38" s="72"/>
      <c r="AC38" s="72"/>
      <c r="AD38" s="72"/>
      <c r="AE38" s="72"/>
      <c r="AF38" s="73"/>
      <c r="AG38" s="71"/>
      <c r="AH38" s="72"/>
      <c r="AI38" s="72"/>
      <c r="AJ38" s="72"/>
      <c r="AK38" s="72"/>
      <c r="AL38" s="73"/>
    </row>
    <row r="39" spans="1:38" ht="15" customHeight="1" thickBot="1">
      <c r="A39" s="298" t="s">
        <v>601</v>
      </c>
      <c r="B39" s="820" t="s">
        <v>372</v>
      </c>
      <c r="C39" s="703"/>
      <c r="D39" s="293"/>
      <c r="E39" s="708" t="s">
        <v>412</v>
      </c>
      <c r="F39" s="709"/>
      <c r="G39" s="709"/>
      <c r="H39" s="709"/>
      <c r="I39" s="709"/>
      <c r="J39" s="709"/>
      <c r="K39" s="709"/>
      <c r="L39" s="709"/>
      <c r="M39" s="709"/>
      <c r="N39" s="709"/>
      <c r="O39" s="709"/>
      <c r="P39" s="709"/>
      <c r="Q39" s="709"/>
      <c r="R39" s="709"/>
      <c r="S39" s="709"/>
      <c r="T39" s="710"/>
      <c r="U39" s="746" t="s">
        <v>152</v>
      </c>
      <c r="V39" s="747"/>
      <c r="W39" s="747"/>
      <c r="X39" s="747"/>
      <c r="Y39" s="747"/>
      <c r="Z39" s="748"/>
      <c r="AA39" s="771" t="e">
        <f>U39/U40</f>
        <v>#VALUE!</v>
      </c>
      <c r="AB39" s="772"/>
      <c r="AC39" s="772"/>
      <c r="AD39" s="772"/>
      <c r="AE39" s="772"/>
      <c r="AF39" s="773"/>
      <c r="AG39" s="737" t="s">
        <v>111</v>
      </c>
      <c r="AH39" s="738"/>
      <c r="AI39" s="738"/>
      <c r="AJ39" s="738"/>
      <c r="AK39" s="738"/>
      <c r="AL39" s="739"/>
    </row>
    <row r="40" spans="1:38" ht="15.75" customHeight="1" thickBot="1">
      <c r="A40" s="298" t="s">
        <v>602</v>
      </c>
      <c r="B40" s="820" t="s">
        <v>373</v>
      </c>
      <c r="C40" s="703"/>
      <c r="D40" s="294"/>
      <c r="E40" s="708" t="s">
        <v>413</v>
      </c>
      <c r="F40" s="709"/>
      <c r="G40" s="709"/>
      <c r="H40" s="709"/>
      <c r="I40" s="709"/>
      <c r="J40" s="709"/>
      <c r="K40" s="709"/>
      <c r="L40" s="709"/>
      <c r="M40" s="709"/>
      <c r="N40" s="709"/>
      <c r="O40" s="709"/>
      <c r="P40" s="709"/>
      <c r="Q40" s="709"/>
      <c r="R40" s="709"/>
      <c r="S40" s="709"/>
      <c r="T40" s="710"/>
      <c r="U40" s="716" t="s">
        <v>427</v>
      </c>
      <c r="V40" s="717"/>
      <c r="W40" s="717"/>
      <c r="X40" s="717"/>
      <c r="Y40" s="717"/>
      <c r="Z40" s="718"/>
      <c r="AA40" s="774"/>
      <c r="AB40" s="775"/>
      <c r="AC40" s="775"/>
      <c r="AD40" s="775"/>
      <c r="AE40" s="775"/>
      <c r="AF40" s="776"/>
      <c r="AG40" s="740"/>
      <c r="AH40" s="741"/>
      <c r="AI40" s="741"/>
      <c r="AJ40" s="741"/>
      <c r="AK40" s="741"/>
      <c r="AL40" s="742"/>
    </row>
    <row r="41" spans="1:38" ht="15" customHeight="1" thickBot="1">
      <c r="A41" s="298" t="s">
        <v>603</v>
      </c>
      <c r="B41" s="821" t="s">
        <v>248</v>
      </c>
      <c r="C41" s="822"/>
      <c r="D41" s="292"/>
      <c r="E41" s="572" t="s">
        <v>414</v>
      </c>
      <c r="F41" s="573"/>
      <c r="G41" s="573"/>
      <c r="H41" s="573"/>
      <c r="I41" s="573"/>
      <c r="J41" s="573"/>
      <c r="K41" s="573"/>
      <c r="L41" s="573"/>
      <c r="M41" s="573"/>
      <c r="N41" s="573"/>
      <c r="O41" s="573"/>
      <c r="P41" s="573"/>
      <c r="Q41" s="573"/>
      <c r="R41" s="573"/>
      <c r="S41" s="573"/>
      <c r="T41" s="574"/>
      <c r="U41" s="581"/>
      <c r="V41" s="582"/>
      <c r="W41" s="582"/>
      <c r="X41" s="582"/>
      <c r="Y41" s="582"/>
      <c r="Z41" s="583"/>
      <c r="AA41" s="581"/>
      <c r="AB41" s="582"/>
      <c r="AC41" s="582"/>
      <c r="AD41" s="582"/>
      <c r="AE41" s="582"/>
      <c r="AF41" s="583"/>
      <c r="AG41" s="581"/>
      <c r="AH41" s="582"/>
      <c r="AI41" s="582"/>
      <c r="AJ41" s="582"/>
      <c r="AK41" s="582"/>
      <c r="AL41" s="583"/>
    </row>
    <row r="42" spans="1:38" ht="11.25" customHeight="1" thickBot="1">
      <c r="A42" s="298" t="s">
        <v>604</v>
      </c>
      <c r="B42" s="820" t="s">
        <v>376</v>
      </c>
      <c r="C42" s="703"/>
      <c r="D42" s="293"/>
      <c r="E42" s="578" t="s">
        <v>378</v>
      </c>
      <c r="F42" s="579"/>
      <c r="G42" s="579"/>
      <c r="H42" s="579"/>
      <c r="I42" s="579"/>
      <c r="J42" s="579"/>
      <c r="K42" s="579"/>
      <c r="L42" s="579"/>
      <c r="M42" s="579"/>
      <c r="N42" s="579"/>
      <c r="O42" s="579"/>
      <c r="P42" s="579"/>
      <c r="Q42" s="579"/>
      <c r="R42" s="579"/>
      <c r="S42" s="579"/>
      <c r="T42" s="580"/>
      <c r="U42" s="780" t="s">
        <v>428</v>
      </c>
      <c r="V42" s="781"/>
      <c r="W42" s="781"/>
      <c r="X42" s="781"/>
      <c r="Y42" s="781"/>
      <c r="Z42" s="782"/>
      <c r="AA42" s="758" t="e">
        <f>U42/U43</f>
        <v>#VALUE!</v>
      </c>
      <c r="AB42" s="759"/>
      <c r="AC42" s="759"/>
      <c r="AD42" s="759"/>
      <c r="AE42" s="759"/>
      <c r="AF42" s="760"/>
      <c r="AG42" s="764"/>
      <c r="AH42" s="765"/>
      <c r="AI42" s="765"/>
      <c r="AJ42" s="765"/>
      <c r="AK42" s="765"/>
      <c r="AL42" s="766"/>
    </row>
    <row r="43" spans="1:38" ht="15.75" customHeight="1" thickBot="1">
      <c r="A43" s="298" t="s">
        <v>605</v>
      </c>
      <c r="B43" s="820" t="s">
        <v>377</v>
      </c>
      <c r="C43" s="703"/>
      <c r="D43" s="294"/>
      <c r="E43" s="575" t="s">
        <v>379</v>
      </c>
      <c r="F43" s="576"/>
      <c r="G43" s="576"/>
      <c r="H43" s="576"/>
      <c r="I43" s="576"/>
      <c r="J43" s="576"/>
      <c r="K43" s="576"/>
      <c r="L43" s="576"/>
      <c r="M43" s="576"/>
      <c r="N43" s="576"/>
      <c r="O43" s="576"/>
      <c r="P43" s="576"/>
      <c r="Q43" s="576"/>
      <c r="R43" s="576"/>
      <c r="S43" s="576"/>
      <c r="T43" s="577"/>
      <c r="U43" s="783" t="s">
        <v>152</v>
      </c>
      <c r="V43" s="784"/>
      <c r="W43" s="784"/>
      <c r="X43" s="784"/>
      <c r="Y43" s="784"/>
      <c r="Z43" s="785"/>
      <c r="AA43" s="761"/>
      <c r="AB43" s="762"/>
      <c r="AC43" s="762"/>
      <c r="AD43" s="762"/>
      <c r="AE43" s="762"/>
      <c r="AF43" s="763"/>
      <c r="AG43" s="767"/>
      <c r="AH43" s="768"/>
      <c r="AI43" s="768"/>
      <c r="AJ43" s="768"/>
      <c r="AK43" s="768"/>
      <c r="AL43" s="769"/>
    </row>
    <row r="44" spans="1:38" ht="12.75" customHeight="1" thickBot="1">
      <c r="A44" s="298" t="s">
        <v>606</v>
      </c>
      <c r="B44" s="821" t="s">
        <v>381</v>
      </c>
      <c r="C44" s="822"/>
      <c r="D44" s="823"/>
      <c r="E44" s="749" t="s">
        <v>415</v>
      </c>
      <c r="F44" s="750"/>
      <c r="G44" s="750"/>
      <c r="H44" s="750"/>
      <c r="I44" s="750"/>
      <c r="J44" s="750"/>
      <c r="K44" s="750"/>
      <c r="L44" s="750"/>
      <c r="M44" s="750"/>
      <c r="N44" s="750"/>
      <c r="O44" s="750"/>
      <c r="P44" s="750"/>
      <c r="Q44" s="750"/>
      <c r="R44" s="750"/>
      <c r="S44" s="750"/>
      <c r="T44" s="751"/>
      <c r="U44" s="581"/>
      <c r="V44" s="582"/>
      <c r="W44" s="582"/>
      <c r="X44" s="582"/>
      <c r="Y44" s="582"/>
      <c r="Z44" s="583"/>
      <c r="AA44" s="581"/>
      <c r="AB44" s="582"/>
      <c r="AC44" s="582"/>
      <c r="AD44" s="582"/>
      <c r="AE44" s="582"/>
      <c r="AF44" s="583"/>
      <c r="AG44" s="581"/>
      <c r="AH44" s="582"/>
      <c r="AI44" s="582"/>
      <c r="AJ44" s="582"/>
      <c r="AK44" s="582"/>
      <c r="AL44" s="583"/>
    </row>
    <row r="45" spans="1:38" ht="14.4" thickBot="1">
      <c r="A45" s="298" t="s">
        <v>607</v>
      </c>
      <c r="B45" s="728" t="s">
        <v>383</v>
      </c>
      <c r="C45" s="728"/>
      <c r="D45" s="728"/>
      <c r="E45" s="708" t="s">
        <v>385</v>
      </c>
      <c r="F45" s="709"/>
      <c r="G45" s="709"/>
      <c r="H45" s="709"/>
      <c r="I45" s="709"/>
      <c r="J45" s="709"/>
      <c r="K45" s="709"/>
      <c r="L45" s="709"/>
      <c r="M45" s="709"/>
      <c r="N45" s="709"/>
      <c r="O45" s="709"/>
      <c r="P45" s="709"/>
      <c r="Q45" s="709"/>
      <c r="R45" s="709"/>
      <c r="S45" s="709"/>
      <c r="T45" s="710"/>
      <c r="U45" s="716" t="s">
        <v>146</v>
      </c>
      <c r="V45" s="717"/>
      <c r="W45" s="717"/>
      <c r="X45" s="717"/>
      <c r="Y45" s="717"/>
      <c r="Z45" s="718"/>
      <c r="AA45" s="591" t="e">
        <f>U45/U46</f>
        <v>#VALUE!</v>
      </c>
      <c r="AB45" s="592"/>
      <c r="AC45" s="592"/>
      <c r="AD45" s="590"/>
      <c r="AE45" s="590"/>
      <c r="AF45" s="646"/>
      <c r="AG45" s="651"/>
      <c r="AH45" s="652"/>
      <c r="AI45" s="652"/>
      <c r="AJ45" s="652"/>
      <c r="AK45" s="652"/>
      <c r="AL45" s="653"/>
    </row>
    <row r="46" spans="1:38" ht="12.75" customHeight="1" thickBot="1">
      <c r="A46" s="298" t="s">
        <v>608</v>
      </c>
      <c r="B46" s="720" t="s">
        <v>384</v>
      </c>
      <c r="C46" s="720"/>
      <c r="D46" s="720"/>
      <c r="E46" s="708" t="s">
        <v>379</v>
      </c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10"/>
      <c r="U46" s="783" t="s">
        <v>152</v>
      </c>
      <c r="V46" s="784"/>
      <c r="W46" s="784"/>
      <c r="X46" s="784"/>
      <c r="Y46" s="784"/>
      <c r="Z46" s="785"/>
      <c r="AA46" s="648"/>
      <c r="AB46" s="649"/>
      <c r="AC46" s="649"/>
      <c r="AD46" s="649"/>
      <c r="AE46" s="649"/>
      <c r="AF46" s="650"/>
      <c r="AG46" s="657"/>
      <c r="AH46" s="658"/>
      <c r="AI46" s="658"/>
      <c r="AJ46" s="658"/>
      <c r="AK46" s="658"/>
      <c r="AL46" s="659"/>
    </row>
    <row r="47" spans="1:38" ht="12.75" customHeight="1" thickBot="1">
      <c r="A47" s="298" t="s">
        <v>609</v>
      </c>
      <c r="B47" s="822" t="s">
        <v>388</v>
      </c>
      <c r="C47" s="822"/>
      <c r="D47" s="823"/>
      <c r="E47" s="572" t="s">
        <v>416</v>
      </c>
      <c r="F47" s="573"/>
      <c r="G47" s="573"/>
      <c r="H47" s="573"/>
      <c r="I47" s="573"/>
      <c r="J47" s="573"/>
      <c r="K47" s="573"/>
      <c r="L47" s="573"/>
      <c r="M47" s="573"/>
      <c r="N47" s="573"/>
      <c r="O47" s="573"/>
      <c r="P47" s="573"/>
      <c r="Q47" s="573"/>
      <c r="R47" s="573"/>
      <c r="S47" s="573"/>
      <c r="T47" s="574"/>
      <c r="U47" s="581"/>
      <c r="V47" s="582"/>
      <c r="W47" s="582"/>
      <c r="X47" s="582"/>
      <c r="Y47" s="582"/>
      <c r="Z47" s="583"/>
      <c r="AA47" s="581"/>
      <c r="AB47" s="582"/>
      <c r="AC47" s="582"/>
      <c r="AD47" s="582"/>
      <c r="AE47" s="582"/>
      <c r="AF47" s="583"/>
      <c r="AG47" s="581"/>
      <c r="AH47" s="582"/>
      <c r="AI47" s="582"/>
      <c r="AJ47" s="582"/>
      <c r="AK47" s="582"/>
      <c r="AL47" s="583"/>
    </row>
    <row r="48" spans="1:38" ht="12.75" customHeight="1" thickBot="1">
      <c r="A48" s="298" t="s">
        <v>610</v>
      </c>
      <c r="B48" s="728" t="s">
        <v>389</v>
      </c>
      <c r="C48" s="728"/>
      <c r="D48" s="728"/>
      <c r="E48" s="708" t="s">
        <v>392</v>
      </c>
      <c r="F48" s="709"/>
      <c r="G48" s="709"/>
      <c r="H48" s="709"/>
      <c r="I48" s="709"/>
      <c r="J48" s="709"/>
      <c r="K48" s="709"/>
      <c r="L48" s="709"/>
      <c r="M48" s="709"/>
      <c r="N48" s="709"/>
      <c r="O48" s="709"/>
      <c r="P48" s="709"/>
      <c r="Q48" s="709"/>
      <c r="R48" s="709"/>
      <c r="S48" s="709"/>
      <c r="T48" s="710"/>
      <c r="U48" s="711" t="s">
        <v>429</v>
      </c>
      <c r="V48" s="625"/>
      <c r="W48" s="625"/>
      <c r="X48" s="625"/>
      <c r="Y48" s="625"/>
      <c r="Z48" s="626"/>
      <c r="AA48" s="593" t="e">
        <f>U48/U49</f>
        <v>#VALUE!</v>
      </c>
      <c r="AB48" s="594"/>
      <c r="AC48" s="594"/>
      <c r="AD48" s="594"/>
      <c r="AE48" s="594"/>
      <c r="AF48" s="595"/>
      <c r="AG48" s="599"/>
      <c r="AH48" s="600"/>
      <c r="AI48" s="600"/>
      <c r="AJ48" s="600"/>
      <c r="AK48" s="600"/>
      <c r="AL48" s="601"/>
    </row>
    <row r="49" spans="1:38" ht="12.75" customHeight="1" thickBot="1">
      <c r="A49" s="298" t="s">
        <v>611</v>
      </c>
      <c r="B49" s="720" t="s">
        <v>390</v>
      </c>
      <c r="C49" s="720"/>
      <c r="D49" s="720"/>
      <c r="E49" s="708" t="s">
        <v>417</v>
      </c>
      <c r="F49" s="709"/>
      <c r="G49" s="709"/>
      <c r="H49" s="709"/>
      <c r="I49" s="709"/>
      <c r="J49" s="709"/>
      <c r="K49" s="709"/>
      <c r="L49" s="709"/>
      <c r="M49" s="709"/>
      <c r="N49" s="709"/>
      <c r="O49" s="709"/>
      <c r="P49" s="709"/>
      <c r="Q49" s="709"/>
      <c r="R49" s="709"/>
      <c r="S49" s="709"/>
      <c r="T49" s="710"/>
      <c r="U49" s="783" t="s">
        <v>152</v>
      </c>
      <c r="V49" s="784"/>
      <c r="W49" s="784"/>
      <c r="X49" s="784"/>
      <c r="Y49" s="784"/>
      <c r="Z49" s="785"/>
      <c r="AA49" s="596"/>
      <c r="AB49" s="597"/>
      <c r="AC49" s="597"/>
      <c r="AD49" s="597"/>
      <c r="AE49" s="597"/>
      <c r="AF49" s="598"/>
      <c r="AG49" s="602"/>
      <c r="AH49" s="603"/>
      <c r="AI49" s="603"/>
      <c r="AJ49" s="603"/>
      <c r="AK49" s="603"/>
      <c r="AL49" s="604"/>
    </row>
    <row r="50" spans="1:38" ht="12.75" customHeight="1" thickBot="1">
      <c r="A50" s="298" t="s">
        <v>612</v>
      </c>
      <c r="B50" s="822" t="s">
        <v>394</v>
      </c>
      <c r="C50" s="822"/>
      <c r="D50" s="823"/>
      <c r="E50" s="572" t="s">
        <v>418</v>
      </c>
      <c r="F50" s="573"/>
      <c r="G50" s="573"/>
      <c r="H50" s="573"/>
      <c r="I50" s="573"/>
      <c r="J50" s="573"/>
      <c r="K50" s="573"/>
      <c r="L50" s="573"/>
      <c r="M50" s="573"/>
      <c r="N50" s="573"/>
      <c r="O50" s="573"/>
      <c r="P50" s="573"/>
      <c r="Q50" s="573"/>
      <c r="R50" s="573"/>
      <c r="S50" s="573"/>
      <c r="T50" s="574"/>
      <c r="U50" s="581"/>
      <c r="V50" s="582"/>
      <c r="W50" s="582"/>
      <c r="X50" s="582"/>
      <c r="Y50" s="582"/>
      <c r="Z50" s="583"/>
      <c r="AA50" s="581"/>
      <c r="AB50" s="582"/>
      <c r="AC50" s="582"/>
      <c r="AD50" s="582"/>
      <c r="AE50" s="582"/>
      <c r="AF50" s="583"/>
      <c r="AG50" s="581"/>
      <c r="AH50" s="582"/>
      <c r="AI50" s="582"/>
      <c r="AJ50" s="582"/>
      <c r="AK50" s="582"/>
      <c r="AL50" s="583"/>
    </row>
    <row r="51" spans="1:38" ht="17.100000000000001" customHeight="1" thickBot="1">
      <c r="A51" s="298" t="s">
        <v>613</v>
      </c>
      <c r="B51" s="728" t="s">
        <v>395</v>
      </c>
      <c r="C51" s="728"/>
      <c r="D51" s="728"/>
      <c r="E51" s="729" t="s">
        <v>397</v>
      </c>
      <c r="F51" s="730"/>
      <c r="G51" s="730"/>
      <c r="H51" s="730"/>
      <c r="I51" s="730"/>
      <c r="J51" s="730"/>
      <c r="K51" s="730"/>
      <c r="L51" s="730"/>
      <c r="M51" s="730"/>
      <c r="N51" s="730"/>
      <c r="O51" s="730"/>
      <c r="P51" s="730"/>
      <c r="Q51" s="730"/>
      <c r="R51" s="730"/>
      <c r="S51" s="730"/>
      <c r="T51" s="814"/>
      <c r="U51" s="789" t="s">
        <v>420</v>
      </c>
      <c r="V51" s="790"/>
      <c r="W51" s="790"/>
      <c r="X51" s="790"/>
      <c r="Y51" s="790"/>
      <c r="Z51" s="791"/>
      <c r="AA51" s="593" t="e">
        <f>U51/U52</f>
        <v>#VALUE!</v>
      </c>
      <c r="AB51" s="594"/>
      <c r="AC51" s="594"/>
      <c r="AD51" s="594"/>
      <c r="AE51" s="594"/>
      <c r="AF51" s="595"/>
      <c r="AG51" s="599"/>
      <c r="AH51" s="600"/>
      <c r="AI51" s="600"/>
      <c r="AJ51" s="600"/>
      <c r="AK51" s="600"/>
      <c r="AL51" s="601"/>
    </row>
    <row r="52" spans="1:38" ht="22.05" customHeight="1" thickBot="1">
      <c r="A52" s="298" t="s">
        <v>614</v>
      </c>
      <c r="B52" s="720" t="s">
        <v>396</v>
      </c>
      <c r="C52" s="720"/>
      <c r="D52" s="720"/>
      <c r="E52" s="713" t="s">
        <v>398</v>
      </c>
      <c r="F52" s="714"/>
      <c r="G52" s="714"/>
      <c r="H52" s="714"/>
      <c r="I52" s="714"/>
      <c r="J52" s="714"/>
      <c r="K52" s="714"/>
      <c r="L52" s="714"/>
      <c r="M52" s="714"/>
      <c r="N52" s="714"/>
      <c r="O52" s="714"/>
      <c r="P52" s="714"/>
      <c r="Q52" s="714"/>
      <c r="R52" s="714"/>
      <c r="S52" s="714"/>
      <c r="T52" s="715"/>
      <c r="U52" s="795" t="s">
        <v>176</v>
      </c>
      <c r="V52" s="796"/>
      <c r="W52" s="796"/>
      <c r="X52" s="796"/>
      <c r="Y52" s="796"/>
      <c r="Z52" s="797"/>
      <c r="AA52" s="596"/>
      <c r="AB52" s="597"/>
      <c r="AC52" s="597"/>
      <c r="AD52" s="597"/>
      <c r="AE52" s="597"/>
      <c r="AF52" s="598"/>
      <c r="AG52" s="602"/>
      <c r="AH52" s="603"/>
      <c r="AI52" s="603"/>
      <c r="AJ52" s="603"/>
      <c r="AK52" s="603"/>
      <c r="AL52" s="604"/>
    </row>
    <row r="53" spans="1:38" ht="10.8" thickBot="1">
      <c r="B53" s="798"/>
      <c r="C53" s="703"/>
      <c r="D53" s="799"/>
    </row>
  </sheetData>
  <mergeCells count="199">
    <mergeCell ref="B53:D53"/>
    <mergeCell ref="B51:D51"/>
    <mergeCell ref="B52:D52"/>
    <mergeCell ref="B38:C38"/>
    <mergeCell ref="B39:C39"/>
    <mergeCell ref="B40:C40"/>
    <mergeCell ref="B41:C41"/>
    <mergeCell ref="B42:C42"/>
    <mergeCell ref="B43:C43"/>
    <mergeCell ref="B44:D44"/>
    <mergeCell ref="B45:D45"/>
    <mergeCell ref="B47:D47"/>
    <mergeCell ref="B48:D48"/>
    <mergeCell ref="B49:D49"/>
    <mergeCell ref="B50:D50"/>
    <mergeCell ref="B46:D46"/>
    <mergeCell ref="B26:D26"/>
    <mergeCell ref="B27:D27"/>
    <mergeCell ref="B32:D32"/>
    <mergeCell ref="B33:D33"/>
    <mergeCell ref="B37:C37"/>
    <mergeCell ref="B14:D14"/>
    <mergeCell ref="B15:D15"/>
    <mergeCell ref="B16:D16"/>
    <mergeCell ref="B17:D17"/>
    <mergeCell ref="B18:D18"/>
    <mergeCell ref="B19:D19"/>
    <mergeCell ref="B23:D23"/>
    <mergeCell ref="B24:D24"/>
    <mergeCell ref="B25:D25"/>
    <mergeCell ref="B36:D36"/>
    <mergeCell ref="B31:D31"/>
    <mergeCell ref="B34:D34"/>
    <mergeCell ref="B35:D35"/>
    <mergeCell ref="B21:D21"/>
    <mergeCell ref="B22:D22"/>
    <mergeCell ref="AA34:AF34"/>
    <mergeCell ref="AG34:AL34"/>
    <mergeCell ref="U10:Z10"/>
    <mergeCell ref="AA10:AF10"/>
    <mergeCell ref="E33:T33"/>
    <mergeCell ref="U12:Z12"/>
    <mergeCell ref="AA30:AF30"/>
    <mergeCell ref="AG30:AL30"/>
    <mergeCell ref="E25:T25"/>
    <mergeCell ref="U25:Z25"/>
    <mergeCell ref="E26:T26"/>
    <mergeCell ref="U26:Z26"/>
    <mergeCell ref="U27:Z27"/>
    <mergeCell ref="E31:T31"/>
    <mergeCell ref="U31:Z31"/>
    <mergeCell ref="E34:T34"/>
    <mergeCell ref="U34:Z34"/>
    <mergeCell ref="E21:T21"/>
    <mergeCell ref="U21:Z21"/>
    <mergeCell ref="E22:T22"/>
    <mergeCell ref="U22:Z22"/>
    <mergeCell ref="E23:T23"/>
    <mergeCell ref="AG50:AL50"/>
    <mergeCell ref="U14:Z14"/>
    <mergeCell ref="AA14:AF14"/>
    <mergeCell ref="AG14:AL14"/>
    <mergeCell ref="AA31:AF31"/>
    <mergeCell ref="AG31:AL31"/>
    <mergeCell ref="U17:Z17"/>
    <mergeCell ref="AA35:AF36"/>
    <mergeCell ref="AG35:AL36"/>
    <mergeCell ref="AA32:AF33"/>
    <mergeCell ref="AG32:AL33"/>
    <mergeCell ref="AA22:AF23"/>
    <mergeCell ref="AG22:AL23"/>
    <mergeCell ref="AA25:AF26"/>
    <mergeCell ref="AG25:AL26"/>
    <mergeCell ref="AA28:AF29"/>
    <mergeCell ref="AG28:AL29"/>
    <mergeCell ref="U45:Z45"/>
    <mergeCell ref="AA45:AF46"/>
    <mergeCell ref="AA27:AF27"/>
    <mergeCell ref="AG27:AL27"/>
    <mergeCell ref="U38:Z38"/>
    <mergeCell ref="AA21:AF21"/>
    <mergeCell ref="AG21:AL21"/>
    <mergeCell ref="AA48:AF49"/>
    <mergeCell ref="AG48:AL49"/>
    <mergeCell ref="U51:Z51"/>
    <mergeCell ref="U32:Z32"/>
    <mergeCell ref="U33:Z33"/>
    <mergeCell ref="U39:Z39"/>
    <mergeCell ref="U40:Z40"/>
    <mergeCell ref="AA39:AF40"/>
    <mergeCell ref="AG39:AL40"/>
    <mergeCell ref="AA44:AF44"/>
    <mergeCell ref="AG44:AL44"/>
    <mergeCell ref="U44:Z44"/>
    <mergeCell ref="U41:Z41"/>
    <mergeCell ref="AA41:AF41"/>
    <mergeCell ref="AG41:AL41"/>
    <mergeCell ref="AA42:AF43"/>
    <mergeCell ref="AG42:AL43"/>
    <mergeCell ref="U42:Z42"/>
    <mergeCell ref="U43:Z43"/>
    <mergeCell ref="U47:Z47"/>
    <mergeCell ref="AA47:AF47"/>
    <mergeCell ref="AG47:AL47"/>
    <mergeCell ref="U50:Z50"/>
    <mergeCell ref="AA50:AF50"/>
    <mergeCell ref="E52:T52"/>
    <mergeCell ref="E44:T44"/>
    <mergeCell ref="E41:T41"/>
    <mergeCell ref="E48:T48"/>
    <mergeCell ref="E49:T49"/>
    <mergeCell ref="E47:T47"/>
    <mergeCell ref="E51:T51"/>
    <mergeCell ref="E50:T50"/>
    <mergeCell ref="E45:T45"/>
    <mergeCell ref="U52:Z52"/>
    <mergeCell ref="AA51:AF52"/>
    <mergeCell ref="AG51:AL52"/>
    <mergeCell ref="U48:Z48"/>
    <mergeCell ref="U49:Z49"/>
    <mergeCell ref="E14:T14"/>
    <mergeCell ref="E39:T39"/>
    <mergeCell ref="E40:T40"/>
    <mergeCell ref="E38:T38"/>
    <mergeCell ref="E42:T42"/>
    <mergeCell ref="E43:T43"/>
    <mergeCell ref="E24:T24"/>
    <mergeCell ref="E27:T27"/>
    <mergeCell ref="E32:T32"/>
    <mergeCell ref="AG45:AL46"/>
    <mergeCell ref="E46:T46"/>
    <mergeCell ref="U46:Z46"/>
    <mergeCell ref="U35:Z35"/>
    <mergeCell ref="E36:T36"/>
    <mergeCell ref="U36:Z36"/>
    <mergeCell ref="E37:T37"/>
    <mergeCell ref="U37:Z37"/>
    <mergeCell ref="AA37:AF37"/>
    <mergeCell ref="AG37:AL37"/>
    <mergeCell ref="E35:T35"/>
    <mergeCell ref="B29:D29"/>
    <mergeCell ref="E29:T29"/>
    <mergeCell ref="U29:Z29"/>
    <mergeCell ref="B30:D30"/>
    <mergeCell ref="E30:T30"/>
    <mergeCell ref="U30:Z30"/>
    <mergeCell ref="B28:D28"/>
    <mergeCell ref="E28:T28"/>
    <mergeCell ref="U28:Z28"/>
    <mergeCell ref="U23:Z23"/>
    <mergeCell ref="U24:Z24"/>
    <mergeCell ref="B20:D20"/>
    <mergeCell ref="E20:T20"/>
    <mergeCell ref="U20:Z20"/>
    <mergeCell ref="AA20:AF20"/>
    <mergeCell ref="AG20:AL20"/>
    <mergeCell ref="E15:T15"/>
    <mergeCell ref="U15:Z15"/>
    <mergeCell ref="AA15:AF16"/>
    <mergeCell ref="AG15:AL16"/>
    <mergeCell ref="E16:T16"/>
    <mergeCell ref="U16:Z16"/>
    <mergeCell ref="AA17:AF17"/>
    <mergeCell ref="AG17:AL17"/>
    <mergeCell ref="E17:T17"/>
    <mergeCell ref="E18:T18"/>
    <mergeCell ref="E19:T19"/>
    <mergeCell ref="U18:Z18"/>
    <mergeCell ref="U19:Z19"/>
    <mergeCell ref="AG18:AL19"/>
    <mergeCell ref="AA18:AF19"/>
    <mergeCell ref="AA24:AF24"/>
    <mergeCell ref="AG24:AL24"/>
    <mergeCell ref="B13:D13"/>
    <mergeCell ref="E13:T13"/>
    <mergeCell ref="U13:Z13"/>
    <mergeCell ref="AA13:AF13"/>
    <mergeCell ref="AG13:AL13"/>
    <mergeCell ref="AG9:AL9"/>
    <mergeCell ref="B10:D10"/>
    <mergeCell ref="AG10:AL10"/>
    <mergeCell ref="B11:D11"/>
    <mergeCell ref="E11:T11"/>
    <mergeCell ref="U11:Z11"/>
    <mergeCell ref="AA11:AF12"/>
    <mergeCell ref="AG11:AL12"/>
    <mergeCell ref="B12:D12"/>
    <mergeCell ref="E12:T12"/>
    <mergeCell ref="E10:T10"/>
    <mergeCell ref="D7:K7"/>
    <mergeCell ref="W7:X7"/>
    <mergeCell ref="B9:D9"/>
    <mergeCell ref="E9:T9"/>
    <mergeCell ref="U9:Z9"/>
    <mergeCell ref="AA9:AF9"/>
    <mergeCell ref="B1:AL1"/>
    <mergeCell ref="B2:AL2"/>
    <mergeCell ref="M4:Q4"/>
    <mergeCell ref="R4:Z4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9</vt:i4>
      </vt:variant>
    </vt:vector>
  </HeadingPairs>
  <TitlesOfParts>
    <vt:vector size="21" baseType="lpstr">
      <vt:lpstr>ECNP</vt:lpstr>
      <vt:lpstr>FPNC</vt:lpstr>
      <vt:lpstr>FPN</vt:lpstr>
      <vt:lpstr>APR</vt:lpstr>
      <vt:lpstr>PRUD_01</vt:lpstr>
      <vt:lpstr>PRUD_02</vt:lpstr>
      <vt:lpstr>PRUD_03</vt:lpstr>
      <vt:lpstr>PRUD_04</vt:lpstr>
      <vt:lpstr>PRUD_05</vt:lpstr>
      <vt:lpstr>PRUD_06</vt:lpstr>
      <vt:lpstr>IMAO_ICD</vt:lpstr>
      <vt:lpstr>IMAO_INCD</vt:lpstr>
      <vt:lpstr>APR!Zone_d_impression</vt:lpstr>
      <vt:lpstr>FPN!Zone_d_impression</vt:lpstr>
      <vt:lpstr>FPNC!Zone_d_impression</vt:lpstr>
      <vt:lpstr>IMAO_ICD!Zone_d_impression</vt:lpstr>
      <vt:lpstr>IMAO_INCD!Zone_d_impression</vt:lpstr>
      <vt:lpstr>PRUD_01!Zone_d_impression</vt:lpstr>
      <vt:lpstr>PRUD_03!Zone_d_impression</vt:lpstr>
      <vt:lpstr>PRUD_04!Zone_d_impression</vt:lpstr>
      <vt:lpstr>PRUD_06!Zone_d_impression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2025-08-19T18:21:26Z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41e645b9-4646-4f20-8d78-b4f3def4dece</vt:lpwstr>
  </property>
  <property fmtid="{D5CDD505-2E9C-101B-9397-08002B2CF9AE}" pid="7" name="MSIP_Label_defa4170-0d19-0005-0004-bc88714345d2_ActionId">
    <vt:lpwstr>9bf91fe5-6b0e-401c-b5b2-f78ea99d2f8f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