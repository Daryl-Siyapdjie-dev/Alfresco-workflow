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FFFB786-2CC8-4B9B-9407-D9AE825AD090}" xr6:coauthVersionLast="47" xr6:coauthVersionMax="47" xr10:uidLastSave="{00000000-0000-0000-0000-000000000000}"/>
  <bookViews>
    <workbookView xWindow="-108" yWindow="-108" windowWidth="23256" windowHeight="12456" tabRatio="821" firstSheet="3" activeTab="16" xr2:uid="{00000000-000D-0000-FFFF-FFFF00000000}"/>
  </bookViews>
  <sheets>
    <sheet name="FINS_01" sheetId="40" r:id="rId1"/>
    <sheet name="FINS_02" sheetId="68" r:id="rId2"/>
    <sheet name="FINS_03" sheetId="55" r:id="rId3"/>
    <sheet name="FINS_04" sheetId="75" r:id="rId4"/>
    <sheet name="FINS_05" sheetId="44" r:id="rId5"/>
    <sheet name="FINS_06" sheetId="45" r:id="rId6"/>
    <sheet name="FINS_07_GNF" sheetId="46" r:id="rId7"/>
    <sheet name="FINS_08_GNF" sheetId="61" r:id="rId8"/>
    <sheet name="FINS_09" sheetId="52" r:id="rId9"/>
    <sheet name="FINS_10" sheetId="76" r:id="rId10"/>
    <sheet name="FINS_11" sheetId="49" r:id="rId11"/>
    <sheet name="FINS_12" sheetId="50" r:id="rId12"/>
    <sheet name="FINS_13" sheetId="51" r:id="rId13"/>
    <sheet name="FINS_14" sheetId="53" r:id="rId14"/>
    <sheet name="FINS_15" sheetId="54" r:id="rId15"/>
    <sheet name="FINS_16" sheetId="74" r:id="rId16"/>
    <sheet name="FINS_17" sheetId="79" r:id="rId17"/>
  </sheets>
  <definedNames>
    <definedName name="_xlnm.Print_Area" localSheetId="0">FINS_01!$A$1:$AT$21</definedName>
    <definedName name="_xlnm.Print_Area" localSheetId="2">FINS_03!$A$1:$AT$24</definedName>
    <definedName name="_xlnm.Print_Area" localSheetId="3">FINS_04!$A$1:$AT$24</definedName>
    <definedName name="_xlnm.Print_Area" localSheetId="4">FINS_05!$A$1:$AL$27</definedName>
    <definedName name="_xlnm.Print_Area" localSheetId="5">FINS_06!$A$1:$AM$40</definedName>
    <definedName name="_xlnm.Print_Area" localSheetId="6">FINS_07_GNF!$A$1:$AX$98</definedName>
    <definedName name="_xlnm.Print_Area" localSheetId="7">FINS_08_GNF!$A$1:$AX$46</definedName>
    <definedName name="_xlnm.Print_Area" localSheetId="8">FINS_09!$A$1:$AL$98</definedName>
    <definedName name="_xlnm.Print_Area" localSheetId="9">FINS_10!$A$1:$AE$143</definedName>
    <definedName name="_xlnm.Print_Area" localSheetId="11">FINS_12!$A$1:$BC$39</definedName>
    <definedName name="_xlnm.Print_Area" localSheetId="12">FINS_13!$A$1:$AU$19</definedName>
    <definedName name="_xlnm.Print_Area" localSheetId="13">FINS_14!$A$1:$AX$29</definedName>
    <definedName name="_xlnm.Print_Area" localSheetId="14">FINS_15!$A$1:$BA$38</definedName>
    <definedName name="_xlnm.Print_Area" localSheetId="15">FINS_16!$A$1:$AL$44</definedName>
  </definedNames>
  <calcPr calcId="181029"/>
</workbook>
</file>

<file path=xl/calcChain.xml><?xml version="1.0" encoding="utf-8"?>
<calcChain xmlns="http://schemas.openxmlformats.org/spreadsheetml/2006/main">
  <c r="AS18" i="51" l="1"/>
  <c r="AI14" i="68"/>
  <c r="AI24" i="68" s="1"/>
  <c r="T15" i="68"/>
  <c r="T14" i="68" s="1"/>
  <c r="T24" i="68" s="1"/>
  <c r="W15" i="68"/>
  <c r="W14" i="68" s="1"/>
  <c r="W24" i="68" s="1"/>
  <c r="Z15" i="68"/>
  <c r="Z14" i="68" s="1"/>
  <c r="AC15" i="68"/>
  <c r="AC14" i="68" s="1"/>
  <c r="AC24" i="68" s="1"/>
  <c r="AF15" i="68"/>
  <c r="AF14" i="68" s="1"/>
  <c r="AF24" i="68" s="1"/>
  <c r="AI15" i="68"/>
  <c r="T20" i="68"/>
  <c r="W20" i="68"/>
  <c r="Z20" i="68"/>
  <c r="AC20" i="68"/>
  <c r="AF20" i="68"/>
  <c r="AI20" i="68"/>
  <c r="O18" i="79"/>
  <c r="P18" i="79" s="1"/>
  <c r="O16" i="79"/>
  <c r="P16" i="79" s="1"/>
  <c r="O14" i="79"/>
  <c r="P14" i="79" s="1"/>
  <c r="Z36" i="50"/>
  <c r="Z24" i="68" l="1"/>
  <c r="AH39" i="45"/>
  <c r="AE23" i="75" l="1"/>
  <c r="AI12" i="75" s="1"/>
  <c r="W23" i="75"/>
  <c r="AI21" i="75" s="1"/>
  <c r="AM22" i="75"/>
  <c r="AM21" i="75"/>
  <c r="AM20" i="75"/>
  <c r="AM19" i="75"/>
  <c r="AM18" i="75"/>
  <c r="AM17" i="75"/>
  <c r="AM16" i="75"/>
  <c r="AM15" i="75"/>
  <c r="AM14" i="75"/>
  <c r="AM13" i="75"/>
  <c r="AM12" i="75"/>
  <c r="AM13" i="55"/>
  <c r="AM14" i="55"/>
  <c r="AM15" i="55"/>
  <c r="AM16" i="55"/>
  <c r="AM17" i="55"/>
  <c r="AM18" i="55"/>
  <c r="AM19" i="55"/>
  <c r="AM20" i="55"/>
  <c r="AM21" i="55"/>
  <c r="AM22" i="55"/>
  <c r="AM12" i="55"/>
  <c r="AE23" i="55"/>
  <c r="AI12" i="55" s="1"/>
  <c r="W23" i="55"/>
  <c r="AI13" i="55" s="1"/>
  <c r="AA23" i="75" l="1"/>
  <c r="AI23" i="75"/>
  <c r="AM23" i="75"/>
  <c r="AQ20" i="75" s="1"/>
  <c r="AI22" i="75"/>
  <c r="AI16" i="75"/>
  <c r="AA19" i="75"/>
  <c r="AI15" i="75"/>
  <c r="AA22" i="75"/>
  <c r="AA13" i="75"/>
  <c r="AI14" i="75"/>
  <c r="AA17" i="75"/>
  <c r="AI18" i="75"/>
  <c r="AA21" i="75"/>
  <c r="AA15" i="75"/>
  <c r="AI20" i="75"/>
  <c r="AA14" i="75"/>
  <c r="AA18" i="75"/>
  <c r="AI19" i="75"/>
  <c r="AA12" i="75"/>
  <c r="AI13" i="75"/>
  <c r="AA16" i="75"/>
  <c r="AI17" i="75"/>
  <c r="AA20" i="75"/>
  <c r="AM23" i="55"/>
  <c r="AA21" i="55"/>
  <c r="AI15" i="55"/>
  <c r="AA12" i="55"/>
  <c r="AA16" i="55"/>
  <c r="AI19" i="55"/>
  <c r="AA23" i="55"/>
  <c r="AA19" i="55"/>
  <c r="AA15" i="55"/>
  <c r="AI22" i="55"/>
  <c r="AI18" i="55"/>
  <c r="AI14" i="55"/>
  <c r="AA17" i="55"/>
  <c r="AA13" i="55"/>
  <c r="AI20" i="55"/>
  <c r="AI16" i="55"/>
  <c r="AA20" i="55"/>
  <c r="AI23" i="55"/>
  <c r="AA22" i="55"/>
  <c r="AA18" i="55"/>
  <c r="AA14" i="55"/>
  <c r="AI21" i="55"/>
  <c r="AI17" i="55"/>
  <c r="AT35" i="50"/>
  <c r="AO35" i="50"/>
  <c r="AJ35" i="50"/>
  <c r="AE35" i="50"/>
  <c r="Z35" i="50"/>
  <c r="U35" i="50"/>
  <c r="AT37" i="50"/>
  <c r="AO37" i="50"/>
  <c r="AJ37" i="50"/>
  <c r="AT36" i="50"/>
  <c r="AO36" i="50"/>
  <c r="AJ36" i="50"/>
  <c r="AT34" i="50"/>
  <c r="AO34" i="50"/>
  <c r="AJ34" i="50"/>
  <c r="AE36" i="50"/>
  <c r="AE37" i="50"/>
  <c r="AE34" i="50"/>
  <c r="U37" i="50"/>
  <c r="U36" i="50"/>
  <c r="Z37" i="50"/>
  <c r="Z34" i="50"/>
  <c r="U34" i="50"/>
  <c r="AL20" i="68"/>
  <c r="Q20" i="68"/>
  <c r="AH39" i="74"/>
  <c r="AH40" i="74"/>
  <c r="AH41" i="74"/>
  <c r="AH42" i="74"/>
  <c r="AH43" i="74"/>
  <c r="AH44" i="74"/>
  <c r="AH19" i="74"/>
  <c r="AH20" i="74"/>
  <c r="AQ16" i="75" l="1"/>
  <c r="AQ22" i="75"/>
  <c r="AQ18" i="75"/>
  <c r="AQ19" i="75"/>
  <c r="AQ23" i="75"/>
  <c r="AQ15" i="75"/>
  <c r="AQ17" i="75"/>
  <c r="AQ21" i="75"/>
  <c r="AQ13" i="75"/>
  <c r="AQ14" i="75"/>
  <c r="AQ12" i="75"/>
  <c r="AQ13" i="55"/>
  <c r="AQ17" i="55"/>
  <c r="AQ21" i="55"/>
  <c r="AQ23" i="55"/>
  <c r="AQ16" i="55"/>
  <c r="AQ20" i="55"/>
  <c r="AQ14" i="55"/>
  <c r="AQ18" i="55"/>
  <c r="AQ22" i="55"/>
  <c r="AQ15" i="55"/>
  <c r="AQ19" i="55"/>
  <c r="AQ12" i="55"/>
  <c r="AJ33" i="50"/>
  <c r="AJ38" i="50" s="1"/>
  <c r="AO33" i="50"/>
  <c r="AO38" i="50" s="1"/>
  <c r="AT33" i="50"/>
  <c r="AT38" i="50" s="1"/>
  <c r="AE33" i="50"/>
  <c r="AE38" i="50" s="1"/>
  <c r="AY37" i="50"/>
  <c r="AY36" i="50"/>
  <c r="Z33" i="50"/>
  <c r="Z38" i="50" s="1"/>
  <c r="AY35" i="50"/>
  <c r="U33" i="50"/>
  <c r="U38" i="50" s="1"/>
  <c r="AY34" i="50"/>
  <c r="AC71" i="52"/>
  <c r="AC92" i="52"/>
  <c r="AC89" i="52"/>
  <c r="AC85" i="52"/>
  <c r="AC82" i="52"/>
  <c r="AC78" i="52"/>
  <c r="AC65" i="52"/>
  <c r="AA128" i="76"/>
  <c r="AA126" i="76"/>
  <c r="AA45" i="76"/>
  <c r="AY33" i="50" l="1"/>
  <c r="AY38" i="50" s="1"/>
  <c r="AA13" i="76"/>
  <c r="AC41" i="52" l="1"/>
  <c r="AC44" i="52"/>
  <c r="AC37" i="52"/>
  <c r="AC32" i="52"/>
  <c r="Y18" i="51"/>
  <c r="AD18" i="51"/>
  <c r="AI18" i="51"/>
  <c r="AN18" i="51"/>
  <c r="T18" i="51"/>
  <c r="AA116" i="76"/>
  <c r="AA100" i="76"/>
  <c r="AA98" i="76" s="1"/>
  <c r="AA71" i="76"/>
  <c r="AA140" i="76"/>
  <c r="AA130" i="76"/>
  <c r="AA95" i="76"/>
  <c r="AA92" i="76"/>
  <c r="AA88" i="76"/>
  <c r="AA81" i="76"/>
  <c r="AA75" i="76"/>
  <c r="AA64" i="76"/>
  <c r="AA26" i="76"/>
  <c r="AA18" i="76"/>
  <c r="AC36" i="74"/>
  <c r="X36" i="74"/>
  <c r="S36" i="74"/>
  <c r="N36" i="74"/>
  <c r="AH37" i="74"/>
  <c r="AH16" i="74"/>
  <c r="AH17" i="74"/>
  <c r="AH18" i="74"/>
  <c r="AH21" i="74"/>
  <c r="AH14" i="74"/>
  <c r="S13" i="74"/>
  <c r="X13" i="74"/>
  <c r="AC13" i="74"/>
  <c r="N13" i="74"/>
  <c r="AY17" i="50"/>
  <c r="Z13" i="50"/>
  <c r="Z18" i="50" s="1"/>
  <c r="AE13" i="50"/>
  <c r="AE18" i="50" s="1"/>
  <c r="AJ13" i="50"/>
  <c r="AJ18" i="50" s="1"/>
  <c r="AO13" i="50"/>
  <c r="AO18" i="50" s="1"/>
  <c r="AT13" i="50"/>
  <c r="AT18" i="50" s="1"/>
  <c r="U13" i="50"/>
  <c r="U18" i="50" s="1"/>
  <c r="AR19" i="40"/>
  <c r="AO19" i="40"/>
  <c r="AL19" i="40"/>
  <c r="AI19" i="40"/>
  <c r="AF19" i="40"/>
  <c r="AC19" i="40"/>
  <c r="Z19" i="40"/>
  <c r="W19" i="40"/>
  <c r="T19" i="40"/>
  <c r="Q19" i="40"/>
  <c r="AR20" i="49"/>
  <c r="AK20" i="49"/>
  <c r="AD20" i="49"/>
  <c r="W20" i="49"/>
  <c r="AH37" i="45"/>
  <c r="AH36" i="45"/>
  <c r="AH29" i="45"/>
  <c r="AH40" i="45"/>
  <c r="AH38" i="45"/>
  <c r="AH35" i="45"/>
  <c r="AH34" i="45"/>
  <c r="AH33" i="45"/>
  <c r="AH32" i="45"/>
  <c r="AH31" i="45"/>
  <c r="AH30" i="45"/>
  <c r="AL15" i="68"/>
  <c r="AL14" i="68" s="1"/>
  <c r="AL24" i="68" s="1"/>
  <c r="Q15" i="68"/>
  <c r="Q14" i="68" l="1"/>
  <c r="Q24" i="68" s="1"/>
  <c r="AO15" i="68"/>
  <c r="AY13" i="50"/>
  <c r="AY18" i="50" s="1"/>
  <c r="AA12" i="76"/>
  <c r="AA50" i="76" s="1"/>
  <c r="AA69" i="76"/>
  <c r="AA74" i="76"/>
  <c r="AH38" i="74"/>
  <c r="AH36" i="74"/>
  <c r="AH15" i="74"/>
  <c r="AH13" i="74"/>
  <c r="AO14" i="68" l="1"/>
  <c r="AO24" i="68" s="1"/>
  <c r="AA63" i="76"/>
  <c r="AH21" i="45"/>
  <c r="AH22" i="45"/>
  <c r="AH23" i="45"/>
  <c r="AH24" i="45"/>
  <c r="AH20" i="45"/>
  <c r="AH13" i="45"/>
  <c r="AH14" i="45"/>
  <c r="AH15" i="45"/>
  <c r="AH16" i="45"/>
  <c r="AH17" i="45"/>
  <c r="AH18" i="45"/>
  <c r="AH19" i="45"/>
  <c r="AH12" i="45"/>
  <c r="AH17" i="44"/>
  <c r="AC17" i="44"/>
  <c r="AH26" i="44"/>
  <c r="AA103" i="76" l="1"/>
  <c r="AA125" i="76" s="1"/>
  <c r="AA137" i="76" s="1"/>
  <c r="AC17" i="52"/>
  <c r="AA143" i="76" l="1"/>
  <c r="AA141" i="76"/>
  <c r="AC62" i="52"/>
  <c r="AC61" i="52" s="1"/>
  <c r="AH97" i="52" l="1"/>
  <c r="AC25" i="52"/>
  <c r="AC13" i="52"/>
  <c r="AC12" i="52" s="1"/>
  <c r="AH62" i="52" l="1"/>
  <c r="AH94" i="52"/>
  <c r="AH84" i="52"/>
  <c r="AH88" i="52"/>
  <c r="AH90" i="52"/>
  <c r="AH69" i="52"/>
  <c r="AH83" i="52"/>
  <c r="AH86" i="52"/>
  <c r="AH92" i="52"/>
  <c r="AH61" i="52"/>
  <c r="AH89" i="52"/>
  <c r="AH77" i="52"/>
  <c r="AH71" i="52"/>
  <c r="AH85" i="52"/>
  <c r="AH68" i="52"/>
  <c r="AH67" i="52"/>
  <c r="AH81" i="52"/>
  <c r="AH79" i="52"/>
  <c r="AH64" i="52"/>
  <c r="AH87" i="52"/>
  <c r="AH93" i="52"/>
  <c r="AH91" i="52"/>
  <c r="AH66" i="52"/>
  <c r="AH73" i="52"/>
  <c r="AH75" i="52"/>
  <c r="AH95" i="52"/>
  <c r="AH63" i="52"/>
  <c r="AH72" i="52"/>
  <c r="AH74" i="52"/>
  <c r="AH80" i="52"/>
  <c r="AH82" i="52"/>
  <c r="AH70" i="52"/>
  <c r="AH76" i="52"/>
  <c r="AH78" i="52"/>
  <c r="AH65" i="52"/>
  <c r="AH25" i="52"/>
  <c r="AC26" i="44"/>
  <c r="AH46" i="52" l="1"/>
  <c r="AH47" i="52"/>
  <c r="AH43" i="52"/>
  <c r="AH40" i="52"/>
  <c r="AH35" i="52"/>
  <c r="AH27" i="52"/>
  <c r="AH31" i="52"/>
  <c r="AH20" i="52"/>
  <c r="AH24" i="52"/>
  <c r="AH16" i="52"/>
  <c r="AH48" i="52"/>
  <c r="AH42" i="52"/>
  <c r="AH38" i="52"/>
  <c r="AH36" i="52"/>
  <c r="AH28" i="52"/>
  <c r="AH26" i="52"/>
  <c r="AH21" i="52"/>
  <c r="AH18" i="52"/>
  <c r="AH45" i="52"/>
  <c r="AH33" i="52"/>
  <c r="AH29" i="52"/>
  <c r="AH22" i="52"/>
  <c r="AH39" i="52"/>
  <c r="AH30" i="52"/>
  <c r="AH23" i="52"/>
  <c r="AH15" i="52"/>
  <c r="AH14" i="52"/>
  <c r="AH34" i="52"/>
  <c r="AH19" i="52"/>
  <c r="AH12" i="52"/>
  <c r="AH37" i="52"/>
  <c r="AH44" i="52"/>
  <c r="AH41" i="52"/>
  <c r="AH32" i="52"/>
  <c r="AH17" i="52"/>
  <c r="AH13" i="52"/>
  <c r="AC96" i="52" l="1"/>
  <c r="AH96" i="52" l="1"/>
  <c r="AC98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15" authorId="0" shapeId="0" xr:uid="{6487D5E8-4DF0-48C0-9424-0FB1B00AAF27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  <comment ref="G16" authorId="0" shapeId="0" xr:uid="{267464C3-D0B3-494D-ACCC-84A1504F6C95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  <comment ref="G17" authorId="0" shapeId="0" xr:uid="{3E48B058-A1F1-44CE-B5E6-0615B9C67DAB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  <comment ref="G18" authorId="0" shapeId="0" xr:uid="{D6ECF803-9922-4AA2-8190-E9FA0E803DE0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  <comment ref="G19" authorId="0" shapeId="0" xr:uid="{EDBF1948-74ED-4358-A638-6765D97BEBB5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H18" authorId="0" shapeId="0" xr:uid="{2929CA9E-5ED9-49AD-8EBA-722997631CA7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  <comment ref="H19" authorId="0" shapeId="0" xr:uid="{AE30919E-C1C2-4648-A295-CD163EABAD5E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  <comment ref="H20" authorId="0" shapeId="0" xr:uid="{6944F6E7-A1EE-4B4D-A6D6-E8BFD365B7DD}">
      <text>
        <r>
          <rPr>
            <b/>
            <sz val="9"/>
            <color indexed="81"/>
            <rFont val="Tahoma"/>
            <family val="2"/>
          </rPr>
          <t xml:space="preserve">Auteur:
</t>
        </r>
      </text>
    </comment>
  </commentList>
</comments>
</file>

<file path=xl/sharedStrings.xml><?xml version="1.0" encoding="utf-8"?>
<sst xmlns="http://schemas.openxmlformats.org/spreadsheetml/2006/main" count="1652" uniqueCount="826">
  <si>
    <t>GNF</t>
  </si>
  <si>
    <t>TOTAL</t>
  </si>
  <si>
    <t>RESIDENTS</t>
  </si>
  <si>
    <t>CODE</t>
  </si>
  <si>
    <t>1. PRODUITS D'EXPLOITATION BANCAIRE</t>
  </si>
  <si>
    <t>2. CHARGES D'EXPLOITATION BANCAIRE</t>
  </si>
  <si>
    <t>3. PRODUIT NET BANCAIRE = (1) - (2)</t>
  </si>
  <si>
    <t>LIBELLES</t>
  </si>
  <si>
    <t>NON RESIDENTS</t>
  </si>
  <si>
    <t xml:space="preserve">COMPTES DE REGULARISATION ET TRANSITOIRES </t>
  </si>
  <si>
    <t>Sociétés non financières (SNF)</t>
  </si>
  <si>
    <t>Particuliers</t>
  </si>
  <si>
    <t>Adm Centrales</t>
  </si>
  <si>
    <t>Autres SNF</t>
  </si>
  <si>
    <t>Expositions en souffrance brutes</t>
  </si>
  <si>
    <t xml:space="preserve">Total Expositions en souffrance brutes </t>
  </si>
  <si>
    <t xml:space="preserve">Provisions pour dépréciation (inscrites à l’actif du bilan) </t>
  </si>
  <si>
    <t xml:space="preserve">Provisions pour dépréciation (inscrites au passif du bilan) </t>
  </si>
  <si>
    <t>Cadres Supérieurs</t>
  </si>
  <si>
    <t>Cadres Moyens</t>
  </si>
  <si>
    <t>Cadres Subalternes</t>
  </si>
  <si>
    <t>Contractuels et occasionnels</t>
  </si>
  <si>
    <t>VALEUR A LA FIN DE LA PERIODE PRECEDENTE</t>
  </si>
  <si>
    <t>Immobilist. Apportées par tiers</t>
  </si>
  <si>
    <t>Immobilist. sorties de l'actif</t>
  </si>
  <si>
    <t>Cumul Période Précédente</t>
  </si>
  <si>
    <t>Dotation de la Période/Ajustements</t>
  </si>
  <si>
    <t>Amt Immob sorties de l'actif</t>
  </si>
  <si>
    <t>SOLDE AU DEBUT DE L'EXERCICE</t>
  </si>
  <si>
    <t>REPRISES DE L'EXERCICE</t>
  </si>
  <si>
    <t>DOTATIONS DE L'EXERCICE</t>
  </si>
  <si>
    <t>SOLDE EN FIN D'EXERCICE</t>
  </si>
  <si>
    <t>PROVISIONS EXIGEES PAR LA BCRG</t>
  </si>
  <si>
    <t>FINS_03</t>
  </si>
  <si>
    <t>FINS_10</t>
  </si>
  <si>
    <t>FINS_11</t>
  </si>
  <si>
    <t>FINS_12</t>
  </si>
  <si>
    <t>Acquisitions / Ajustements</t>
  </si>
  <si>
    <t>RP7_0010</t>
  </si>
  <si>
    <t>RP7_0020</t>
  </si>
  <si>
    <t>RP7_0030</t>
  </si>
  <si>
    <t>RP7_0040</t>
  </si>
  <si>
    <t>RP7_0050</t>
  </si>
  <si>
    <t>RP7_0100</t>
  </si>
  <si>
    <t>RP7_0110</t>
  </si>
  <si>
    <t>RP7_0120</t>
  </si>
  <si>
    <t>RP7_0130</t>
  </si>
  <si>
    <t>RP7_0140</t>
  </si>
  <si>
    <t>RP7_0150</t>
  </si>
  <si>
    <t>RP7_0160</t>
  </si>
  <si>
    <t>RP7_0180</t>
  </si>
  <si>
    <t>RP7_0190</t>
  </si>
  <si>
    <t>RP7_0200</t>
  </si>
  <si>
    <t>RP7_0210</t>
  </si>
  <si>
    <t>RP7_0220</t>
  </si>
  <si>
    <t>RP7_0230</t>
  </si>
  <si>
    <t>RP7_0240</t>
  </si>
  <si>
    <t>RP7_0280</t>
  </si>
  <si>
    <t>RP7_0290</t>
  </si>
  <si>
    <t>RP7_0300</t>
  </si>
  <si>
    <t>RP7_0310</t>
  </si>
  <si>
    <t>RC6_0010</t>
  </si>
  <si>
    <t>RC6_0020</t>
  </si>
  <si>
    <t>RC6_0030</t>
  </si>
  <si>
    <t>RC6_0040</t>
  </si>
  <si>
    <t>RC6_0300</t>
  </si>
  <si>
    <t>RP7_0320</t>
  </si>
  <si>
    <t>RP7_0330</t>
  </si>
  <si>
    <t>RP7_0340</t>
  </si>
  <si>
    <t>RP7_0350</t>
  </si>
  <si>
    <t>RP7_0360</t>
  </si>
  <si>
    <t>RP7_0370</t>
  </si>
  <si>
    <t>RP7_0380</t>
  </si>
  <si>
    <t>RC6_0320</t>
  </si>
  <si>
    <t>RC6_0330</t>
  </si>
  <si>
    <t>RC6_0340</t>
  </si>
  <si>
    <t>RC6_0350</t>
  </si>
  <si>
    <t>RC6_0360</t>
  </si>
  <si>
    <t>RC6_0370</t>
  </si>
  <si>
    <t>RC6_0380</t>
  </si>
  <si>
    <t>RC6_0390</t>
  </si>
  <si>
    <t>RC6_0400</t>
  </si>
  <si>
    <t>RC6_0410</t>
  </si>
  <si>
    <t>RC6_0420</t>
  </si>
  <si>
    <t>RC6_0430</t>
  </si>
  <si>
    <t>RC6_0440</t>
  </si>
  <si>
    <t>RC6_0450</t>
  </si>
  <si>
    <t>RC6_0460</t>
  </si>
  <si>
    <t>RC6_0470</t>
  </si>
  <si>
    <t>RC6_0480</t>
  </si>
  <si>
    <t>RC6_0490</t>
  </si>
  <si>
    <t>RC6_0520</t>
  </si>
  <si>
    <t>RC6_0530</t>
  </si>
  <si>
    <t>RC6_0560</t>
  </si>
  <si>
    <t>RC6_0570</t>
  </si>
  <si>
    <t>RP7_0410</t>
  </si>
  <si>
    <t>RP7_0420</t>
  </si>
  <si>
    <t>RP7_0430</t>
  </si>
  <si>
    <t>RP7_0440</t>
  </si>
  <si>
    <t>RP7_0450</t>
  </si>
  <si>
    <t>RP7_0460</t>
  </si>
  <si>
    <t>RC6_0600</t>
  </si>
  <si>
    <t>RC6_0610</t>
  </si>
  <si>
    <t>RC6_0620</t>
  </si>
  <si>
    <t>RC6_0630</t>
  </si>
  <si>
    <t>RP7_0480</t>
  </si>
  <si>
    <t>RP7_0490</t>
  </si>
  <si>
    <t>RC6_0640</t>
  </si>
  <si>
    <t>RC6_0650</t>
  </si>
  <si>
    <t>RC6_0680</t>
  </si>
  <si>
    <t>RP7_0520</t>
  </si>
  <si>
    <t>RP7_0530</t>
  </si>
  <si>
    <t>RP7_0540</t>
  </si>
  <si>
    <t>RP7_0550</t>
  </si>
  <si>
    <t>RC6_0690</t>
  </si>
  <si>
    <t>PASSIF</t>
  </si>
  <si>
    <t>RH9_0700</t>
  </si>
  <si>
    <t>1. Salaires de personnel</t>
  </si>
  <si>
    <t>2. Traitement du personnel</t>
  </si>
  <si>
    <t>3. Charges sociales</t>
  </si>
  <si>
    <t>RC6_0500</t>
  </si>
  <si>
    <t>RC6_0510</t>
  </si>
  <si>
    <t>RC6_0710</t>
  </si>
  <si>
    <t>RC6_0720</t>
  </si>
  <si>
    <t>RC6_0700</t>
  </si>
  <si>
    <t>ETABLIESSEMENT:</t>
  </si>
  <si>
    <t>J</t>
  </si>
  <si>
    <t>M</t>
  </si>
  <si>
    <t>A</t>
  </si>
  <si>
    <t>Date d'arrêté</t>
  </si>
  <si>
    <t>CIB</t>
  </si>
  <si>
    <t>F</t>
  </si>
  <si>
    <t>TT0_0030</t>
  </si>
  <si>
    <t>TT0_0050</t>
  </si>
  <si>
    <t>DEBITEURS DIVERS, CREDITEURS DIVERS</t>
  </si>
  <si>
    <t>TT0_0090</t>
  </si>
  <si>
    <t>ACTIF</t>
  </si>
  <si>
    <t>TT0_0100</t>
  </si>
  <si>
    <t xml:space="preserve">SNF publiques  </t>
  </si>
  <si>
    <t xml:space="preserve">Entreprises individuelles </t>
  </si>
  <si>
    <t>Total Expositions en souffrance nettes</t>
  </si>
  <si>
    <t>SIEGE</t>
  </si>
  <si>
    <t>EFFECTIF TOTAL</t>
  </si>
  <si>
    <t>MOUVEMENT DE LA PERIODE</t>
  </si>
  <si>
    <t>6= (1+5)</t>
  </si>
  <si>
    <t>10= (7+8-9)</t>
  </si>
  <si>
    <t>AMORTISSEMENTS</t>
  </si>
  <si>
    <t>VALEURS BRUTES DE FIN DE PERIODE</t>
  </si>
  <si>
    <t>VALEURS NETTES COMPTABLE</t>
  </si>
  <si>
    <t>11= (6-10)</t>
  </si>
  <si>
    <t>RC6_0730</t>
  </si>
  <si>
    <t>RP7_0560</t>
  </si>
  <si>
    <t>TT0_0170</t>
  </si>
  <si>
    <t>FEMME</t>
  </si>
  <si>
    <t>HOMME</t>
  </si>
  <si>
    <t>TT0_0180</t>
  </si>
  <si>
    <t>BILAN</t>
  </si>
  <si>
    <t>HORS BILAN</t>
  </si>
  <si>
    <t>TOTAUX</t>
  </si>
  <si>
    <t>FINS_05</t>
  </si>
  <si>
    <t>FINS_04</t>
  </si>
  <si>
    <t>FINS_07_GNF</t>
  </si>
  <si>
    <t>ENCOURS EN SOUFFRANCE ET PROVISIONNEMENT</t>
  </si>
  <si>
    <t>FINS_13</t>
  </si>
  <si>
    <t>FINS_06</t>
  </si>
  <si>
    <t>RL2_0110</t>
  </si>
  <si>
    <t>RL2_0120</t>
  </si>
  <si>
    <t>RL2_0130</t>
  </si>
  <si>
    <t>RL2_0140</t>
  </si>
  <si>
    <t>RA2_0330</t>
  </si>
  <si>
    <t>RA2_0350</t>
  </si>
  <si>
    <t>RA2_0370</t>
  </si>
  <si>
    <t>RA2_0410</t>
  </si>
  <si>
    <t>RA2_0500</t>
  </si>
  <si>
    <t>RA2_0780</t>
  </si>
  <si>
    <t>RA3_0710</t>
  </si>
  <si>
    <t>RA3_0720</t>
  </si>
  <si>
    <t>RA3_0730</t>
  </si>
  <si>
    <t>RA3_0740</t>
  </si>
  <si>
    <t>RA3_0790</t>
  </si>
  <si>
    <t>RA3_0820</t>
  </si>
  <si>
    <t>RL3_0050</t>
  </si>
  <si>
    <t>RL3_0060</t>
  </si>
  <si>
    <t>RL3_0070</t>
  </si>
  <si>
    <t>RL3_0080</t>
  </si>
  <si>
    <t>RL3_0090</t>
  </si>
  <si>
    <t>RL3_0100</t>
  </si>
  <si>
    <t>RA3_0080</t>
  </si>
  <si>
    <t>RA3_0090</t>
  </si>
  <si>
    <t>RA3_0100</t>
  </si>
  <si>
    <t>RA3_0110</t>
  </si>
  <si>
    <t>RA3_0120</t>
  </si>
  <si>
    <t>RA3_0130</t>
  </si>
  <si>
    <t>RA3_0140</t>
  </si>
  <si>
    <t>RA3_0150</t>
  </si>
  <si>
    <t>RA3_0160</t>
  </si>
  <si>
    <t>RA3_0170</t>
  </si>
  <si>
    <t>RA3_0180</t>
  </si>
  <si>
    <t>RA3_0190</t>
  </si>
  <si>
    <t>RA3_0200</t>
  </si>
  <si>
    <t>RA3_0210</t>
  </si>
  <si>
    <t>RA3_0220</t>
  </si>
  <si>
    <t>RA3_0230</t>
  </si>
  <si>
    <t>RA3_0240</t>
  </si>
  <si>
    <t>RA3_0250</t>
  </si>
  <si>
    <t>RA3_0260</t>
  </si>
  <si>
    <t>RA3_0270</t>
  </si>
  <si>
    <t>RA3_0280</t>
  </si>
  <si>
    <t>RA3_0290</t>
  </si>
  <si>
    <t>RA3_0300</t>
  </si>
  <si>
    <t>RA3_0310</t>
  </si>
  <si>
    <t>RA3_0320</t>
  </si>
  <si>
    <t>RA3_0330</t>
  </si>
  <si>
    <t>RA3_0340</t>
  </si>
  <si>
    <t>RA4_0140</t>
  </si>
  <si>
    <t>RA4_0150</t>
  </si>
  <si>
    <t>RA4_0160</t>
  </si>
  <si>
    <t>RA4_0170</t>
  </si>
  <si>
    <t>RA4_0180</t>
  </si>
  <si>
    <t>RA3_0350</t>
  </si>
  <si>
    <t>RA3_0360</t>
  </si>
  <si>
    <t>RA3_0370</t>
  </si>
  <si>
    <t>-</t>
  </si>
  <si>
    <t>3. TOTAL</t>
  </si>
  <si>
    <t>1. Comptes transitoires et d'attente</t>
  </si>
  <si>
    <t>4. Comptes transitoires et d'attente</t>
  </si>
  <si>
    <t>1.1. Comptes d'encaissement</t>
  </si>
  <si>
    <t xml:space="preserve">1.2. Comptes de recouvrement </t>
  </si>
  <si>
    <t>1.3. Comptes d'ajustement devises</t>
  </si>
  <si>
    <t>1.4. Comptes de différences de conversion</t>
  </si>
  <si>
    <t>1.5. Comptes d’opérations sur crédits consortiaux</t>
  </si>
  <si>
    <t xml:space="preserve">4.1. Contrepartie comptes de recouvrement </t>
  </si>
  <si>
    <t>4.2. Comptes d'ajustement devises</t>
  </si>
  <si>
    <t>4.3. Comptes de différences de conversion</t>
  </si>
  <si>
    <t>4.4. Comptes d’opérations sur crédits consortiaux</t>
  </si>
  <si>
    <t>ELEMENTS</t>
  </si>
  <si>
    <t>1.1. Créances Impayées</t>
  </si>
  <si>
    <t>3.1. dont charges patronales</t>
  </si>
  <si>
    <t>FINS_14</t>
  </si>
  <si>
    <t>TT0_0190</t>
  </si>
  <si>
    <t>TT0_0200</t>
  </si>
  <si>
    <t>TT0_0210</t>
  </si>
  <si>
    <t>TT0_0220</t>
  </si>
  <si>
    <t xml:space="preserve">PAYS: </t>
  </si>
  <si>
    <t>LC</t>
  </si>
  <si>
    <t>D</t>
  </si>
  <si>
    <t>P</t>
  </si>
  <si>
    <t>RA4_0240</t>
  </si>
  <si>
    <t>RA4_0260</t>
  </si>
  <si>
    <t>RA4_0280</t>
  </si>
  <si>
    <t>RA4_0300</t>
  </si>
  <si>
    <t>3. Immobilisations non louées (crédit-bail)</t>
  </si>
  <si>
    <t>4. Immobilisations en location simple</t>
  </si>
  <si>
    <t>2. Immobilisations corporelles</t>
  </si>
  <si>
    <t>1. Immobilisations incorporelles</t>
  </si>
  <si>
    <t>B</t>
  </si>
  <si>
    <t>E</t>
  </si>
  <si>
    <t>G</t>
  </si>
  <si>
    <t>T</t>
  </si>
  <si>
    <t>R</t>
  </si>
  <si>
    <t>K</t>
  </si>
  <si>
    <t>L</t>
  </si>
  <si>
    <t>N</t>
  </si>
  <si>
    <t>CM</t>
  </si>
  <si>
    <t>SITUATION DES COMPTES DE PROVISIONNEMENT</t>
  </si>
  <si>
    <t>2.1. Créances Impayées</t>
  </si>
  <si>
    <t>4. TOTAL</t>
  </si>
  <si>
    <t>6. Cadres supérieurs</t>
  </si>
  <si>
    <t>6.1. dont expatriés</t>
  </si>
  <si>
    <t>7. Cadres moyens</t>
  </si>
  <si>
    <t>8. Cadres subalternes</t>
  </si>
  <si>
    <t>9. Contractuels</t>
  </si>
  <si>
    <t>10. Occasionnels</t>
  </si>
  <si>
    <t>11. Autres (*)</t>
  </si>
  <si>
    <t>Autres</t>
  </si>
  <si>
    <t>RN0_0270</t>
  </si>
  <si>
    <t>RN0_0280</t>
  </si>
  <si>
    <t>RN0_0290</t>
  </si>
  <si>
    <t>RN0_0300</t>
  </si>
  <si>
    <t>RN0_0310</t>
  </si>
  <si>
    <t>RN0_0320</t>
  </si>
  <si>
    <t>RN0_0330</t>
  </si>
  <si>
    <t>6. RESULTAT BRUT D’EXPLOITATION = (3 + 4) - 5</t>
  </si>
  <si>
    <t>7. COUT DU RISQUE</t>
  </si>
  <si>
    <t>7.1. Dotations aux provisions sur créances impayées</t>
  </si>
  <si>
    <t>7.2. Dotations aux provisions sur créances restructurées</t>
  </si>
  <si>
    <t>7.4. Pertes sur créances irrécouvrables</t>
  </si>
  <si>
    <t>9. Moinsvalues de cession sur immobilisations</t>
  </si>
  <si>
    <t>10. Plusvalues de cession sur immobilisations</t>
  </si>
  <si>
    <t>8. RESULTAT D'EXPLOITATION = 6 - 7</t>
  </si>
  <si>
    <t>4 = (1 + 3) - 2</t>
  </si>
  <si>
    <t>2.1. dont primes, indem.et gratification</t>
  </si>
  <si>
    <t>5 = (2+3-4)</t>
  </si>
  <si>
    <t>ISBL</t>
  </si>
  <si>
    <t>Institutions sans but lucrative au service des ménages (ISBL)</t>
  </si>
  <si>
    <t>ASS</t>
  </si>
  <si>
    <t>Etat et organismes assimilés</t>
  </si>
  <si>
    <t>Adm locales &amp; régionales</t>
  </si>
  <si>
    <t>DETTES</t>
  </si>
  <si>
    <t>Assurances et caisses de retraite</t>
  </si>
  <si>
    <t>Clientèle non financière</t>
  </si>
  <si>
    <t>Assurances et caisse de retraite</t>
  </si>
  <si>
    <t>Clientèle financière</t>
  </si>
  <si>
    <t>Administrations de Sécurité Sociale (ASS)</t>
  </si>
  <si>
    <t>BCRG</t>
  </si>
  <si>
    <t>CCP</t>
  </si>
  <si>
    <t>TP</t>
  </si>
  <si>
    <t>Institutions Financières spécialisées</t>
  </si>
  <si>
    <t>Etablissements
Financiers</t>
  </si>
  <si>
    <t>Ménages</t>
  </si>
  <si>
    <t xml:space="preserve">Banques </t>
  </si>
  <si>
    <t xml:space="preserve">1.6. Autres comptes transitoires </t>
  </si>
  <si>
    <t>4.6. Comptes d'attente</t>
  </si>
  <si>
    <t>4.5. Autres comptes transitoires</t>
  </si>
  <si>
    <t>1.7. Comptes d'attente</t>
  </si>
  <si>
    <t>1. TITRES A REVENU FIXE</t>
  </si>
  <si>
    <t>1.1. Portefeuille de transaction</t>
  </si>
  <si>
    <t>1.1.1. Obligations</t>
  </si>
  <si>
    <t xml:space="preserve">1.1.2. Bons du trésor </t>
  </si>
  <si>
    <t>1.1.3. Autres titres à revenu fixe</t>
  </si>
  <si>
    <t>1.1.4. Versements restant à effectuer</t>
  </si>
  <si>
    <t>1.1.5. Créances rattachées</t>
  </si>
  <si>
    <t>1.2. Portefeuille de placement</t>
  </si>
  <si>
    <t xml:space="preserve">1.2.1. Obligations </t>
  </si>
  <si>
    <t>1.2.2. Bons du trésor</t>
  </si>
  <si>
    <t>1.2.3. Autres titres à revenu fixe</t>
  </si>
  <si>
    <t>1.2.4. Versements restant à effectuer</t>
  </si>
  <si>
    <t>1.2.5. Créances rattachées</t>
  </si>
  <si>
    <t>1.2.6. Provisions pour dépréciation</t>
  </si>
  <si>
    <t>1.3. Portefeuille d’investissement</t>
  </si>
  <si>
    <t xml:space="preserve">1.3.1. Obligations </t>
  </si>
  <si>
    <t>1.3.2. Bons du trésor</t>
  </si>
  <si>
    <t>1.3.3. Autres titres à revenu fixe</t>
  </si>
  <si>
    <t>1.3.4. Primes (surcote ou décote)</t>
  </si>
  <si>
    <t xml:space="preserve">1.3.5. Créances rattachées </t>
  </si>
  <si>
    <t>1.3.6. Provisions pour dépréciation</t>
  </si>
  <si>
    <t>2. TITRES A REVENU VARIABLE</t>
  </si>
  <si>
    <t>2.1. Portefeuille de transaction</t>
  </si>
  <si>
    <t>2.1.1. Actions</t>
  </si>
  <si>
    <t>2.1.2. Autres titres à revenu variable</t>
  </si>
  <si>
    <t>2.1.3. Créances rattachées</t>
  </si>
  <si>
    <t>2.2. Portefeuille de placement</t>
  </si>
  <si>
    <t>2.2.1. Actions</t>
  </si>
  <si>
    <t>2.2.2. Autres titres à revenu variable</t>
  </si>
  <si>
    <t>2.2.3. Créances rattachées</t>
  </si>
  <si>
    <t>2.3. Immobilisations financières</t>
  </si>
  <si>
    <t>2.3.1. Parts dans les entreprises liées</t>
  </si>
  <si>
    <t>2.3.2. Titres de participation</t>
  </si>
  <si>
    <t>2.3.3. Titres immobilisés de l'activité de portefeuille</t>
  </si>
  <si>
    <t>2.3.4. Autres titres détenus à long terme</t>
  </si>
  <si>
    <t>Institutions de microfinance</t>
  </si>
  <si>
    <t>Institutions Financières Non Residentes</t>
  </si>
  <si>
    <t>Institutions Financières Non Résidentes</t>
  </si>
  <si>
    <t>1. TITRES DE CAPITAL</t>
  </si>
  <si>
    <t>1.1. Actions</t>
  </si>
  <si>
    <t>1.2. Autres titres de capital émis</t>
  </si>
  <si>
    <t>2. TITRES DE DETTES</t>
  </si>
  <si>
    <t>2.2. Obligations</t>
  </si>
  <si>
    <t>3. TITRES SUBORDONNES</t>
  </si>
  <si>
    <t>3.2. A durée indéterminée</t>
  </si>
  <si>
    <t>VENTILATION PAR TYPE DE DETENTEURS DES TITRES EMIS PAR L'ETABLISSEMENT ASSUJETTI EN GNF</t>
  </si>
  <si>
    <t>4 = 1-(2+3)</t>
  </si>
  <si>
    <t>RA4_0330</t>
  </si>
  <si>
    <t>ANCIENNETE DES ENCOURS EN SOUFFRANCE BRUTS</t>
  </si>
  <si>
    <t>VENTILATION PAR AGENTS ECONOMIQUES DES CONCOURS A L’ECONOMIE EN GNF</t>
  </si>
  <si>
    <t>Institutions sans but lucratif au service des ménages (ISBL)</t>
  </si>
  <si>
    <t>VENTILATION PAR AGENT ECONOMIQUE DES RESSOURCES COLLECTEES AUPRES DE LA CLIENTELE EN GNF</t>
  </si>
  <si>
    <t>REPARTITION DES CHARGES DE PERSONNEL ET NOMBRE D'EMPLOYES</t>
  </si>
  <si>
    <t>FINS_15</t>
  </si>
  <si>
    <t>RA2_1090</t>
  </si>
  <si>
    <t>RL3_0320</t>
  </si>
  <si>
    <t>RL3_0330</t>
  </si>
  <si>
    <t>RL3_0340</t>
  </si>
  <si>
    <t>RL3_0250</t>
  </si>
  <si>
    <t>RL3_0260</t>
  </si>
  <si>
    <t>RL3_0270</t>
  </si>
  <si>
    <t>RL3_0280</t>
  </si>
  <si>
    <t>RL3_0290</t>
  </si>
  <si>
    <t>RL3_0300</t>
  </si>
  <si>
    <t>RL3_0310</t>
  </si>
  <si>
    <t>RL3_0350</t>
  </si>
  <si>
    <t>RL3_0360</t>
  </si>
  <si>
    <t>RL3_0370</t>
  </si>
  <si>
    <t>RA1_0520</t>
  </si>
  <si>
    <t>4. Total Charges de personnel</t>
  </si>
  <si>
    <t>RL5_0140</t>
  </si>
  <si>
    <t>RL5_0150</t>
  </si>
  <si>
    <t>RL5_0160</t>
  </si>
  <si>
    <t>RA1_0540</t>
  </si>
  <si>
    <t>RA1_0560</t>
  </si>
  <si>
    <t>TT0_0010</t>
  </si>
  <si>
    <t>TT0_0130</t>
  </si>
  <si>
    <t>TT0_0140</t>
  </si>
  <si>
    <t>Autres intermédiaires financiers</t>
  </si>
  <si>
    <t>2.1. Titres de créances négociables</t>
  </si>
  <si>
    <t>COMPTE DE RESULTAT</t>
  </si>
  <si>
    <t>Expositions en souffrance</t>
  </si>
  <si>
    <t>3.1. A durée déterminée</t>
  </si>
  <si>
    <t>NATURE DES PROVISIONS</t>
  </si>
  <si>
    <t>2.1. Provision sur créances Impayées</t>
  </si>
  <si>
    <t>2.2. Provision sur créances restructurées</t>
  </si>
  <si>
    <t>RA2_0360</t>
  </si>
  <si>
    <t>RA2_0390</t>
  </si>
  <si>
    <t>RA3_0750</t>
  </si>
  <si>
    <t>RA3_0760</t>
  </si>
  <si>
    <t>RA3_0770</t>
  </si>
  <si>
    <t>RA3_0780</t>
  </si>
  <si>
    <t>RA3_0840</t>
  </si>
  <si>
    <t>RA3_0850</t>
  </si>
  <si>
    <t>RA3_0860</t>
  </si>
  <si>
    <t>RA3_0870</t>
  </si>
  <si>
    <t>RL5_0200</t>
  </si>
  <si>
    <t>RL5_0210</t>
  </si>
  <si>
    <t>RL5_0220</t>
  </si>
  <si>
    <t>RL5_0230</t>
  </si>
  <si>
    <t>RL5_0080</t>
  </si>
  <si>
    <t>VENTILATION DES TITRES DETENUS PAR LES ETABLISSEMENTS DE CREDIT ET ASSIMILES EN GNF</t>
  </si>
  <si>
    <t>VENTILATION DES TITRES DETENUS PAR LES ETABLISSEMENTS AUTRES QUE LES ETABLISSEMENTS DE CREDIT ET ASSIMILES EN GNF</t>
  </si>
  <si>
    <t>ISBL*</t>
  </si>
  <si>
    <t>*Institutions sans but lucrative au service des ménages (ISBL) / Administration de Sécurité Sociale (ASS)</t>
  </si>
  <si>
    <t>11. Dotations nettes aux provisions pour risques et charges et aux provisions réglementées</t>
  </si>
  <si>
    <t>RC6_0740</t>
  </si>
  <si>
    <t>13. Produits exceptionnels</t>
  </si>
  <si>
    <t>14. Charges exceptionnelles</t>
  </si>
  <si>
    <t>12. RESULTAT COURANT AVANT IMPOTS = 8 - 9 + 10 -11</t>
  </si>
  <si>
    <t>15. RESULTAT EXCEPTIONNEL = 13 - 14</t>
  </si>
  <si>
    <t>11.1. Dotations aux provisions pour risques et charges (+)</t>
  </si>
  <si>
    <t>11.2. Reprises de provisions pour risques et charges (-)</t>
  </si>
  <si>
    <t>11.3. Dotations aux provisions réglementées (+)</t>
  </si>
  <si>
    <t>11.4. Reprises de provisions réglementées (-)</t>
  </si>
  <si>
    <t>11.5. Dotation au fonds pour risques bancaires généraux (+)</t>
  </si>
  <si>
    <t>11.6. Reprise du fonds pour risques bancaires généraux (-)</t>
  </si>
  <si>
    <t>RN0_3500</t>
  </si>
  <si>
    <t>RN0_3510</t>
  </si>
  <si>
    <t>RN0_3520</t>
  </si>
  <si>
    <t>---_----</t>
  </si>
  <si>
    <t>RN0_3600</t>
  </si>
  <si>
    <t>RN0_3610</t>
  </si>
  <si>
    <t>RN0_3620</t>
  </si>
  <si>
    <t>RN0_3630</t>
  </si>
  <si>
    <t>RN0_3710</t>
  </si>
  <si>
    <t>RN0_3720</t>
  </si>
  <si>
    <t>RN0_3730</t>
  </si>
  <si>
    <t>RN0_3740</t>
  </si>
  <si>
    <t>RN0_3820</t>
  </si>
  <si>
    <t>RN0_3830</t>
  </si>
  <si>
    <t>RN0_3840</t>
  </si>
  <si>
    <t>RN0_3850</t>
  </si>
  <si>
    <t>RN0_3930</t>
  </si>
  <si>
    <t>FINS_16</t>
  </si>
  <si>
    <t>FINS_17</t>
  </si>
  <si>
    <t>1. Avances au personnel</t>
  </si>
  <si>
    <t>6. DEBITEURS DIVERS</t>
  </si>
  <si>
    <t>7. Dettes fiscales &amp; sociales</t>
  </si>
  <si>
    <t>8. Dettes sur le personnel</t>
  </si>
  <si>
    <t>9. Dividendes à payer</t>
  </si>
  <si>
    <t>10. Autres créditeurs divers</t>
  </si>
  <si>
    <t>11. CREDITEURS DIVERS</t>
  </si>
  <si>
    <t xml:space="preserve"> </t>
  </si>
  <si>
    <t>2.2. Créances restructurées ou rééchelonnées</t>
  </si>
  <si>
    <t>2.3. Autres créances en souffrance</t>
  </si>
  <si>
    <t xml:space="preserve">2.3. Provision sur créances en souffrance </t>
  </si>
  <si>
    <t xml:space="preserve">2.4. Provision sur Intérêts échus, non payés (brut-provision) </t>
  </si>
  <si>
    <t>AGENCES Ou CAISSES</t>
  </si>
  <si>
    <t>GENRE ou CAISSES</t>
  </si>
  <si>
    <t>Nombre</t>
  </si>
  <si>
    <t>Capital restant dû</t>
  </si>
  <si>
    <t>FINS_18</t>
  </si>
  <si>
    <t xml:space="preserve">7.3. Dotations aux provisions sur autres créances en souffrance </t>
  </si>
  <si>
    <t xml:space="preserve">30-89 jours </t>
  </si>
  <si>
    <t>90-179</t>
  </si>
  <si>
    <t>180-359</t>
  </si>
  <si>
    <t>360-719</t>
  </si>
  <si>
    <t>&gt;=720 jours</t>
  </si>
  <si>
    <t>90-179 jours</t>
  </si>
  <si>
    <t>180-359 jours</t>
  </si>
  <si>
    <t>360-719 jours</t>
  </si>
  <si>
    <t>INSTITUTION</t>
  </si>
  <si>
    <t>INSTITUTION :</t>
  </si>
  <si>
    <t>VENTILATION SECTORIELLE DES CREDITS EN SOUFFRANCE</t>
  </si>
  <si>
    <t>INSTITUTION:</t>
  </si>
  <si>
    <t>1.5. Produits sur opérations hors bilan</t>
  </si>
  <si>
    <t>&lt;30 jours</t>
  </si>
  <si>
    <t>&lt; 30 jours</t>
  </si>
  <si>
    <t>1. Crédits sains</t>
  </si>
  <si>
    <t>N° Compte</t>
  </si>
  <si>
    <t>1.1. Produits Financiers liés au crédit et Placements</t>
  </si>
  <si>
    <t>1.1.1. Produits d’intérêts sur opérations avec la clientèle</t>
  </si>
  <si>
    <t>1.1.2. Produits d’intérêts les dépôts auprès du secteur financier</t>
  </si>
  <si>
    <t>1.1.3. Produits financiers liés placements</t>
  </si>
  <si>
    <t>1.2. Autres Produits financiers</t>
  </si>
  <si>
    <t>1.2.1. Frais d'adhésion</t>
  </si>
  <si>
    <t>1.2.2. Frais d'ouverture de compte</t>
  </si>
  <si>
    <t>1.2.3. Frais de dépôt ou de retrait</t>
  </si>
  <si>
    <t xml:space="preserve">1.2.4. Frais de paiement ou de retrait </t>
  </si>
  <si>
    <t>1.2.5. Pénalités de retard</t>
  </si>
  <si>
    <t>1.2.6. Remplacement de carnet ou de carte de paiement</t>
  </si>
  <si>
    <t>1.3. Produits liés à des comptes et opérations de monnaie électronique</t>
  </si>
  <si>
    <t>1.3.1. Frais d'ouverture de compte ou d'adhésion</t>
  </si>
  <si>
    <t>1.3.2. Commissions  de placement</t>
  </si>
  <si>
    <t>1.3.4. Frais de retrait</t>
  </si>
  <si>
    <t xml:space="preserve">1.3.3. Frais de chargement </t>
  </si>
  <si>
    <t>1.3.5. Frais de clôture</t>
  </si>
  <si>
    <t>1.3.6. Autres frais liés</t>
  </si>
  <si>
    <t>2.1.1. Charges d’intérêts sur dépôts et emprunts</t>
  </si>
  <si>
    <t>2.1.2. Autres charges financières</t>
  </si>
  <si>
    <t xml:space="preserve">7.8. Reprise de provisions sur intérêts courus, echus non payés </t>
  </si>
  <si>
    <t>7.5. Reprise de provisions sur créances impayées</t>
  </si>
  <si>
    <t>7.6. Reprise de provisions sur créances restructurées</t>
  </si>
  <si>
    <t>7.7. Reprise de provisions sur autres créances en souffrance</t>
  </si>
  <si>
    <t>1.2.6. Autres commissions</t>
  </si>
  <si>
    <t>%</t>
  </si>
  <si>
    <t>5= (1+3)</t>
  </si>
  <si>
    <t xml:space="preserve">5. Dividendes à recevoir  </t>
  </si>
  <si>
    <t>SOLDE</t>
  </si>
  <si>
    <t xml:space="preserve">2. Créances en souffrance </t>
  </si>
  <si>
    <t>1. Créances en souffrances sur opérations avec la clientèle</t>
  </si>
  <si>
    <t xml:space="preserve">2. Engagement hors bilan douteux </t>
  </si>
  <si>
    <t>N° compte 21</t>
  </si>
  <si>
    <t>N° compte 211</t>
  </si>
  <si>
    <t>N° compte 212</t>
  </si>
  <si>
    <t>N° compte 213</t>
  </si>
  <si>
    <t>N° 99</t>
  </si>
  <si>
    <t>N° compte 29</t>
  </si>
  <si>
    <t>N° compte 290</t>
  </si>
  <si>
    <t>N° compte 291</t>
  </si>
  <si>
    <t>N° compte 292</t>
  </si>
  <si>
    <t>N° Compte 291</t>
  </si>
  <si>
    <t>N° Compte 292</t>
  </si>
  <si>
    <t>N° Compte 293</t>
  </si>
  <si>
    <t>N° Compte 76210</t>
  </si>
  <si>
    <t>N° Compte 76211</t>
  </si>
  <si>
    <t>N° Compte 76212</t>
  </si>
  <si>
    <t>N° Compte 76213</t>
  </si>
  <si>
    <t>N° Compte 6621</t>
  </si>
  <si>
    <t>N° Compte 6622</t>
  </si>
  <si>
    <t>N° Compte 6623</t>
  </si>
  <si>
    <t>N° Compte 6624</t>
  </si>
  <si>
    <t>1.2. Créances restructurées ou rééchelonnées</t>
  </si>
  <si>
    <t>1.3. Autres créances en souffrance</t>
  </si>
  <si>
    <t>Total</t>
  </si>
  <si>
    <t>N° Compte 6625</t>
  </si>
  <si>
    <t>N°7622</t>
  </si>
  <si>
    <t>2. Ressources affectées</t>
  </si>
  <si>
    <t>2.5. Provisions pour Prêts et titres</t>
  </si>
  <si>
    <t>N° compte 19</t>
  </si>
  <si>
    <t>N°7620</t>
  </si>
  <si>
    <t>N° Compte 6620</t>
  </si>
  <si>
    <t>Somme compte (N° 39; 409;419;429;439;449)</t>
  </si>
  <si>
    <t>2.6. Total Provisions pour dépréciation</t>
  </si>
  <si>
    <t xml:space="preserve">1. TOTAL DES PRODUITS </t>
  </si>
  <si>
    <t>1.4. Autres produits non financiers</t>
  </si>
  <si>
    <t>1.4.1. Production immobilisée</t>
  </si>
  <si>
    <t xml:space="preserve">1.4.2. Produits divers </t>
  </si>
  <si>
    <t>1.4.3. Surplus de caisse</t>
  </si>
  <si>
    <t>1.4.4. Variation de stock</t>
  </si>
  <si>
    <t>1.5.1. Produits sur engagements de financement</t>
  </si>
  <si>
    <t>1.5.2. Produits sur engagements de garantie</t>
  </si>
  <si>
    <t>1.5.3. Produits sur autres engagements donnés</t>
  </si>
  <si>
    <t>1.6. Reprise sur amortissement et provisions</t>
  </si>
  <si>
    <t>1.6.1 Reprises d'amortissements des immobilisations</t>
  </si>
  <si>
    <t>1.6.2. Reprises de provisions</t>
  </si>
  <si>
    <t>1.7. Produits exceptionnels</t>
  </si>
  <si>
    <t>1.7.1 Produits de cession des éléments d'actif</t>
  </si>
  <si>
    <t>1.7.2. Quote part des subventions virées au compte de résultat</t>
  </si>
  <si>
    <t>1.7.3. Subventions d'exploitation</t>
  </si>
  <si>
    <t>1.7.4. Recouvrement de créances passées en pertes</t>
  </si>
  <si>
    <t xml:space="preserve">2. TOTAL DES CHARGES </t>
  </si>
  <si>
    <t>1.1.4. Produits sur engagements hors bilan</t>
  </si>
  <si>
    <t>2.1. Charges d’intérêts sur dépôts et emprunts</t>
  </si>
  <si>
    <t>2.3. Charges sur opérations hors bilan</t>
  </si>
  <si>
    <t>2.2. Autres charges financières</t>
  </si>
  <si>
    <t>2.4. Dotation aux provisions pour intérêt échus, non payés</t>
  </si>
  <si>
    <t>1.1.3. Produits financiers liés aux placements</t>
  </si>
  <si>
    <t xml:space="preserve">10. Sur immobilisations </t>
  </si>
  <si>
    <t>9. Sur immobilisations</t>
  </si>
  <si>
    <t>N° Compte 50</t>
  </si>
  <si>
    <t>2.1. Charges Financières</t>
  </si>
  <si>
    <t>2.2. Achats et services extérieurs</t>
  </si>
  <si>
    <t>2.9. Impôt sur le bénéfice (IS-25%)</t>
  </si>
  <si>
    <t>3. EXCEDENT OU DEFICIT  = (1) - (2)</t>
  </si>
  <si>
    <t>4. EXCEDENT OU DEFICIT BALANCE</t>
  </si>
  <si>
    <t>5. ECART EXCEDENT OU DEFICIT SUR LES DEUX SOLDES</t>
  </si>
  <si>
    <t>COMPTE DE RESULTAT PAR MARGE</t>
  </si>
  <si>
    <t>FINS_08_GNF</t>
  </si>
  <si>
    <t>FINS_09</t>
  </si>
  <si>
    <t>5. Compte de dépôts à terme</t>
  </si>
  <si>
    <t>3. Produits d'épargne</t>
  </si>
  <si>
    <t>4. Compte de dépôts garantie</t>
  </si>
  <si>
    <t>6. Autres dépôts</t>
  </si>
  <si>
    <t>7. Crédits sains</t>
  </si>
  <si>
    <t xml:space="preserve">17. Impôts sur le bénéfice </t>
  </si>
  <si>
    <t xml:space="preserve">16. RESULTAT NET AVANT IMPÔT = 12 + 15 </t>
  </si>
  <si>
    <t>18. RESULTAT NET = 16 - 17</t>
  </si>
  <si>
    <t>1.  Emprunts auprès du secteur financier</t>
  </si>
  <si>
    <t>1.1. Emprunts auprès du secteur financier</t>
  </si>
  <si>
    <t>IMMOBILISATIONS ET AMORTISSEMENTS</t>
  </si>
  <si>
    <t>2. Comptes de régularisation - passif</t>
  </si>
  <si>
    <t>2.1. Produits constates d'avance</t>
  </si>
  <si>
    <t>2.2. charges à payer</t>
  </si>
  <si>
    <t>2.3. Autres comptes de regularisation-passif</t>
  </si>
  <si>
    <t xml:space="preserve">2.4.. Comptes de liaison-passif </t>
  </si>
  <si>
    <t xml:space="preserve">1. Comptes de régularisation </t>
  </si>
  <si>
    <t xml:space="preserve">1.1. Charges constatées d’avance </t>
  </si>
  <si>
    <t>1.2. Produits à recevoir</t>
  </si>
  <si>
    <t>1.3. Charges à repartir sur plusieurs exercices</t>
  </si>
  <si>
    <t>1.4. Compte de liaison - actif</t>
  </si>
  <si>
    <t>3. TOTAL GENERAL</t>
  </si>
  <si>
    <t>1.1. Emprunt à court terme</t>
  </si>
  <si>
    <t>1.2. Emprunt à Moyen et Long terme</t>
  </si>
  <si>
    <t xml:space="preserve">DUREE RESIDUELLE DES RESSOURCES </t>
  </si>
  <si>
    <t>DUREE RESIDUELLE DES RESSOURCES</t>
  </si>
  <si>
    <t>2.2.1. Créances impayés</t>
  </si>
  <si>
    <t>2.2.2. Créances restructurées ou rééchelonnées</t>
  </si>
  <si>
    <t>2.2.3. Autres créances en souffrance</t>
  </si>
  <si>
    <t>RA2_0470</t>
  </si>
  <si>
    <t xml:space="preserve">TOTAL </t>
  </si>
  <si>
    <t>4. Compte de dépôts de garantie</t>
  </si>
  <si>
    <t>PROVISIONS REQUISES PAR LA BCRG</t>
  </si>
  <si>
    <t>FINS_12/AY33</t>
  </si>
  <si>
    <t>FINS_12/AY34</t>
  </si>
  <si>
    <t>FINS_12/AY35</t>
  </si>
  <si>
    <t>100%*COMPTE 214</t>
  </si>
  <si>
    <t>ECART DE PROVISIONS NON CONSTITUEES</t>
  </si>
  <si>
    <t>6 = 5 -4</t>
  </si>
  <si>
    <t>2.4. Intérêts échus, non payés</t>
  </si>
  <si>
    <t>N° compte 214</t>
  </si>
  <si>
    <t>N° compte 293</t>
  </si>
  <si>
    <t>COMPTE DE RESULTAT PAR</t>
  </si>
  <si>
    <t>COMPTE DE RESULTAT PAR MARGE BENEFICIAIRE</t>
  </si>
  <si>
    <t>PAYS</t>
  </si>
  <si>
    <t>DETERMINATION PROVISIONS SUR DES CREDITS EN SOUFFRANCE</t>
  </si>
  <si>
    <t>4. PRODUITS GENERAUX D'EXPLOITATION</t>
  </si>
  <si>
    <t>4.1. Autres produits non financiers</t>
  </si>
  <si>
    <t>4.1.1. Production immobilisée</t>
  </si>
  <si>
    <t xml:space="preserve">4.1.2. Produits divers </t>
  </si>
  <si>
    <t>4.1.3. Surplus de caisse</t>
  </si>
  <si>
    <t>4.1.4. Variation de stock</t>
  </si>
  <si>
    <t>4.2. Reprise sur amortissement et provisions</t>
  </si>
  <si>
    <t>4.2.1 Reprises d'amortissements des immobilisations</t>
  </si>
  <si>
    <t>4.2.2. Reprises de provisions</t>
  </si>
  <si>
    <t>4.2.2.1. Reprises provisions sur Prêts et titres</t>
  </si>
  <si>
    <t>4.2.2.2. Reprises autres provisions pour dépréciation</t>
  </si>
  <si>
    <t>5. CHARGES GENERALES D'EXPLOITATION</t>
  </si>
  <si>
    <t>5.1. Achats &amp; services extérieurs</t>
  </si>
  <si>
    <t>5.1.1. Achats de fournitures</t>
  </si>
  <si>
    <t>5.1.2. Eau et électricité</t>
  </si>
  <si>
    <t>5.1.3. Locations</t>
  </si>
  <si>
    <t>5.1.4. Entretiens et reparations</t>
  </si>
  <si>
    <t>5.1.5. Primes d'assurance</t>
  </si>
  <si>
    <t>5.2. Autres services extérieurs</t>
  </si>
  <si>
    <t>5.2.1. Publicité et relations publiques</t>
  </si>
  <si>
    <t>5.2.2. Transport et déplacement</t>
  </si>
  <si>
    <t>5.2.3. Frais postaux et de télécommunications</t>
  </si>
  <si>
    <t>5.2.4. Services bancaires</t>
  </si>
  <si>
    <t>5.2.5. Frais de formations, d'éducation, d'études et de recherches</t>
  </si>
  <si>
    <t>5.2.6. Autres</t>
  </si>
  <si>
    <t>5.3. Impôts et Taxes</t>
  </si>
  <si>
    <t>5.3.1. Impôts et taxes locales</t>
  </si>
  <si>
    <t>5.3.2. Impôt sur</t>
  </si>
  <si>
    <t>5.3.3. Autres impôts et taxes</t>
  </si>
  <si>
    <t>5.4. Charge de personnel</t>
  </si>
  <si>
    <t>5.5. Autres charges</t>
  </si>
  <si>
    <t>5.4.1. Frais de personnel</t>
  </si>
  <si>
    <t>5.4.2. charges sociales</t>
  </si>
  <si>
    <t>5.5.1. Remboursement de frais</t>
  </si>
  <si>
    <t>5.5.2. charges diverses</t>
  </si>
  <si>
    <t>5.6. Dotations aux amortissements et provisions</t>
  </si>
  <si>
    <t>5.6.1. Dotations aux amortissements des immobilisations</t>
  </si>
  <si>
    <t>5.6.2. Dotations aux provisions</t>
  </si>
  <si>
    <t>5.6.2.1. Dotations provisions pour Prêts et titres</t>
  </si>
  <si>
    <t>5.6.2.2. Dotations autres provisions pour dépréciation</t>
  </si>
  <si>
    <t>SOLDE (N)</t>
  </si>
  <si>
    <t>1.1. Dépôts à vue</t>
  </si>
  <si>
    <t>1.2. Produits d'Epargne reglementée</t>
  </si>
  <si>
    <t>1.3. Dépôts de garantie reçus</t>
  </si>
  <si>
    <t>1.4. Dépôts à terme souscrits par la clientèle</t>
  </si>
  <si>
    <t>1.5. Autres dépôts</t>
  </si>
  <si>
    <t>1.6. Comptes de Monnaie électronique (à vue)</t>
  </si>
  <si>
    <t>2. TOTAL</t>
  </si>
  <si>
    <t>1.1.1. Très court terme</t>
  </si>
  <si>
    <t xml:space="preserve">1.2. Crédits à moyen terme </t>
  </si>
  <si>
    <t>1.3. Crédits à long terme</t>
  </si>
  <si>
    <t>1.1. Crédits à court terme</t>
  </si>
  <si>
    <t>VENTILATION SECTORIELLE DE L'ENCOURS DES CREDITS</t>
  </si>
  <si>
    <t>1. Agriculture</t>
  </si>
  <si>
    <t>2.Travaux publics Bâtiments</t>
  </si>
  <si>
    <t>3. Commerce</t>
  </si>
  <si>
    <t>4. Industrie</t>
  </si>
  <si>
    <t>5. Transport</t>
  </si>
  <si>
    <t>6. Elevage</t>
  </si>
  <si>
    <t>7. Restauration &amp; Hôtellerie</t>
  </si>
  <si>
    <t>8. Artisanat</t>
  </si>
  <si>
    <t>9. Communication</t>
  </si>
  <si>
    <t>10. Pêche</t>
  </si>
  <si>
    <t>11. Autres</t>
  </si>
  <si>
    <t xml:space="preserve">12. TOTAL ENGAGEMENTS </t>
  </si>
  <si>
    <t xml:space="preserve">2. Autres débiteurs divers </t>
  </si>
  <si>
    <t>3. Autres créances en souffrance</t>
  </si>
  <si>
    <t xml:space="preserve">4. Capital souscrit, non libéré des associés  </t>
  </si>
  <si>
    <t>1.1.2.  Autres court terme</t>
  </si>
  <si>
    <t>2.3. Autres services extérieurs</t>
  </si>
  <si>
    <t>2.4. Impôts et Taxes</t>
  </si>
  <si>
    <t>2.5. Charge de personnel</t>
  </si>
  <si>
    <t>2.6. Autres charges</t>
  </si>
  <si>
    <t>2.7. Dotations aux amortissements et provisions</t>
  </si>
  <si>
    <t>2.8. Charges exceptionnelles</t>
  </si>
  <si>
    <t>2.2.1. Achats de fournitures</t>
  </si>
  <si>
    <t>2.2.2. Eau et électricité</t>
  </si>
  <si>
    <t>2.2.3. Locations</t>
  </si>
  <si>
    <t>2.2.4. Entretiens et reparations</t>
  </si>
  <si>
    <t>2.2.5. Primes d'assurance</t>
  </si>
  <si>
    <t>2.3.1. Publicité et relations publiques</t>
  </si>
  <si>
    <t>2.3.2. Transport et déplacement</t>
  </si>
  <si>
    <t>2.3.3. Frais postaux et de télécommunications</t>
  </si>
  <si>
    <t>2.3.4. Services bancaires</t>
  </si>
  <si>
    <t>2.3.5. Frais de formations, d'éducation, d'études et de recherches</t>
  </si>
  <si>
    <t>2.3.6. Autres</t>
  </si>
  <si>
    <t>2.4.1. Impôts et taxes locales</t>
  </si>
  <si>
    <t>2.4.2. Impôt sur</t>
  </si>
  <si>
    <t>2.4.3. Autres impôts et taxes</t>
  </si>
  <si>
    <t>2.5.1. Frais de personnel</t>
  </si>
  <si>
    <t>2.5.2. charges sociales</t>
  </si>
  <si>
    <t>2.6.1. Remboursement de frais</t>
  </si>
  <si>
    <t>2.6.2. charges diverses</t>
  </si>
  <si>
    <t>2.6.2. Pertes sur portefeuille de crédit</t>
  </si>
  <si>
    <t xml:space="preserve">2.7.1. Dotations aux amortissements </t>
  </si>
  <si>
    <t>2.7.2. Dotations aux provisions</t>
  </si>
  <si>
    <t>2.8.1. Valeur comptable des élémements d'actif cédés</t>
  </si>
  <si>
    <t>2.8.2. Autres charges exceptionnelles</t>
  </si>
  <si>
    <t>1.2.7. Autres commissions</t>
  </si>
  <si>
    <t>1-6 Mois</t>
  </si>
  <si>
    <t xml:space="preserve">7-12 Mois </t>
  </si>
  <si>
    <t xml:space="preserve">&gt; 61 Mois </t>
  </si>
  <si>
    <t>13-60 Mois</t>
  </si>
  <si>
    <t>5. Créances en souffrances sur opérations avec la clientèle</t>
  </si>
  <si>
    <t>5.1. Créances Impayées</t>
  </si>
  <si>
    <t>5.2. Créances restructurées ou rééchelonnées</t>
  </si>
  <si>
    <t>5.3. Autres créances en souffrance</t>
  </si>
  <si>
    <t xml:space="preserve">6. Engagement hors bilan douteux </t>
  </si>
  <si>
    <t>7. TOTAL</t>
  </si>
  <si>
    <t>3. TOTAL DES ENGAGEMENTS EN SOUFFRANCE</t>
  </si>
  <si>
    <t>A JOUR</t>
  </si>
  <si>
    <t>Retards de 1-29 JOURS</t>
  </si>
  <si>
    <t>Retards de 30-89 JOURS</t>
  </si>
  <si>
    <t>Retards de 90-179 JOURS</t>
  </si>
  <si>
    <t>Retards de 180-359 JOURS</t>
  </si>
  <si>
    <t>Retards de 360-719 JOURS</t>
  </si>
  <si>
    <t>Retards de plus de 720 JOURS</t>
  </si>
  <si>
    <t>NOMBRE DE CREDITS</t>
  </si>
  <si>
    <t>SOLDE EN GNF</t>
  </si>
  <si>
    <t>N°</t>
  </si>
  <si>
    <t>Montant Par tranche du PAR</t>
  </si>
  <si>
    <t>PORTEFEUILLE A RISQUE (PAR)</t>
  </si>
  <si>
    <t>4. Nombre d'engagements hors bilan douteux</t>
  </si>
  <si>
    <t>FINS_01</t>
  </si>
  <si>
    <t>FINS_02</t>
  </si>
  <si>
    <t>Taux du PAR en %</t>
  </si>
  <si>
    <t>30 jours de retard et plus</t>
  </si>
  <si>
    <t>1 jour  de retard et plus</t>
  </si>
  <si>
    <t>90 jours de retard et plus</t>
  </si>
  <si>
    <t>N°CODE</t>
  </si>
  <si>
    <t xml:space="preserve">BALANCE AGEE DU PORTEFEUILLE DES CREDITS </t>
  </si>
  <si>
    <t>RL2_0150</t>
  </si>
  <si>
    <t>RL2_0160</t>
  </si>
  <si>
    <t>RA2_0510</t>
  </si>
  <si>
    <t>RA2_0520</t>
  </si>
  <si>
    <t>RA2_0530</t>
  </si>
  <si>
    <t>RA2_0540</t>
  </si>
  <si>
    <t>RA2_0550</t>
  </si>
  <si>
    <t>RA2_0420</t>
  </si>
  <si>
    <t>RN0_0010</t>
  </si>
  <si>
    <t>RN0_0020</t>
  </si>
  <si>
    <t>RN0_0030</t>
  </si>
  <si>
    <t>RN0_0040</t>
  </si>
  <si>
    <t>RN0_0050</t>
  </si>
  <si>
    <t>RN0_0060</t>
  </si>
  <si>
    <t>RN0_0070</t>
  </si>
  <si>
    <t>RN0_0080</t>
  </si>
  <si>
    <t>RN0_0090</t>
  </si>
  <si>
    <t>RN0_0100</t>
  </si>
  <si>
    <t>RA2_1110</t>
  </si>
  <si>
    <t>RN0_0140</t>
  </si>
  <si>
    <t>RN0_0150</t>
  </si>
  <si>
    <t>RN0_0160</t>
  </si>
  <si>
    <t>RN0_0170</t>
  </si>
  <si>
    <t>RN0_0180</t>
  </si>
  <si>
    <t>RN0_0190</t>
  </si>
  <si>
    <t>RN0_0200</t>
  </si>
  <si>
    <t>RN0_0210</t>
  </si>
  <si>
    <t>RN0_0220</t>
  </si>
  <si>
    <t>RN0_0230</t>
  </si>
  <si>
    <t>TT0_0060</t>
  </si>
  <si>
    <t>RA3_0810</t>
  </si>
  <si>
    <t>RA3_0830</t>
  </si>
  <si>
    <t>RA3_0880</t>
  </si>
  <si>
    <t>RL3_0380</t>
  </si>
  <si>
    <t>RL3_0390</t>
  </si>
  <si>
    <t>RC6_0481</t>
  </si>
  <si>
    <t>RC6_0540</t>
  </si>
  <si>
    <t>RC6_0550</t>
  </si>
  <si>
    <t>RP7_0060</t>
  </si>
  <si>
    <t>RP7_0161</t>
  </si>
  <si>
    <t>RC6_0301</t>
  </si>
  <si>
    <t>RP7_0421</t>
  </si>
  <si>
    <t>RP7_0422</t>
  </si>
  <si>
    <t>RC6_0531</t>
  </si>
  <si>
    <t>RC6_0532</t>
  </si>
  <si>
    <t>RC6_0533</t>
  </si>
  <si>
    <t>RC6_0534</t>
  </si>
  <si>
    <t>RC6_0535</t>
  </si>
  <si>
    <t>RL5_0231</t>
  </si>
  <si>
    <t>RA4_0350</t>
  </si>
  <si>
    <t>RA4_0370</t>
  </si>
  <si>
    <t>RA4_0410</t>
  </si>
  <si>
    <t>RA2_0450</t>
  </si>
  <si>
    <t>RA2_0480</t>
  </si>
  <si>
    <t>RA1_0580</t>
  </si>
  <si>
    <t>RN0_4040</t>
  </si>
  <si>
    <t>RN0_4050</t>
  </si>
  <si>
    <t>RN0_4060</t>
  </si>
  <si>
    <t>RN0_4070</t>
  </si>
  <si>
    <t>RN0_4080</t>
  </si>
  <si>
    <t>RN0_4090</t>
  </si>
  <si>
    <t>RN0_4100</t>
  </si>
  <si>
    <t>TT0_4190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</si>
</sst>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_);_(* \(#,##0.00\);_(* &quot;-&quot;??_);_(@_)"/>
    <numFmt numFmtId="165" formatCode="[$-40C]dddd\ d\ mmmm\ yyyy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8"/>
      <color rgb="FF7030A0"/>
      <name val="Arial"/>
      <family val="2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7030A0"/>
      <name val="Calibri"/>
      <family val="2"/>
      <scheme val="minor"/>
    </font>
    <font>
      <sz val="8"/>
      <color rgb="FF7030A0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theme="3" tint="-0.499984740745262"/>
      <name val="Calibri"/>
      <family val="2"/>
      <scheme val="minor"/>
    </font>
    <font>
      <b/>
      <sz val="10"/>
      <name val="Calibri"/>
    </font>
    <font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7030A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3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11" xfId="0" applyFont="1" applyBorder="1"/>
    <xf numFmtId="0" fontId="4" fillId="0" borderId="0" xfId="0" applyFont="1" applyAlignment="1">
      <alignment vertical="center"/>
    </xf>
    <xf numFmtId="0" fontId="9" fillId="0" borderId="0" xfId="0" applyFont="1"/>
    <xf numFmtId="0" fontId="2" fillId="0" borderId="17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6" fontId="5" fillId="0" borderId="3" xfId="9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10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/>
    <xf numFmtId="0" fontId="13" fillId="0" borderId="5" xfId="0" applyFont="1" applyBorder="1"/>
    <xf numFmtId="0" fontId="13" fillId="0" borderId="6" xfId="0" applyFont="1" applyBorder="1"/>
    <xf numFmtId="0" fontId="13" fillId="0" borderId="10" xfId="0" applyFont="1" applyBorder="1"/>
    <xf numFmtId="0" fontId="13" fillId="0" borderId="0" xfId="0" applyFont="1"/>
    <xf numFmtId="0" fontId="13" fillId="0" borderId="1" xfId="0" applyFont="1" applyBorder="1"/>
    <xf numFmtId="0" fontId="13" fillId="3" borderId="12" xfId="0" applyFont="1" applyFill="1" applyBorder="1" applyAlignment="1">
      <alignment horizontal="center"/>
    </xf>
    <xf numFmtId="0" fontId="13" fillId="0" borderId="7" xfId="0" applyFont="1" applyBorder="1"/>
    <xf numFmtId="0" fontId="13" fillId="0" borderId="8" xfId="0" applyFont="1" applyBorder="1"/>
    <xf numFmtId="0" fontId="13" fillId="0" borderId="11" xfId="0" applyFont="1" applyBorder="1"/>
    <xf numFmtId="0" fontId="13" fillId="3" borderId="15" xfId="0" applyFont="1" applyFill="1" applyBorder="1"/>
    <xf numFmtId="0" fontId="13" fillId="3" borderId="16" xfId="0" applyFont="1" applyFill="1" applyBorder="1"/>
    <xf numFmtId="0" fontId="13" fillId="0" borderId="13" xfId="0" applyFont="1" applyBorder="1" applyAlignment="1">
      <alignment horizontal="center"/>
    </xf>
    <xf numFmtId="0" fontId="13" fillId="0" borderId="1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indent="2"/>
    </xf>
    <xf numFmtId="0" fontId="11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0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/>
    </xf>
    <xf numFmtId="49" fontId="13" fillId="0" borderId="10" xfId="0" applyNumberFormat="1" applyFont="1" applyBorder="1" applyAlignment="1">
      <alignment horizontal="left" indent="2"/>
    </xf>
    <xf numFmtId="49" fontId="13" fillId="0" borderId="0" xfId="0" applyNumberFormat="1" applyFont="1" applyAlignment="1">
      <alignment horizontal="left" indent="2"/>
    </xf>
    <xf numFmtId="49" fontId="13" fillId="0" borderId="1" xfId="0" applyNumberFormat="1" applyFont="1" applyBorder="1" applyAlignment="1">
      <alignment horizontal="left" indent="2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4" xfId="0" applyFont="1" applyBorder="1"/>
    <xf numFmtId="0" fontId="18" fillId="0" borderId="5" xfId="0" applyFont="1" applyBorder="1"/>
    <xf numFmtId="0" fontId="18" fillId="0" borderId="6" xfId="0" applyFont="1" applyBorder="1"/>
    <xf numFmtId="0" fontId="18" fillId="0" borderId="10" xfId="0" applyFont="1" applyBorder="1"/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1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166" fontId="5" fillId="0" borderId="10" xfId="9" applyNumberFormat="1" applyFont="1" applyBorder="1" applyAlignment="1">
      <alignment horizontal="center" vertical="center"/>
    </xf>
    <xf numFmtId="166" fontId="5" fillId="0" borderId="0" xfId="9" applyNumberFormat="1" applyFont="1" applyAlignment="1">
      <alignment horizontal="center" vertical="center"/>
    </xf>
    <xf numFmtId="166" fontId="5" fillId="0" borderId="1" xfId="9" applyNumberFormat="1" applyFont="1" applyBorder="1" applyAlignment="1">
      <alignment horizontal="center" vertical="center"/>
    </xf>
    <xf numFmtId="166" fontId="5" fillId="0" borderId="9" xfId="9" applyNumberFormat="1" applyFont="1" applyBorder="1" applyAlignment="1">
      <alignment horizontal="center" vertical="center"/>
    </xf>
    <xf numFmtId="166" fontId="5" fillId="0" borderId="2" xfId="9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13" fillId="0" borderId="10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" fillId="0" borderId="25" xfId="0" applyFont="1" applyBorder="1" applyAlignment="1">
      <alignment vertical="center"/>
    </xf>
    <xf numFmtId="0" fontId="17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5" fillId="2" borderId="9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3" fillId="7" borderId="26" xfId="0" applyFont="1" applyFill="1" applyBorder="1" applyAlignment="1">
      <alignment horizontal="center" vertical="center"/>
    </xf>
    <xf numFmtId="166" fontId="5" fillId="0" borderId="23" xfId="9" applyNumberFormat="1" applyFont="1" applyBorder="1" applyAlignment="1">
      <alignment horizontal="center" vertical="center"/>
    </xf>
    <xf numFmtId="0" fontId="12" fillId="7" borderId="25" xfId="0" applyFont="1" applyFill="1" applyBorder="1" applyAlignment="1">
      <alignment horizontal="left" vertical="center"/>
    </xf>
    <xf numFmtId="49" fontId="8" fillId="7" borderId="25" xfId="0" applyNumberFormat="1" applyFont="1" applyFill="1" applyBorder="1" applyAlignment="1">
      <alignment horizontal="left" vertical="center" indent="1"/>
    </xf>
    <xf numFmtId="49" fontId="8" fillId="7" borderId="26" xfId="0" applyNumberFormat="1" applyFont="1" applyFill="1" applyBorder="1" applyAlignment="1">
      <alignment horizontal="left" vertical="center" wrapText="1" indent="1"/>
    </xf>
    <xf numFmtId="0" fontId="2" fillId="0" borderId="23" xfId="0" applyFont="1" applyBorder="1" applyAlignment="1">
      <alignment vertical="center"/>
    </xf>
    <xf numFmtId="0" fontId="12" fillId="8" borderId="26" xfId="0" applyFont="1" applyFill="1" applyBorder="1" applyAlignment="1">
      <alignment horizontal="left" vertical="center"/>
    </xf>
    <xf numFmtId="0" fontId="12" fillId="7" borderId="23" xfId="0" applyFont="1" applyFill="1" applyBorder="1" applyAlignment="1">
      <alignment horizontal="left" vertical="center"/>
    </xf>
    <xf numFmtId="0" fontId="13" fillId="7" borderId="0" xfId="0" applyFont="1" applyFill="1" applyAlignment="1">
      <alignment horizontal="center"/>
    </xf>
    <xf numFmtId="0" fontId="5" fillId="7" borderId="23" xfId="0" applyFont="1" applyFill="1" applyBorder="1" applyAlignment="1">
      <alignment horizontal="left" vertical="center"/>
    </xf>
    <xf numFmtId="0" fontId="5" fillId="7" borderId="25" xfId="0" applyFont="1" applyFill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6" fontId="13" fillId="0" borderId="10" xfId="9" applyNumberFormat="1" applyFont="1" applyBorder="1" applyAlignment="1">
      <alignment horizontal="center" vertical="center"/>
    </xf>
    <xf numFmtId="166" fontId="13" fillId="0" borderId="0" xfId="9" applyNumberFormat="1" applyFont="1" applyAlignment="1">
      <alignment horizontal="center" vertical="center"/>
    </xf>
    <xf numFmtId="166" fontId="13" fillId="0" borderId="1" xfId="9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3" xfId="0" applyFont="1" applyBorder="1" applyAlignment="1">
      <alignment horizontal="center"/>
    </xf>
    <xf numFmtId="166" fontId="5" fillId="0" borderId="9" xfId="9" applyNumberFormat="1" applyFont="1" applyBorder="1" applyAlignment="1">
      <alignment horizontal="center" vertical="center"/>
    </xf>
    <xf numFmtId="166" fontId="5" fillId="0" borderId="3" xfId="9" applyNumberFormat="1" applyFont="1" applyBorder="1" applyAlignment="1">
      <alignment horizontal="center" vertical="center"/>
    </xf>
    <xf numFmtId="166" fontId="5" fillId="0" borderId="2" xfId="9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left"/>
    </xf>
    <xf numFmtId="0" fontId="13" fillId="0" borderId="0" xfId="0" applyFont="1" applyAlignment="1">
      <alignment horizontal="left"/>
    </xf>
    <xf numFmtId="166" fontId="13" fillId="0" borderId="10" xfId="9" applyNumberFormat="1" applyFont="1" applyBorder="1" applyAlignment="1">
      <alignment horizontal="center"/>
    </xf>
    <xf numFmtId="166" fontId="13" fillId="0" borderId="0" xfId="9" applyNumberFormat="1" applyFont="1" applyBorder="1" applyAlignment="1">
      <alignment horizontal="center"/>
    </xf>
    <xf numFmtId="166" fontId="13" fillId="0" borderId="1" xfId="9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1" fillId="9" borderId="27" xfId="0" applyFont="1" applyFill="1" applyBorder="1" applyAlignment="1">
      <alignment horizontal="left" vertical="center" wrapText="1"/>
    </xf>
    <xf numFmtId="0" fontId="0" fillId="0" borderId="0" xfId="0"/>
    <xf numFmtId="0" fontId="0" fillId="0" borderId="28" xfId="0" applyBorder="1"/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9" borderId="27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6" fontId="13" fillId="0" borderId="0" xfId="9" applyNumberFormat="1" applyFont="1" applyBorder="1" applyAlignment="1">
      <alignment horizontal="center" vertical="center"/>
    </xf>
    <xf numFmtId="166" fontId="13" fillId="0" borderId="7" xfId="9" applyNumberFormat="1" applyFont="1" applyBorder="1" applyAlignment="1">
      <alignment horizontal="center" vertical="center"/>
    </xf>
    <xf numFmtId="166" fontId="13" fillId="0" borderId="8" xfId="9" applyNumberFormat="1" applyFont="1" applyBorder="1" applyAlignment="1">
      <alignment horizontal="center" vertical="center"/>
    </xf>
    <xf numFmtId="166" fontId="13" fillId="0" borderId="11" xfId="9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left" vertical="center" wrapText="1" indent="1"/>
    </xf>
    <xf numFmtId="49" fontId="8" fillId="0" borderId="0" xfId="0" applyNumberFormat="1" applyFont="1" applyAlignment="1">
      <alignment horizontal="left" vertical="center" wrapText="1" indent="1"/>
    </xf>
    <xf numFmtId="166" fontId="5" fillId="2" borderId="4" xfId="9" applyNumberFormat="1" applyFont="1" applyFill="1" applyBorder="1" applyAlignment="1">
      <alignment horizontal="center" vertical="center"/>
    </xf>
    <xf numFmtId="166" fontId="5" fillId="2" borderId="5" xfId="9" applyNumberFormat="1" applyFont="1" applyFill="1" applyBorder="1" applyAlignment="1">
      <alignment horizontal="center" vertical="center"/>
    </xf>
    <xf numFmtId="166" fontId="5" fillId="2" borderId="6" xfId="9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43" fontId="5" fillId="2" borderId="4" xfId="9" applyFont="1" applyFill="1" applyBorder="1" applyAlignment="1">
      <alignment horizontal="center" vertical="center"/>
    </xf>
    <xf numFmtId="43" fontId="5" fillId="2" borderId="5" xfId="9" applyFont="1" applyFill="1" applyBorder="1" applyAlignment="1">
      <alignment horizontal="center" vertical="center"/>
    </xf>
    <xf numFmtId="43" fontId="5" fillId="2" borderId="6" xfId="9" applyFont="1" applyFill="1" applyBorder="1" applyAlignment="1">
      <alignment horizontal="center" vertical="center"/>
    </xf>
    <xf numFmtId="166" fontId="5" fillId="2" borderId="10" xfId="9" applyNumberFormat="1" applyFont="1" applyFill="1" applyBorder="1" applyAlignment="1">
      <alignment horizontal="center" vertical="center"/>
    </xf>
    <xf numFmtId="166" fontId="5" fillId="2" borderId="0" xfId="9" applyNumberFormat="1" applyFont="1" applyFill="1" applyBorder="1" applyAlignment="1">
      <alignment horizontal="center" vertical="center"/>
    </xf>
    <xf numFmtId="166" fontId="5" fillId="2" borderId="1" xfId="9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5" borderId="10" xfId="9" applyNumberFormat="1" applyFont="1" applyFill="1" applyBorder="1" applyAlignment="1">
      <alignment horizontal="center" vertical="center"/>
    </xf>
    <xf numFmtId="166" fontId="5" fillId="5" borderId="0" xfId="9" applyNumberFormat="1" applyFont="1" applyFill="1" applyBorder="1" applyAlignment="1">
      <alignment horizontal="center" vertical="center"/>
    </xf>
    <xf numFmtId="166" fontId="5" fillId="5" borderId="1" xfId="9" applyNumberFormat="1" applyFont="1" applyFill="1" applyBorder="1" applyAlignment="1">
      <alignment horizontal="center" vertical="center"/>
    </xf>
    <xf numFmtId="166" fontId="13" fillId="2" borderId="10" xfId="9" applyNumberFormat="1" applyFont="1" applyFill="1" applyBorder="1" applyAlignment="1">
      <alignment horizontal="center" vertical="center"/>
    </xf>
    <xf numFmtId="166" fontId="13" fillId="2" borderId="0" xfId="9" applyNumberFormat="1" applyFont="1" applyFill="1" applyBorder="1" applyAlignment="1">
      <alignment horizontal="center" vertical="center"/>
    </xf>
    <xf numFmtId="166" fontId="13" fillId="2" borderId="1" xfId="9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13" fillId="0" borderId="5" xfId="0" applyFont="1" applyBorder="1" applyAlignment="1">
      <alignment horizontal="center" vertical="center"/>
    </xf>
    <xf numFmtId="43" fontId="5" fillId="2" borderId="10" xfId="9" applyFont="1" applyFill="1" applyBorder="1" applyAlignment="1">
      <alignment horizontal="center" vertical="center"/>
    </xf>
    <xf numFmtId="43" fontId="5" fillId="2" borderId="0" xfId="9" applyFont="1" applyFill="1" applyBorder="1" applyAlignment="1">
      <alignment horizontal="center" vertical="center"/>
    </xf>
    <xf numFmtId="43" fontId="5" fillId="2" borderId="1" xfId="9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  <xf numFmtId="9" fontId="13" fillId="0" borderId="10" xfId="10" applyFont="1" applyBorder="1" applyAlignment="1">
      <alignment horizontal="center" vertical="center"/>
    </xf>
    <xf numFmtId="9" fontId="13" fillId="0" borderId="0" xfId="10" applyFont="1" applyBorder="1" applyAlignment="1">
      <alignment horizontal="center" vertical="center"/>
    </xf>
    <xf numFmtId="9" fontId="13" fillId="0" borderId="1" xfId="10" applyFont="1" applyBorder="1" applyAlignment="1">
      <alignment horizontal="center" vertical="center"/>
    </xf>
    <xf numFmtId="9" fontId="13" fillId="0" borderId="7" xfId="10" applyFont="1" applyBorder="1" applyAlignment="1">
      <alignment horizontal="center" vertical="center"/>
    </xf>
    <xf numFmtId="9" fontId="13" fillId="0" borderId="8" xfId="10" applyFont="1" applyBorder="1" applyAlignment="1">
      <alignment horizontal="center" vertical="center"/>
    </xf>
    <xf numFmtId="9" fontId="13" fillId="0" borderId="11" xfId="10" applyFont="1" applyBorder="1" applyAlignment="1">
      <alignment horizontal="center" vertical="center"/>
    </xf>
    <xf numFmtId="9" fontId="5" fillId="0" borderId="9" xfId="10" applyFont="1" applyBorder="1" applyAlignment="1">
      <alignment horizontal="center" vertical="center"/>
    </xf>
    <xf numFmtId="9" fontId="5" fillId="0" borderId="3" xfId="10" applyFont="1" applyBorder="1" applyAlignment="1">
      <alignment horizontal="center" vertical="center"/>
    </xf>
    <xf numFmtId="9" fontId="5" fillId="0" borderId="2" xfId="10" applyFont="1" applyBorder="1" applyAlignment="1">
      <alignment horizontal="center" vertical="center"/>
    </xf>
    <xf numFmtId="166" fontId="13" fillId="0" borderId="10" xfId="0" applyNumberFormat="1" applyFont="1" applyBorder="1" applyAlignment="1">
      <alignment horizontal="center" vertical="center"/>
    </xf>
    <xf numFmtId="166" fontId="5" fillId="0" borderId="9" xfId="1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9" fontId="13" fillId="0" borderId="4" xfId="10" applyFont="1" applyBorder="1" applyAlignment="1">
      <alignment horizontal="center" vertical="center"/>
    </xf>
    <xf numFmtId="9" fontId="13" fillId="0" borderId="5" xfId="10" applyFont="1" applyBorder="1" applyAlignment="1">
      <alignment horizontal="center" vertical="center"/>
    </xf>
    <xf numFmtId="9" fontId="13" fillId="0" borderId="6" xfId="10" applyFont="1" applyBorder="1" applyAlignment="1">
      <alignment horizontal="center" vertical="center"/>
    </xf>
    <xf numFmtId="166" fontId="13" fillId="0" borderId="4" xfId="9" applyNumberFormat="1" applyFont="1" applyBorder="1" applyAlignment="1">
      <alignment horizontal="left" vertical="center"/>
    </xf>
    <xf numFmtId="166" fontId="13" fillId="0" borderId="5" xfId="9" applyNumberFormat="1" applyFont="1" applyBorder="1" applyAlignment="1">
      <alignment horizontal="left" vertical="center"/>
    </xf>
    <xf numFmtId="166" fontId="13" fillId="0" borderId="6" xfId="9" applyNumberFormat="1" applyFont="1" applyBorder="1" applyAlignment="1">
      <alignment horizontal="left" vertical="center"/>
    </xf>
    <xf numFmtId="166" fontId="5" fillId="0" borderId="9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20" fillId="9" borderId="29" xfId="0" applyFont="1" applyFill="1" applyBorder="1" applyAlignment="1">
      <alignment horizontal="left" vertical="center" wrapText="1"/>
    </xf>
    <xf numFmtId="0" fontId="0" fillId="0" borderId="30" xfId="0" applyBorder="1"/>
    <xf numFmtId="0" fontId="0" fillId="0" borderId="31" xfId="0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indent="2"/>
    </xf>
    <xf numFmtId="0" fontId="8" fillId="0" borderId="11" xfId="0" applyFont="1" applyBorder="1" applyAlignment="1">
      <alignment horizontal="left" vertical="center" indent="2"/>
    </xf>
    <xf numFmtId="0" fontId="11" fillId="0" borderId="10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 indent="2"/>
    </xf>
    <xf numFmtId="0" fontId="13" fillId="0" borderId="1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3" fillId="0" borderId="0" xfId="0" applyFont="1" applyAlignment="1">
      <alignment horizontal="left" indent="2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8" fillId="0" borderId="0" xfId="0" applyFont="1" applyAlignment="1">
      <alignment horizontal="left" indent="2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 wrapText="1" indent="2"/>
    </xf>
    <xf numFmtId="0" fontId="13" fillId="0" borderId="0" xfId="0" applyFont="1" applyAlignment="1">
      <alignment horizontal="left" vertical="center" wrapText="1" indent="2"/>
    </xf>
    <xf numFmtId="0" fontId="13" fillId="0" borderId="1" xfId="0" applyFont="1" applyBorder="1" applyAlignment="1">
      <alignment horizontal="left" vertical="center" wrapText="1" indent="2"/>
    </xf>
    <xf numFmtId="0" fontId="13" fillId="0" borderId="10" xfId="0" applyFont="1" applyBorder="1" applyAlignment="1">
      <alignment horizontal="left" vertical="center" indent="2"/>
    </xf>
    <xf numFmtId="0" fontId="13" fillId="2" borderId="0" xfId="0" applyFont="1" applyFill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49" fontId="13" fillId="0" borderId="10" xfId="0" applyNumberFormat="1" applyFont="1" applyBorder="1" applyAlignment="1">
      <alignment horizontal="left" vertical="center" indent="2"/>
    </xf>
    <xf numFmtId="49" fontId="13" fillId="0" borderId="0" xfId="0" applyNumberFormat="1" applyFont="1" applyAlignment="1">
      <alignment horizontal="left" vertical="center" indent="2"/>
    </xf>
    <xf numFmtId="49" fontId="13" fillId="0" borderId="1" xfId="0" applyNumberFormat="1" applyFont="1" applyBorder="1" applyAlignment="1">
      <alignment horizontal="left" vertical="center" indent="2"/>
    </xf>
    <xf numFmtId="0" fontId="5" fillId="4" borderId="9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9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3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3" fillId="0" borderId="1" xfId="0" applyFont="1" applyBorder="1" applyAlignment="1">
      <alignment horizontal="left" vertical="center" indent="1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2" borderId="9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66" fontId="5" fillId="2" borderId="9" xfId="9" applyNumberFormat="1" applyFont="1" applyFill="1" applyBorder="1" applyAlignment="1">
      <alignment horizontal="left" vertical="center"/>
    </xf>
    <xf numFmtId="166" fontId="5" fillId="2" borderId="3" xfId="9" applyNumberFormat="1" applyFont="1" applyFill="1" applyBorder="1" applyAlignment="1">
      <alignment horizontal="left" vertical="center"/>
    </xf>
    <xf numFmtId="166" fontId="5" fillId="2" borderId="2" xfId="9" applyNumberFormat="1" applyFont="1" applyFill="1" applyBorder="1" applyAlignment="1">
      <alignment horizontal="left" vertical="center"/>
    </xf>
    <xf numFmtId="166" fontId="13" fillId="2" borderId="9" xfId="9" applyNumberFormat="1" applyFont="1" applyFill="1" applyBorder="1" applyAlignment="1">
      <alignment horizontal="left" vertical="center"/>
    </xf>
    <xf numFmtId="166" fontId="13" fillId="2" borderId="3" xfId="9" applyNumberFormat="1" applyFont="1" applyFill="1" applyBorder="1" applyAlignment="1">
      <alignment horizontal="left" vertical="center"/>
    </xf>
    <xf numFmtId="166" fontId="13" fillId="2" borderId="2" xfId="9" applyNumberFormat="1" applyFont="1" applyFill="1" applyBorder="1" applyAlignment="1">
      <alignment horizontal="left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6" fontId="5" fillId="7" borderId="9" xfId="9" applyNumberFormat="1" applyFont="1" applyFill="1" applyBorder="1" applyAlignment="1">
      <alignment horizontal="center" vertical="center"/>
    </xf>
    <xf numFmtId="166" fontId="5" fillId="7" borderId="3" xfId="9" applyNumberFormat="1" applyFont="1" applyFill="1" applyBorder="1" applyAlignment="1">
      <alignment horizontal="center" vertical="center"/>
    </xf>
    <xf numFmtId="166" fontId="5" fillId="7" borderId="2" xfId="9" applyNumberFormat="1" applyFont="1" applyFill="1" applyBorder="1" applyAlignment="1">
      <alignment horizontal="center" vertical="center"/>
    </xf>
    <xf numFmtId="166" fontId="13" fillId="7" borderId="9" xfId="9" applyNumberFormat="1" applyFont="1" applyFill="1" applyBorder="1" applyAlignment="1">
      <alignment horizontal="left" vertical="center"/>
    </xf>
    <xf numFmtId="166" fontId="13" fillId="7" borderId="3" xfId="9" applyNumberFormat="1" applyFont="1" applyFill="1" applyBorder="1" applyAlignment="1">
      <alignment horizontal="left" vertical="center"/>
    </xf>
    <xf numFmtId="166" fontId="13" fillId="7" borderId="2" xfId="9" applyNumberFormat="1" applyFont="1" applyFill="1" applyBorder="1" applyAlignment="1">
      <alignment horizontal="left" vertical="center"/>
    </xf>
    <xf numFmtId="166" fontId="5" fillId="2" borderId="9" xfId="9" applyNumberFormat="1" applyFont="1" applyFill="1" applyBorder="1" applyAlignment="1">
      <alignment horizontal="center" vertical="center"/>
    </xf>
    <xf numFmtId="166" fontId="5" fillId="2" borderId="3" xfId="9" applyNumberFormat="1" applyFont="1" applyFill="1" applyBorder="1" applyAlignment="1">
      <alignment horizontal="center" vertical="center"/>
    </xf>
    <xf numFmtId="166" fontId="5" fillId="2" borderId="2" xfId="9" applyNumberFormat="1" applyFont="1" applyFill="1" applyBorder="1" applyAlignment="1">
      <alignment horizontal="center" vertical="center"/>
    </xf>
    <xf numFmtId="166" fontId="12" fillId="2" borderId="9" xfId="9" applyNumberFormat="1" applyFont="1" applyFill="1" applyBorder="1" applyAlignment="1">
      <alignment horizontal="center" vertical="center"/>
    </xf>
    <xf numFmtId="166" fontId="12" fillId="2" borderId="3" xfId="9" applyNumberFormat="1" applyFont="1" applyFill="1" applyBorder="1" applyAlignment="1">
      <alignment horizontal="center" vertical="center"/>
    </xf>
    <xf numFmtId="166" fontId="12" fillId="2" borderId="2" xfId="9" applyNumberFormat="1" applyFont="1" applyFill="1" applyBorder="1" applyAlignment="1">
      <alignment horizontal="center" vertical="center"/>
    </xf>
    <xf numFmtId="166" fontId="13" fillId="0" borderId="10" xfId="9" applyNumberFormat="1" applyFont="1" applyBorder="1" applyAlignment="1">
      <alignment horizontal="left" vertical="center"/>
    </xf>
    <xf numFmtId="166" fontId="13" fillId="0" borderId="0" xfId="9" applyNumberFormat="1" applyFont="1" applyAlignment="1">
      <alignment horizontal="left" vertical="center"/>
    </xf>
    <xf numFmtId="166" fontId="13" fillId="0" borderId="1" xfId="9" applyNumberFormat="1" applyFont="1" applyBorder="1" applyAlignment="1">
      <alignment horizontal="left" vertical="center"/>
    </xf>
    <xf numFmtId="166" fontId="12" fillId="2" borderId="9" xfId="9" applyNumberFormat="1" applyFont="1" applyFill="1" applyBorder="1" applyAlignment="1">
      <alignment horizontal="left" vertical="center"/>
    </xf>
    <xf numFmtId="166" fontId="12" fillId="2" borderId="3" xfId="9" applyNumberFormat="1" applyFont="1" applyFill="1" applyBorder="1" applyAlignment="1">
      <alignment horizontal="left" vertical="center"/>
    </xf>
    <xf numFmtId="166" fontId="12" fillId="2" borderId="2" xfId="9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 indent="1"/>
    </xf>
    <xf numFmtId="0" fontId="11" fillId="2" borderId="9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166" fontId="13" fillId="0" borderId="9" xfId="9" applyNumberFormat="1" applyFont="1" applyBorder="1" applyAlignment="1">
      <alignment horizontal="left" vertical="center"/>
    </xf>
    <xf numFmtId="166" fontId="13" fillId="0" borderId="3" xfId="9" applyNumberFormat="1" applyFont="1" applyBorder="1" applyAlignment="1">
      <alignment horizontal="left" vertical="center"/>
    </xf>
    <xf numFmtId="166" fontId="13" fillId="0" borderId="2" xfId="9" applyNumberFormat="1" applyFont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166" fontId="13" fillId="0" borderId="0" xfId="9" applyNumberFormat="1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166" fontId="8" fillId="0" borderId="10" xfId="9" applyNumberFormat="1" applyFont="1" applyBorder="1" applyAlignment="1">
      <alignment horizontal="center" vertical="center"/>
    </xf>
    <xf numFmtId="166" fontId="8" fillId="0" borderId="0" xfId="9" applyNumberFormat="1" applyFont="1" applyAlignment="1">
      <alignment horizontal="center" vertical="center"/>
    </xf>
    <xf numFmtId="166" fontId="8" fillId="0" borderId="1" xfId="9" applyNumberFormat="1" applyFont="1" applyBorder="1" applyAlignment="1">
      <alignment horizontal="center" vertical="center"/>
    </xf>
    <xf numFmtId="166" fontId="13" fillId="0" borderId="4" xfId="9" applyNumberFormat="1" applyFont="1" applyBorder="1" applyAlignment="1">
      <alignment horizontal="center" vertical="center"/>
    </xf>
    <xf numFmtId="166" fontId="13" fillId="0" borderId="5" xfId="9" applyNumberFormat="1" applyFont="1" applyBorder="1" applyAlignment="1">
      <alignment horizontal="center" vertical="center"/>
    </xf>
    <xf numFmtId="166" fontId="13" fillId="0" borderId="6" xfId="9" applyNumberFormat="1" applyFont="1" applyBorder="1" applyAlignment="1">
      <alignment horizontal="center" vertical="center"/>
    </xf>
    <xf numFmtId="166" fontId="13" fillId="0" borderId="7" xfId="9" applyNumberFormat="1" applyFont="1" applyBorder="1" applyAlignment="1">
      <alignment horizontal="left" vertical="center"/>
    </xf>
    <xf numFmtId="166" fontId="13" fillId="0" borderId="8" xfId="9" applyNumberFormat="1" applyFont="1" applyBorder="1" applyAlignment="1">
      <alignment horizontal="left" vertical="center"/>
    </xf>
    <xf numFmtId="166" fontId="13" fillId="0" borderId="11" xfId="9" applyNumberFormat="1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 indent="1"/>
    </xf>
    <xf numFmtId="166" fontId="8" fillId="2" borderId="9" xfId="9" applyNumberFormat="1" applyFont="1" applyFill="1" applyBorder="1" applyAlignment="1">
      <alignment horizontal="left" vertical="center"/>
    </xf>
    <xf numFmtId="166" fontId="8" fillId="2" borderId="3" xfId="9" applyNumberFormat="1" applyFont="1" applyFill="1" applyBorder="1" applyAlignment="1">
      <alignment horizontal="left" vertical="center"/>
    </xf>
    <xf numFmtId="166" fontId="8" fillId="2" borderId="2" xfId="9" applyNumberFormat="1" applyFont="1" applyFill="1" applyBorder="1" applyAlignment="1">
      <alignment horizontal="left" vertical="center"/>
    </xf>
    <xf numFmtId="16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indent="2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166" fontId="5" fillId="2" borderId="5" xfId="9" applyNumberFormat="1" applyFont="1" applyFill="1" applyBorder="1" applyAlignment="1">
      <alignment horizontal="left" vertical="center"/>
    </xf>
    <xf numFmtId="166" fontId="5" fillId="2" borderId="6" xfId="9" applyNumberFormat="1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6" fontId="13" fillId="2" borderId="0" xfId="9" applyNumberFormat="1" applyFont="1" applyFill="1" applyBorder="1" applyAlignment="1">
      <alignment horizontal="left" vertical="center"/>
    </xf>
    <xf numFmtId="166" fontId="13" fillId="2" borderId="1" xfId="9" applyNumberFormat="1" applyFont="1" applyFill="1" applyBorder="1" applyAlignment="1">
      <alignment horizontal="left" vertical="center"/>
    </xf>
    <xf numFmtId="0" fontId="13" fillId="0" borderId="11" xfId="0" applyFont="1" applyBorder="1" applyAlignment="1">
      <alignment horizontal="left" vertical="center" indent="2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6" fontId="5" fillId="2" borderId="0" xfId="9" applyNumberFormat="1" applyFont="1" applyFill="1" applyAlignment="1">
      <alignment horizontal="center" vertical="center"/>
    </xf>
    <xf numFmtId="166" fontId="5" fillId="2" borderId="7" xfId="9" applyNumberFormat="1" applyFont="1" applyFill="1" applyBorder="1" applyAlignment="1">
      <alignment horizontal="center" vertical="center"/>
    </xf>
    <xf numFmtId="166" fontId="5" fillId="2" borderId="8" xfId="9" applyNumberFormat="1" applyFont="1" applyFill="1" applyBorder="1" applyAlignment="1">
      <alignment horizontal="center" vertical="center"/>
    </xf>
    <xf numFmtId="166" fontId="5" fillId="2" borderId="11" xfId="9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2"/>
    </xf>
    <xf numFmtId="166" fontId="13" fillId="2" borderId="0" xfId="9" applyNumberFormat="1" applyFont="1" applyFill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1" xfId="0" applyFont="1" applyBorder="1" applyAlignment="1">
      <alignment horizontal="left" vertical="center" indent="1"/>
    </xf>
    <xf numFmtId="0" fontId="11" fillId="0" borderId="6" xfId="0" applyFont="1" applyBorder="1" applyAlignment="1">
      <alignment horizontal="left" vertical="center"/>
    </xf>
    <xf numFmtId="166" fontId="5" fillId="0" borderId="10" xfId="9" applyNumberFormat="1" applyFont="1" applyBorder="1" applyAlignment="1">
      <alignment horizontal="center" vertical="center"/>
    </xf>
    <xf numFmtId="166" fontId="5" fillId="0" borderId="0" xfId="9" applyNumberFormat="1" applyFont="1" applyAlignment="1">
      <alignment horizontal="center" vertical="center"/>
    </xf>
    <xf numFmtId="166" fontId="5" fillId="0" borderId="1" xfId="9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12" fillId="0" borderId="10" xfId="0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2" fillId="0" borderId="4" xfId="0" applyFont="1" applyBorder="1" applyAlignment="1">
      <alignment horizontal="left" vertical="center" indent="1"/>
    </xf>
    <xf numFmtId="0" fontId="12" fillId="0" borderId="5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12" fillId="0" borderId="7" xfId="0" applyFont="1" applyBorder="1" applyAlignment="1">
      <alignment horizontal="left" vertical="center" indent="1"/>
    </xf>
    <xf numFmtId="0" fontId="12" fillId="0" borderId="8" xfId="0" applyFont="1" applyBorder="1" applyAlignment="1">
      <alignment horizontal="left" vertical="center" indent="1"/>
    </xf>
    <xf numFmtId="0" fontId="12" fillId="0" borderId="11" xfId="0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3" fillId="0" borderId="10" xfId="0" applyFont="1" applyBorder="1" applyAlignment="1">
      <alignment horizontal="left" indent="2"/>
    </xf>
    <xf numFmtId="0" fontId="13" fillId="0" borderId="1" xfId="0" applyFont="1" applyBorder="1" applyAlignment="1">
      <alignment horizontal="left" indent="2"/>
    </xf>
    <xf numFmtId="0" fontId="10" fillId="0" borderId="10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3" fillId="0" borderId="10" xfId="0" applyFont="1" applyBorder="1" applyAlignment="1">
      <alignment horizontal="left" indent="1"/>
    </xf>
    <xf numFmtId="0" fontId="13" fillId="0" borderId="0" xfId="0" applyFont="1" applyAlignment="1">
      <alignment horizontal="left" indent="1"/>
    </xf>
    <xf numFmtId="0" fontId="13" fillId="0" borderId="1" xfId="0" applyFont="1" applyBorder="1" applyAlignment="1">
      <alignment horizontal="left" indent="1"/>
    </xf>
    <xf numFmtId="0" fontId="11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left" indent="2"/>
    </xf>
    <xf numFmtId="49" fontId="13" fillId="0" borderId="0" xfId="0" applyNumberFormat="1" applyFont="1" applyAlignment="1">
      <alignment horizontal="left" indent="2"/>
    </xf>
    <xf numFmtId="49" fontId="13" fillId="0" borderId="1" xfId="0" applyNumberFormat="1" applyFont="1" applyBorder="1" applyAlignment="1">
      <alignment horizontal="left" indent="2"/>
    </xf>
    <xf numFmtId="0" fontId="5" fillId="0" borderId="9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6" fontId="5" fillId="0" borderId="0" xfId="9" applyNumberFormat="1" applyFont="1" applyBorder="1" applyAlignment="1">
      <alignment horizontal="center" vertical="center"/>
    </xf>
    <xf numFmtId="166" fontId="5" fillId="7" borderId="10" xfId="9" applyNumberFormat="1" applyFont="1" applyFill="1" applyBorder="1" applyAlignment="1">
      <alignment horizontal="center" vertical="center"/>
    </xf>
    <xf numFmtId="166" fontId="5" fillId="7" borderId="0" xfId="9" applyNumberFormat="1" applyFont="1" applyFill="1" applyAlignment="1">
      <alignment horizontal="center" vertical="center"/>
    </xf>
    <xf numFmtId="166" fontId="5" fillId="7" borderId="1" xfId="9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9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9" fillId="0" borderId="4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2" fillId="7" borderId="10" xfId="0" applyFont="1" applyFill="1" applyBorder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12" fillId="7" borderId="4" xfId="0" applyFont="1" applyFill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49" fontId="8" fillId="7" borderId="7" xfId="0" applyNumberFormat="1" applyFont="1" applyFill="1" applyBorder="1" applyAlignment="1">
      <alignment horizontal="left" vertical="center" wrapText="1" indent="1"/>
    </xf>
    <xf numFmtId="49" fontId="8" fillId="7" borderId="8" xfId="0" applyNumberFormat="1" applyFont="1" applyFill="1" applyBorder="1" applyAlignment="1">
      <alignment horizontal="left" vertical="center" wrapText="1" indent="1"/>
    </xf>
    <xf numFmtId="49" fontId="8" fillId="7" borderId="10" xfId="0" applyNumberFormat="1" applyFont="1" applyFill="1" applyBorder="1" applyAlignment="1">
      <alignment horizontal="left" vertical="center" indent="1"/>
    </xf>
    <xf numFmtId="49" fontId="8" fillId="7" borderId="0" xfId="0" applyNumberFormat="1" applyFont="1" applyFill="1" applyAlignment="1">
      <alignment horizontal="left" vertical="center" inden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7" borderId="14" xfId="0" applyFont="1" applyFill="1" applyBorder="1" applyAlignment="1">
      <alignment horizontal="left"/>
    </xf>
    <xf numFmtId="0" fontId="13" fillId="7" borderId="15" xfId="0" applyFont="1" applyFill="1" applyBorder="1" applyAlignment="1">
      <alignment horizontal="left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1" fillId="5" borderId="32" xfId="0" applyFont="1" applyFill="1" applyBorder="1" applyAlignment="1">
      <alignment horizontal="left" vertical="center"/>
    </xf>
    <xf numFmtId="0" fontId="11" fillId="7" borderId="32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/>
    </xf>
    <xf numFmtId="0" fontId="2" fillId="0" borderId="33" xfId="0" applyFont="1" applyBorder="1" applyAlignment="1">
      <alignment vertical="center"/>
    </xf>
  </cellXfs>
  <cellStyles count="11">
    <cellStyle name="Milliers" xfId="9" builtinId="3"/>
    <cellStyle name="Milliers 2" xfId="8" xr:uid="{00000000-0005-0000-0000-000000000000}"/>
    <cellStyle name="Milliers 3" xfId="7" xr:uid="{00000000-0005-0000-0000-000001000000}"/>
    <cellStyle name="Milliers 30" xfId="2" xr:uid="{00000000-0005-0000-0000-000002000000}"/>
    <cellStyle name="Milliers 31" xfId="3" xr:uid="{00000000-0005-0000-0000-000003000000}"/>
    <cellStyle name="Milliers 32" xfId="5" xr:uid="{00000000-0005-0000-0000-000004000000}"/>
    <cellStyle name="Milliers 33" xfId="6" xr:uid="{00000000-0005-0000-0000-000005000000}"/>
    <cellStyle name="Normal" xfId="0" builtinId="0"/>
    <cellStyle name="Normal 2" xfId="1" xr:uid="{00000000-0005-0000-0000-000007000000}"/>
    <cellStyle name="Pourcentage" xfId="10" builtinId="5"/>
    <cellStyle name="Pourcentage 2" xfId="4" xr:uid="{00000000-0005-0000-0000-000008000000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2" defaultTableStyle="TableStyleMedium2" defaultPivotStyle="PivotStyleLight16">
    <tableStyle name="free" pivot="0" count="1" xr9:uid="{00000000-0011-0000-FFFF-FFFF00000000}">
      <tableStyleElement type="wholeTable" dxfId="1"/>
    </tableStyle>
    <tableStyle name="Style de tableau 1" pivot="0" count="1" xr9:uid="{00000000-0011-0000-FFFF-FFFF01000000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T21"/>
  <sheetViews>
    <sheetView showGridLines="0" view="pageBreakPreview" zoomScale="112" zoomScaleNormal="100" zoomScaleSheetLayoutView="112" workbookViewId="0">
      <selection activeCell="G15" sqref="G15:P15"/>
    </sheetView>
  </sheetViews>
  <sheetFormatPr baseColWidth="10" defaultColWidth="3.44140625" defaultRowHeight="10.199999999999999" x14ac:dyDescent="0.3"/>
  <cols>
    <col min="1" max="2" width="3.44140625" style="1"/>
    <col min="3" max="3" width="0.21875" style="1" customWidth="1"/>
    <col min="4" max="4" width="3.44140625" style="1"/>
    <col min="5" max="5" width="2.77734375" style="1" customWidth="1"/>
    <col min="6" max="6" width="0.77734375" style="1" hidden="1" customWidth="1"/>
    <col min="7" max="15" width="3.44140625" style="1"/>
    <col min="16" max="16" width="3.44140625" style="1" customWidth="1"/>
    <col min="17" max="18" width="3.44140625" style="1"/>
    <col min="19" max="19" width="4.5546875" style="1" customWidth="1"/>
    <col min="20" max="21" width="3.44140625" style="1"/>
    <col min="22" max="22" width="3.77734375" style="1" customWidth="1"/>
    <col min="23" max="24" width="3.44140625" style="1"/>
    <col min="25" max="25" width="5" style="1" customWidth="1"/>
    <col min="26" max="27" width="3.44140625" style="1"/>
    <col min="28" max="28" width="7.44140625" style="1" customWidth="1"/>
    <col min="29" max="30" width="3.44140625" style="1"/>
    <col min="31" max="31" width="7.77734375" style="1" customWidth="1"/>
    <col min="32" max="33" width="3.44140625" style="1"/>
    <col min="34" max="34" width="6.77734375" style="1" customWidth="1"/>
    <col min="35" max="36" width="3.44140625" style="1"/>
    <col min="37" max="37" width="6.5546875" style="1" customWidth="1"/>
    <col min="38" max="39" width="3.44140625" style="1"/>
    <col min="40" max="40" width="6.44140625" style="1" customWidth="1"/>
    <col min="41" max="42" width="3.44140625" style="1"/>
    <col min="43" max="43" width="6.44140625" style="1" customWidth="1"/>
    <col min="44" max="45" width="3.44140625" style="1"/>
    <col min="46" max="46" width="8" style="1" customWidth="1"/>
    <col min="47" max="16384" width="3.44140625" style="1"/>
  </cols>
  <sheetData>
    <row r="1" spans="1:46" ht="13.5" customHeight="1" x14ac:dyDescent="0.3">
      <c r="A1" s="118" t="s">
        <v>366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</row>
    <row r="2" spans="1:46" ht="15" customHeight="1" thickBot="1" x14ac:dyDescent="0.35">
      <c r="A2" s="120" t="s">
        <v>755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</row>
    <row r="3" spans="1:46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3"/>
    </row>
    <row r="4" spans="1:46" x14ac:dyDescent="0.2">
      <c r="A4" s="24"/>
      <c r="B4" s="25" t="s">
        <v>243</v>
      </c>
      <c r="C4" s="25"/>
      <c r="D4" s="25"/>
      <c r="E4" s="25"/>
      <c r="F4" s="155"/>
      <c r="G4" s="156"/>
      <c r="H4" s="156"/>
      <c r="I4" s="156"/>
      <c r="J4" s="156"/>
      <c r="K4" s="157"/>
      <c r="L4" s="25"/>
      <c r="M4" s="25"/>
      <c r="N4" s="25"/>
      <c r="O4" s="25"/>
      <c r="P4" s="158" t="s">
        <v>477</v>
      </c>
      <c r="Q4" s="158"/>
      <c r="R4" s="158"/>
      <c r="S4" s="158"/>
      <c r="T4" s="156"/>
      <c r="U4" s="156"/>
      <c r="V4" s="156"/>
      <c r="W4" s="156"/>
      <c r="X4" s="156"/>
      <c r="Y4" s="156"/>
      <c r="Z4" s="156"/>
      <c r="AA4" s="157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6"/>
    </row>
    <row r="5" spans="1:46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6"/>
    </row>
    <row r="6" spans="1:46" x14ac:dyDescent="0.2">
      <c r="A6" s="24"/>
      <c r="B6" s="25"/>
      <c r="C6" s="25"/>
      <c r="D6" s="25"/>
      <c r="E6" s="25"/>
      <c r="F6" s="25"/>
      <c r="G6" s="27" t="s">
        <v>128</v>
      </c>
      <c r="H6" s="27" t="s">
        <v>128</v>
      </c>
      <c r="I6" s="27" t="s">
        <v>128</v>
      </c>
      <c r="J6" s="27" t="s">
        <v>128</v>
      </c>
      <c r="K6" s="27" t="s">
        <v>127</v>
      </c>
      <c r="L6" s="27" t="s">
        <v>127</v>
      </c>
      <c r="M6" s="27" t="s">
        <v>126</v>
      </c>
      <c r="N6" s="27" t="s">
        <v>126</v>
      </c>
      <c r="O6" s="25"/>
      <c r="P6" s="25"/>
      <c r="Q6" s="25"/>
      <c r="R6" s="25"/>
      <c r="S6" s="27"/>
      <c r="T6" s="25"/>
      <c r="U6" s="25"/>
      <c r="V6" s="27" t="s">
        <v>255</v>
      </c>
      <c r="W6" s="27" t="s">
        <v>128</v>
      </c>
      <c r="X6" s="27"/>
      <c r="Y6" s="25"/>
      <c r="Z6" s="25"/>
      <c r="AA6" s="25"/>
      <c r="AB6" s="25"/>
      <c r="AC6" s="25"/>
      <c r="AD6" s="25"/>
      <c r="AE6" s="27">
        <v>0</v>
      </c>
      <c r="AF6" s="27">
        <v>1</v>
      </c>
      <c r="AG6" s="25"/>
      <c r="AH6" s="25"/>
      <c r="AI6" s="25"/>
      <c r="AJ6" s="25"/>
      <c r="AK6" s="27" t="s">
        <v>127</v>
      </c>
      <c r="AL6" s="25"/>
      <c r="AM6" s="25"/>
      <c r="AN6" s="25"/>
      <c r="AO6" s="27"/>
      <c r="AP6" s="25"/>
      <c r="AQ6" s="25"/>
      <c r="AR6" s="25"/>
      <c r="AS6" s="25"/>
      <c r="AT6" s="26"/>
    </row>
    <row r="7" spans="1:46" x14ac:dyDescent="0.2">
      <c r="A7" s="24"/>
      <c r="B7" s="25"/>
      <c r="C7" s="25"/>
      <c r="D7" s="25"/>
      <c r="E7" s="25"/>
      <c r="F7" s="25"/>
      <c r="G7" s="159" t="s">
        <v>129</v>
      </c>
      <c r="H7" s="159"/>
      <c r="I7" s="159"/>
      <c r="J7" s="159"/>
      <c r="K7" s="159"/>
      <c r="L7" s="159"/>
      <c r="M7" s="159"/>
      <c r="N7" s="159"/>
      <c r="O7" s="19"/>
      <c r="P7" s="25"/>
      <c r="Q7" s="25"/>
      <c r="R7" s="25"/>
      <c r="S7" s="25"/>
      <c r="T7" s="25"/>
      <c r="U7" s="25"/>
      <c r="V7" s="25"/>
      <c r="W7" s="19" t="s">
        <v>245</v>
      </c>
      <c r="X7" s="25"/>
      <c r="Y7" s="25"/>
      <c r="Z7" s="25"/>
      <c r="AA7" s="25"/>
      <c r="AB7" s="25"/>
      <c r="AC7" s="25"/>
      <c r="AD7" s="25"/>
      <c r="AE7" s="159" t="s">
        <v>131</v>
      </c>
      <c r="AF7" s="159"/>
      <c r="AG7" s="25"/>
      <c r="AH7" s="25"/>
      <c r="AI7" s="25"/>
      <c r="AJ7" s="25"/>
      <c r="AK7" s="19" t="s">
        <v>246</v>
      </c>
      <c r="AL7" s="25"/>
      <c r="AM7" s="25"/>
      <c r="AN7" s="25"/>
      <c r="AO7" s="19" t="s">
        <v>263</v>
      </c>
      <c r="AP7" s="25"/>
      <c r="AQ7" s="25"/>
      <c r="AR7" s="25"/>
      <c r="AS7" s="25"/>
      <c r="AT7" s="26"/>
    </row>
    <row r="8" spans="1:46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30"/>
    </row>
    <row r="9" spans="1:46" ht="15.75" customHeight="1" thickBot="1" x14ac:dyDescent="0.35">
      <c r="A9" s="122" t="s">
        <v>761</v>
      </c>
      <c r="B9" s="123"/>
      <c r="C9" s="124"/>
      <c r="D9" s="131" t="s">
        <v>485</v>
      </c>
      <c r="E9" s="133"/>
      <c r="F9" s="143" t="s">
        <v>7</v>
      </c>
      <c r="G9" s="144"/>
      <c r="H9" s="144"/>
      <c r="I9" s="144"/>
      <c r="J9" s="144"/>
      <c r="K9" s="144"/>
      <c r="L9" s="144"/>
      <c r="M9" s="144"/>
      <c r="N9" s="144"/>
      <c r="O9" s="144"/>
      <c r="P9" s="145"/>
      <c r="Q9" s="152" t="s">
        <v>2</v>
      </c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4"/>
      <c r="AO9" s="131" t="s">
        <v>8</v>
      </c>
      <c r="AP9" s="132"/>
      <c r="AQ9" s="133"/>
      <c r="AR9" s="131" t="s">
        <v>616</v>
      </c>
      <c r="AS9" s="132"/>
      <c r="AT9" s="133"/>
    </row>
    <row r="10" spans="1:46" ht="23.25" customHeight="1" thickBot="1" x14ac:dyDescent="0.35">
      <c r="A10" s="125"/>
      <c r="B10" s="126"/>
      <c r="C10" s="127"/>
      <c r="D10" s="134"/>
      <c r="E10" s="136"/>
      <c r="F10" s="146"/>
      <c r="G10" s="147"/>
      <c r="H10" s="147"/>
      <c r="I10" s="147"/>
      <c r="J10" s="147"/>
      <c r="K10" s="147"/>
      <c r="L10" s="147"/>
      <c r="M10" s="147"/>
      <c r="N10" s="147"/>
      <c r="O10" s="147"/>
      <c r="P10" s="148"/>
      <c r="Q10" s="131" t="s">
        <v>296</v>
      </c>
      <c r="R10" s="132"/>
      <c r="S10" s="133"/>
      <c r="T10" s="140" t="s">
        <v>10</v>
      </c>
      <c r="U10" s="141"/>
      <c r="V10" s="141"/>
      <c r="W10" s="141"/>
      <c r="X10" s="141"/>
      <c r="Y10" s="142"/>
      <c r="Z10" s="131" t="s">
        <v>309</v>
      </c>
      <c r="AA10" s="132"/>
      <c r="AB10" s="132"/>
      <c r="AC10" s="132"/>
      <c r="AD10" s="132"/>
      <c r="AE10" s="133"/>
      <c r="AF10" s="143" t="s">
        <v>293</v>
      </c>
      <c r="AG10" s="144"/>
      <c r="AH10" s="145"/>
      <c r="AI10" s="152" t="s">
        <v>302</v>
      </c>
      <c r="AJ10" s="153"/>
      <c r="AK10" s="153"/>
      <c r="AL10" s="153"/>
      <c r="AM10" s="153"/>
      <c r="AN10" s="154"/>
      <c r="AO10" s="134"/>
      <c r="AP10" s="135"/>
      <c r="AQ10" s="136"/>
      <c r="AR10" s="134"/>
      <c r="AS10" s="135"/>
      <c r="AT10" s="136"/>
    </row>
    <row r="11" spans="1:46" ht="50.25" customHeight="1" thickBot="1" x14ac:dyDescent="0.35">
      <c r="A11" s="125"/>
      <c r="B11" s="126"/>
      <c r="C11" s="127"/>
      <c r="D11" s="134"/>
      <c r="E11" s="136"/>
      <c r="F11" s="146"/>
      <c r="G11" s="147"/>
      <c r="H11" s="147"/>
      <c r="I11" s="147"/>
      <c r="J11" s="147"/>
      <c r="K11" s="147"/>
      <c r="L11" s="147"/>
      <c r="M11" s="147"/>
      <c r="N11" s="147"/>
      <c r="O11" s="147"/>
      <c r="P11" s="148"/>
      <c r="Q11" s="137"/>
      <c r="R11" s="138"/>
      <c r="S11" s="139"/>
      <c r="T11" s="140" t="s">
        <v>138</v>
      </c>
      <c r="U11" s="141"/>
      <c r="V11" s="142"/>
      <c r="W11" s="140" t="s">
        <v>13</v>
      </c>
      <c r="X11" s="141"/>
      <c r="Y11" s="142"/>
      <c r="Z11" s="140" t="s">
        <v>139</v>
      </c>
      <c r="AA11" s="141"/>
      <c r="AB11" s="142"/>
      <c r="AC11" s="140" t="s">
        <v>11</v>
      </c>
      <c r="AD11" s="141"/>
      <c r="AE11" s="142"/>
      <c r="AF11" s="149"/>
      <c r="AG11" s="150"/>
      <c r="AH11" s="151"/>
      <c r="AI11" s="140" t="s">
        <v>299</v>
      </c>
      <c r="AJ11" s="141"/>
      <c r="AK11" s="142"/>
      <c r="AL11" s="140" t="s">
        <v>393</v>
      </c>
      <c r="AM11" s="141"/>
      <c r="AN11" s="142"/>
      <c r="AO11" s="137"/>
      <c r="AP11" s="138"/>
      <c r="AQ11" s="139"/>
      <c r="AR11" s="137"/>
      <c r="AS11" s="138"/>
      <c r="AT11" s="139"/>
    </row>
    <row r="12" spans="1:46" ht="15.75" customHeight="1" thickBot="1" x14ac:dyDescent="0.35">
      <c r="A12" s="128"/>
      <c r="B12" s="129"/>
      <c r="C12" s="130"/>
      <c r="D12" s="137"/>
      <c r="E12" s="139"/>
      <c r="F12" s="149"/>
      <c r="G12" s="150"/>
      <c r="H12" s="150"/>
      <c r="I12" s="150"/>
      <c r="J12" s="150"/>
      <c r="K12" s="150"/>
      <c r="L12" s="150"/>
      <c r="M12" s="150"/>
      <c r="N12" s="150"/>
      <c r="O12" s="150"/>
      <c r="P12" s="151"/>
      <c r="Q12" s="152">
        <v>1</v>
      </c>
      <c r="R12" s="153"/>
      <c r="S12" s="154"/>
      <c r="T12" s="152">
        <v>2</v>
      </c>
      <c r="U12" s="153"/>
      <c r="V12" s="154"/>
      <c r="W12" s="152">
        <v>3</v>
      </c>
      <c r="X12" s="153"/>
      <c r="Y12" s="154"/>
      <c r="Z12" s="152">
        <v>4</v>
      </c>
      <c r="AA12" s="153"/>
      <c r="AB12" s="154"/>
      <c r="AC12" s="152">
        <v>5</v>
      </c>
      <c r="AD12" s="153"/>
      <c r="AE12" s="154"/>
      <c r="AF12" s="152">
        <v>6</v>
      </c>
      <c r="AG12" s="153"/>
      <c r="AH12" s="154"/>
      <c r="AI12" s="152">
        <v>7</v>
      </c>
      <c r="AJ12" s="153"/>
      <c r="AK12" s="154"/>
      <c r="AL12" s="152">
        <v>8</v>
      </c>
      <c r="AM12" s="153"/>
      <c r="AN12" s="154"/>
      <c r="AO12" s="152">
        <v>9</v>
      </c>
      <c r="AP12" s="153"/>
      <c r="AQ12" s="154"/>
      <c r="AR12" s="152">
        <v>10</v>
      </c>
      <c r="AS12" s="153"/>
      <c r="AT12" s="154"/>
    </row>
    <row r="13" spans="1:46" x14ac:dyDescent="0.2">
      <c r="A13" s="174" t="s">
        <v>165</v>
      </c>
      <c r="B13" s="175"/>
      <c r="C13" s="176"/>
      <c r="D13" s="168">
        <v>241</v>
      </c>
      <c r="E13" s="158"/>
      <c r="F13" s="169"/>
      <c r="G13" s="163" t="s">
        <v>673</v>
      </c>
      <c r="H13" s="164"/>
      <c r="I13" s="164"/>
      <c r="J13" s="164"/>
      <c r="K13" s="164"/>
      <c r="L13" s="164"/>
      <c r="M13" s="164"/>
      <c r="N13" s="164"/>
      <c r="O13" s="164"/>
      <c r="P13" s="164"/>
      <c r="Q13" s="165"/>
      <c r="R13" s="166"/>
      <c r="S13" s="167"/>
      <c r="T13" s="115"/>
      <c r="U13" s="116"/>
      <c r="V13" s="117"/>
      <c r="W13" s="115"/>
      <c r="X13" s="116"/>
      <c r="Y13" s="117"/>
      <c r="Z13" s="115"/>
      <c r="AA13" s="116"/>
      <c r="AB13" s="117"/>
      <c r="AC13" s="115"/>
      <c r="AD13" s="116"/>
      <c r="AE13" s="117"/>
      <c r="AF13" s="115"/>
      <c r="AG13" s="116"/>
      <c r="AH13" s="117"/>
      <c r="AI13" s="115"/>
      <c r="AJ13" s="116"/>
      <c r="AK13" s="117"/>
      <c r="AL13" s="115"/>
      <c r="AM13" s="116"/>
      <c r="AN13" s="117"/>
      <c r="AO13" s="115"/>
      <c r="AP13" s="116"/>
      <c r="AQ13" s="117"/>
      <c r="AR13" s="115"/>
      <c r="AS13" s="116"/>
      <c r="AT13" s="117"/>
    </row>
    <row r="14" spans="1:46" x14ac:dyDescent="0.2">
      <c r="A14" s="177" t="s">
        <v>166</v>
      </c>
      <c r="B14" s="178"/>
      <c r="C14" s="179"/>
      <c r="D14" s="168">
        <v>242</v>
      </c>
      <c r="E14" s="158"/>
      <c r="F14" s="169"/>
      <c r="G14" s="163" t="s">
        <v>674</v>
      </c>
      <c r="H14" s="164"/>
      <c r="I14" s="164"/>
      <c r="J14" s="164"/>
      <c r="K14" s="164"/>
      <c r="L14" s="164"/>
      <c r="M14" s="164"/>
      <c r="N14" s="164"/>
      <c r="O14" s="164"/>
      <c r="P14" s="164"/>
      <c r="Q14" s="165"/>
      <c r="R14" s="166"/>
      <c r="S14" s="167"/>
      <c r="T14" s="115"/>
      <c r="U14" s="116"/>
      <c r="V14" s="117"/>
      <c r="W14" s="115"/>
      <c r="X14" s="116"/>
      <c r="Y14" s="117"/>
      <c r="Z14" s="115"/>
      <c r="AA14" s="116"/>
      <c r="AB14" s="117"/>
      <c r="AC14" s="115"/>
      <c r="AD14" s="116"/>
      <c r="AE14" s="117"/>
      <c r="AF14" s="115"/>
      <c r="AG14" s="116"/>
      <c r="AH14" s="117"/>
      <c r="AI14" s="115"/>
      <c r="AJ14" s="116"/>
      <c r="AK14" s="117"/>
      <c r="AL14" s="115"/>
      <c r="AM14" s="116"/>
      <c r="AN14" s="117"/>
      <c r="AO14" s="115"/>
      <c r="AP14" s="116"/>
      <c r="AQ14" s="117"/>
      <c r="AR14" s="115"/>
      <c r="AS14" s="116"/>
      <c r="AT14" s="117"/>
    </row>
    <row r="15" spans="1:46" x14ac:dyDescent="0.2">
      <c r="A15" s="177" t="s">
        <v>167</v>
      </c>
      <c r="B15" s="178"/>
      <c r="C15" s="179"/>
      <c r="D15" s="168">
        <v>243</v>
      </c>
      <c r="E15" s="158"/>
      <c r="F15" s="169"/>
      <c r="G15" s="163" t="s">
        <v>675</v>
      </c>
      <c r="H15" s="164"/>
      <c r="I15" s="164"/>
      <c r="J15" s="164"/>
      <c r="K15" s="164"/>
      <c r="L15" s="164"/>
      <c r="M15" s="164"/>
      <c r="N15" s="164"/>
      <c r="O15" s="164"/>
      <c r="P15" s="164"/>
      <c r="Q15" s="165"/>
      <c r="R15" s="166"/>
      <c r="S15" s="167"/>
      <c r="T15" s="115"/>
      <c r="U15" s="116"/>
      <c r="V15" s="117"/>
      <c r="W15" s="115"/>
      <c r="X15" s="116"/>
      <c r="Y15" s="117"/>
      <c r="Z15" s="115"/>
      <c r="AA15" s="116"/>
      <c r="AB15" s="117"/>
      <c r="AC15" s="115"/>
      <c r="AD15" s="116"/>
      <c r="AE15" s="117"/>
      <c r="AF15" s="115"/>
      <c r="AG15" s="116"/>
      <c r="AH15" s="117"/>
      <c r="AI15" s="115"/>
      <c r="AJ15" s="116"/>
      <c r="AK15" s="117"/>
      <c r="AL15" s="115"/>
      <c r="AM15" s="116"/>
      <c r="AN15" s="117"/>
      <c r="AO15" s="115"/>
      <c r="AP15" s="116"/>
      <c r="AQ15" s="117"/>
      <c r="AR15" s="115"/>
      <c r="AS15" s="116"/>
      <c r="AT15" s="117"/>
    </row>
    <row r="16" spans="1:46" x14ac:dyDescent="0.2">
      <c r="A16" s="177" t="s">
        <v>168</v>
      </c>
      <c r="B16" s="178"/>
      <c r="C16" s="179"/>
      <c r="D16" s="168">
        <v>244</v>
      </c>
      <c r="E16" s="158"/>
      <c r="F16" s="169"/>
      <c r="G16" s="163" t="s">
        <v>676</v>
      </c>
      <c r="H16" s="164"/>
      <c r="I16" s="164"/>
      <c r="J16" s="164"/>
      <c r="K16" s="164"/>
      <c r="L16" s="164"/>
      <c r="M16" s="164"/>
      <c r="N16" s="164"/>
      <c r="O16" s="164"/>
      <c r="P16" s="164"/>
      <c r="Q16" s="165"/>
      <c r="R16" s="166"/>
      <c r="S16" s="167"/>
      <c r="T16" s="115"/>
      <c r="U16" s="116"/>
      <c r="V16" s="117"/>
      <c r="W16" s="115"/>
      <c r="X16" s="116"/>
      <c r="Y16" s="117"/>
      <c r="Z16" s="115"/>
      <c r="AA16" s="116"/>
      <c r="AB16" s="117"/>
      <c r="AC16" s="115"/>
      <c r="AD16" s="116"/>
      <c r="AE16" s="117"/>
      <c r="AF16" s="115"/>
      <c r="AG16" s="116"/>
      <c r="AH16" s="117"/>
      <c r="AI16" s="115"/>
      <c r="AJ16" s="116"/>
      <c r="AK16" s="117"/>
      <c r="AL16" s="115"/>
      <c r="AM16" s="116"/>
      <c r="AN16" s="117"/>
      <c r="AO16" s="115"/>
      <c r="AP16" s="116"/>
      <c r="AQ16" s="117"/>
      <c r="AR16" s="115"/>
      <c r="AS16" s="116"/>
      <c r="AT16" s="117"/>
    </row>
    <row r="17" spans="1:46" x14ac:dyDescent="0.2">
      <c r="A17" s="177" t="s">
        <v>763</v>
      </c>
      <c r="B17" s="178"/>
      <c r="C17" s="179"/>
      <c r="D17" s="168">
        <v>245</v>
      </c>
      <c r="E17" s="158"/>
      <c r="F17" s="169"/>
      <c r="G17" s="163" t="s">
        <v>677</v>
      </c>
      <c r="H17" s="164"/>
      <c r="I17" s="164"/>
      <c r="J17" s="164"/>
      <c r="K17" s="164"/>
      <c r="L17" s="164"/>
      <c r="M17" s="164"/>
      <c r="N17" s="164"/>
      <c r="O17" s="164"/>
      <c r="P17" s="164"/>
      <c r="Q17" s="165"/>
      <c r="R17" s="166"/>
      <c r="S17" s="167"/>
      <c r="T17" s="115"/>
      <c r="U17" s="116"/>
      <c r="V17" s="117"/>
      <c r="W17" s="115"/>
      <c r="X17" s="116"/>
      <c r="Y17" s="117"/>
      <c r="Z17" s="115"/>
      <c r="AA17" s="116"/>
      <c r="AB17" s="117"/>
      <c r="AC17" s="115"/>
      <c r="AD17" s="116"/>
      <c r="AE17" s="117"/>
      <c r="AF17" s="115"/>
      <c r="AG17" s="116"/>
      <c r="AH17" s="117"/>
      <c r="AI17" s="115"/>
      <c r="AJ17" s="116"/>
      <c r="AK17" s="117"/>
      <c r="AL17" s="115"/>
      <c r="AM17" s="116"/>
      <c r="AN17" s="117"/>
      <c r="AO17" s="115"/>
      <c r="AP17" s="116"/>
      <c r="AQ17" s="117"/>
      <c r="AR17" s="115"/>
      <c r="AS17" s="116"/>
      <c r="AT17" s="117"/>
    </row>
    <row r="18" spans="1:46" ht="10.8" thickBot="1" x14ac:dyDescent="0.25">
      <c r="A18" s="111" t="s">
        <v>764</v>
      </c>
      <c r="B18" s="112"/>
      <c r="C18" s="11"/>
      <c r="D18" s="168">
        <v>251</v>
      </c>
      <c r="E18" s="158"/>
      <c r="F18" s="169"/>
      <c r="G18" s="163" t="s">
        <v>678</v>
      </c>
      <c r="H18" s="164"/>
      <c r="I18" s="164"/>
      <c r="J18" s="164"/>
      <c r="K18" s="164"/>
      <c r="L18" s="164"/>
      <c r="M18" s="164"/>
      <c r="N18" s="164"/>
      <c r="O18" s="164"/>
      <c r="P18" s="164"/>
      <c r="Q18" s="165"/>
      <c r="R18" s="166"/>
      <c r="S18" s="167"/>
      <c r="T18" s="115"/>
      <c r="U18" s="116"/>
      <c r="V18" s="117"/>
      <c r="W18" s="115"/>
      <c r="X18" s="116"/>
      <c r="Y18" s="117"/>
      <c r="Z18" s="115"/>
      <c r="AA18" s="116"/>
      <c r="AB18" s="117"/>
      <c r="AC18" s="115"/>
      <c r="AD18" s="116"/>
      <c r="AE18" s="117"/>
      <c r="AF18" s="115"/>
      <c r="AG18" s="116"/>
      <c r="AH18" s="117"/>
      <c r="AI18" s="115"/>
      <c r="AJ18" s="116"/>
      <c r="AK18" s="117"/>
      <c r="AL18" s="115"/>
      <c r="AM18" s="116"/>
      <c r="AN18" s="117"/>
      <c r="AO18" s="115"/>
      <c r="AP18" s="116"/>
      <c r="AQ18" s="117"/>
      <c r="AR18" s="115"/>
      <c r="AS18" s="116"/>
      <c r="AT18" s="117"/>
    </row>
    <row r="19" spans="1:46" ht="15.75" customHeight="1" thickBot="1" x14ac:dyDescent="0.35">
      <c r="A19" s="171" t="s">
        <v>390</v>
      </c>
      <c r="B19" s="172"/>
      <c r="C19" s="173"/>
      <c r="D19" s="113"/>
      <c r="E19" s="114"/>
      <c r="F19" s="181" t="s">
        <v>679</v>
      </c>
      <c r="G19" s="182"/>
      <c r="H19" s="182"/>
      <c r="I19" s="182"/>
      <c r="J19" s="182"/>
      <c r="K19" s="182"/>
      <c r="L19" s="182"/>
      <c r="M19" s="182"/>
      <c r="N19" s="182"/>
      <c r="O19" s="182"/>
      <c r="P19" s="183"/>
      <c r="Q19" s="160">
        <f>SUM(Q13:S18)</f>
        <v>0</v>
      </c>
      <c r="R19" s="161"/>
      <c r="S19" s="162"/>
      <c r="T19" s="160">
        <f t="shared" ref="T19" si="0">SUM(T13:V18)</f>
        <v>0</v>
      </c>
      <c r="U19" s="161"/>
      <c r="V19" s="162"/>
      <c r="W19" s="160">
        <f t="shared" ref="W19" si="1">SUM(W13:Y18)</f>
        <v>0</v>
      </c>
      <c r="X19" s="161"/>
      <c r="Y19" s="162"/>
      <c r="Z19" s="160">
        <f t="shared" ref="Z19" si="2">SUM(Z13:AB18)</f>
        <v>0</v>
      </c>
      <c r="AA19" s="161"/>
      <c r="AB19" s="162"/>
      <c r="AC19" s="160">
        <f t="shared" ref="AC19" si="3">SUM(AC13:AE18)</f>
        <v>0</v>
      </c>
      <c r="AD19" s="161"/>
      <c r="AE19" s="162"/>
      <c r="AF19" s="160">
        <f t="shared" ref="AF19" si="4">SUM(AF13:AH18)</f>
        <v>0</v>
      </c>
      <c r="AG19" s="161"/>
      <c r="AH19" s="162"/>
      <c r="AI19" s="160">
        <f t="shared" ref="AI19" si="5">SUM(AI13:AK18)</f>
        <v>0</v>
      </c>
      <c r="AJ19" s="161"/>
      <c r="AK19" s="162"/>
      <c r="AL19" s="160">
        <f t="shared" ref="AL19" si="6">SUM(AL13:AN18)</f>
        <v>0</v>
      </c>
      <c r="AM19" s="161"/>
      <c r="AN19" s="162"/>
      <c r="AO19" s="160">
        <f t="shared" ref="AO19" si="7">SUM(AO13:AQ18)</f>
        <v>0</v>
      </c>
      <c r="AP19" s="161"/>
      <c r="AQ19" s="162"/>
      <c r="AR19" s="160">
        <f>SUM(AR13:AT18)</f>
        <v>0</v>
      </c>
      <c r="AS19" s="161"/>
      <c r="AT19" s="162"/>
    </row>
    <row r="20" spans="1:46" ht="11.25" customHeight="1" x14ac:dyDescent="0.3">
      <c r="A20" s="180" t="s">
        <v>365</v>
      </c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1:46" x14ac:dyDescent="0.3">
      <c r="A21" s="170" t="s">
        <v>303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</sheetData>
  <mergeCells count="127">
    <mergeCell ref="A21:V21"/>
    <mergeCell ref="AF19:AH19"/>
    <mergeCell ref="AC13:AE13"/>
    <mergeCell ref="AF13:AH13"/>
    <mergeCell ref="A19:C19"/>
    <mergeCell ref="A13:C13"/>
    <mergeCell ref="A14:C14"/>
    <mergeCell ref="A15:C15"/>
    <mergeCell ref="A16:C16"/>
    <mergeCell ref="T19:V19"/>
    <mergeCell ref="W19:Y19"/>
    <mergeCell ref="G16:P16"/>
    <mergeCell ref="G18:P18"/>
    <mergeCell ref="Q18:S18"/>
    <mergeCell ref="A17:C17"/>
    <mergeCell ref="Q15:S15"/>
    <mergeCell ref="Q16:S16"/>
    <mergeCell ref="D13:F13"/>
    <mergeCell ref="D14:F14"/>
    <mergeCell ref="D15:F15"/>
    <mergeCell ref="D16:F16"/>
    <mergeCell ref="A20:U20"/>
    <mergeCell ref="F19:P19"/>
    <mergeCell ref="Q19:S19"/>
    <mergeCell ref="G13:P13"/>
    <mergeCell ref="G14:P14"/>
    <mergeCell ref="G15:P15"/>
    <mergeCell ref="Q13:S13"/>
    <mergeCell ref="Q14:S14"/>
    <mergeCell ref="D17:F17"/>
    <mergeCell ref="G17:P17"/>
    <mergeCell ref="D18:F18"/>
    <mergeCell ref="Z15:AB15"/>
    <mergeCell ref="Q17:S17"/>
    <mergeCell ref="T17:V17"/>
    <mergeCell ref="W17:Y17"/>
    <mergeCell ref="T18:V18"/>
    <mergeCell ref="W18:Y18"/>
    <mergeCell ref="Z18:AB18"/>
    <mergeCell ref="AC18:AE18"/>
    <mergeCell ref="AF18:AH18"/>
    <mergeCell ref="AI18:AK18"/>
    <mergeCell ref="AL18:AN18"/>
    <mergeCell ref="AC15:AE15"/>
    <mergeCell ref="AF15:AH15"/>
    <mergeCell ref="T12:V12"/>
    <mergeCell ref="W12:Y12"/>
    <mergeCell ref="T16:V16"/>
    <mergeCell ref="W16:Y16"/>
    <mergeCell ref="AI12:AK12"/>
    <mergeCell ref="AI13:AK13"/>
    <mergeCell ref="AI14:AK14"/>
    <mergeCell ref="AC12:AE12"/>
    <mergeCell ref="AF12:AH12"/>
    <mergeCell ref="Z12:AB12"/>
    <mergeCell ref="AI15:AK15"/>
    <mergeCell ref="AL15:AN15"/>
    <mergeCell ref="AI11:AK11"/>
    <mergeCell ref="T15:V15"/>
    <mergeCell ref="W15:Y15"/>
    <mergeCell ref="AO19:AQ19"/>
    <mergeCell ref="AR19:AT19"/>
    <mergeCell ref="AI19:AK19"/>
    <mergeCell ref="AL19:AN19"/>
    <mergeCell ref="Z16:AB16"/>
    <mergeCell ref="AC16:AE16"/>
    <mergeCell ref="AF16:AH16"/>
    <mergeCell ref="AO16:AQ16"/>
    <mergeCell ref="AR16:AT16"/>
    <mergeCell ref="AI16:AK16"/>
    <mergeCell ref="AL16:AN16"/>
    <mergeCell ref="Z19:AB19"/>
    <mergeCell ref="AC19:AE19"/>
    <mergeCell ref="Z17:AB17"/>
    <mergeCell ref="AC17:AE17"/>
    <mergeCell ref="AF17:AH17"/>
    <mergeCell ref="AI17:AK17"/>
    <mergeCell ref="AL17:AN17"/>
    <mergeCell ref="AO17:AQ17"/>
    <mergeCell ref="AE7:AF7"/>
    <mergeCell ref="Z10:AE10"/>
    <mergeCell ref="Z11:AB11"/>
    <mergeCell ref="AC11:AE11"/>
    <mergeCell ref="D9:E12"/>
    <mergeCell ref="AO15:AQ15"/>
    <mergeCell ref="AR15:AT15"/>
    <mergeCell ref="T14:V14"/>
    <mergeCell ref="W14:Y14"/>
    <mergeCell ref="T13:V13"/>
    <mergeCell ref="W13:Y13"/>
    <mergeCell ref="Z13:AB13"/>
    <mergeCell ref="AL11:AN11"/>
    <mergeCell ref="AI10:AN10"/>
    <mergeCell ref="Z14:AB14"/>
    <mergeCell ref="AC14:AE14"/>
    <mergeCell ref="AF14:AH14"/>
    <mergeCell ref="AO13:AQ13"/>
    <mergeCell ref="AR13:AT13"/>
    <mergeCell ref="AO14:AQ14"/>
    <mergeCell ref="AR14:AT14"/>
    <mergeCell ref="AL12:AN12"/>
    <mergeCell ref="AL13:AN13"/>
    <mergeCell ref="AL14:AN14"/>
    <mergeCell ref="A18:B18"/>
    <mergeCell ref="D19:E19"/>
    <mergeCell ref="AO18:AQ18"/>
    <mergeCell ref="AR17:AT17"/>
    <mergeCell ref="AR18:AT18"/>
    <mergeCell ref="A1:AT1"/>
    <mergeCell ref="A2:AT2"/>
    <mergeCell ref="A9:C12"/>
    <mergeCell ref="AO9:AQ11"/>
    <mergeCell ref="W11:Y11"/>
    <mergeCell ref="F9:P12"/>
    <mergeCell ref="AR9:AT11"/>
    <mergeCell ref="T10:Y10"/>
    <mergeCell ref="AF10:AH11"/>
    <mergeCell ref="T11:V11"/>
    <mergeCell ref="Q12:S12"/>
    <mergeCell ref="AR12:AT12"/>
    <mergeCell ref="AO12:AQ12"/>
    <mergeCell ref="Q9:AN9"/>
    <mergeCell ref="Q10:S11"/>
    <mergeCell ref="F4:K4"/>
    <mergeCell ref="P4:S4"/>
    <mergeCell ref="T4:AA4"/>
    <mergeCell ref="G7:N7"/>
  </mergeCells>
  <phoneticPr fontId="8" type="noConversion"/>
  <pageMargins left="0.19685039370078741" right="0.19685039370078741" top="0.74803149606299213" bottom="0.74803149606299213" header="0.31496062992125984" footer="0.31496062992125984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Q25"/>
  <sheetViews>
    <sheetView showGridLines="0" view="pageBreakPreview" topLeftCell="A8" zoomScale="110" zoomScaleNormal="110" zoomScaleSheetLayoutView="110" workbookViewId="0">
      <selection activeCell="D3" sqref="D1:D1048576"/>
    </sheetView>
  </sheetViews>
  <sheetFormatPr baseColWidth="10" defaultColWidth="3.44140625" defaultRowHeight="10.199999999999999" x14ac:dyDescent="0.3"/>
  <cols>
    <col min="1" max="1" width="3.44140625" style="1"/>
    <col min="2" max="2" width="3.77734375" style="1" customWidth="1"/>
    <col min="3" max="3" width="5.21875" style="1" customWidth="1"/>
    <col min="4" max="4" width="1.44140625" style="1" customWidth="1"/>
    <col min="5" max="5" width="1.77734375" style="1" customWidth="1"/>
    <col min="6" max="6" width="4.21875" style="1" customWidth="1"/>
    <col min="7" max="14" width="3.44140625" style="1"/>
    <col min="15" max="15" width="1.5546875" style="1" customWidth="1"/>
    <col min="16" max="16" width="12" style="1" customWidth="1"/>
    <col min="17" max="17" width="6" style="1" customWidth="1"/>
    <col min="18" max="18" width="3.44140625" style="1"/>
    <col min="19" max="19" width="3" style="1" customWidth="1"/>
    <col min="20" max="20" width="10" style="1" bestFit="1" customWidth="1"/>
    <col min="21" max="21" width="3.44140625" style="1"/>
    <col min="22" max="22" width="0.21875" style="1" customWidth="1"/>
    <col min="23" max="24" width="3.44140625" style="1"/>
    <col min="25" max="25" width="5" style="1" customWidth="1"/>
    <col min="26" max="26" width="3.44140625" style="1"/>
    <col min="27" max="27" width="8.21875" style="1" customWidth="1"/>
    <col min="28" max="28" width="2.77734375" style="1" customWidth="1"/>
    <col min="29" max="30" width="3.44140625" style="1"/>
    <col min="31" max="31" width="6.77734375" style="1" customWidth="1"/>
    <col min="32" max="33" width="3.44140625" style="1"/>
    <col min="34" max="34" width="6.21875" style="1" customWidth="1"/>
    <col min="35" max="36" width="3.44140625" style="1"/>
    <col min="37" max="37" width="4.77734375" style="1" customWidth="1"/>
    <col min="38" max="39" width="3.44140625" style="1"/>
    <col min="40" max="40" width="4.21875" style="1" customWidth="1"/>
    <col min="41" max="41" width="3.21875" style="1" customWidth="1"/>
    <col min="42" max="42" width="3.44140625" style="1"/>
    <col min="43" max="43" width="9.5546875" style="1" customWidth="1"/>
    <col min="44" max="16384" width="3.44140625" style="1"/>
  </cols>
  <sheetData>
    <row r="1" spans="1:43" x14ac:dyDescent="0.3">
      <c r="A1" s="214" t="s">
        <v>364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6"/>
    </row>
    <row r="2" spans="1:43" ht="10.8" thickBot="1" x14ac:dyDescent="0.35">
      <c r="A2" s="120" t="s">
        <v>756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215"/>
    </row>
    <row r="3" spans="1:43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3"/>
    </row>
    <row r="4" spans="1:43" x14ac:dyDescent="0.2">
      <c r="A4" s="155" t="s">
        <v>630</v>
      </c>
      <c r="B4" s="156"/>
      <c r="C4" s="156"/>
      <c r="D4" s="156"/>
      <c r="E4" s="156"/>
      <c r="F4" s="25"/>
      <c r="G4" s="155"/>
      <c r="H4" s="156"/>
      <c r="I4" s="156"/>
      <c r="J4" s="156"/>
      <c r="K4" s="156"/>
      <c r="L4" s="157"/>
      <c r="M4" s="25"/>
      <c r="N4" s="25"/>
      <c r="O4" s="158" t="s">
        <v>477</v>
      </c>
      <c r="P4" s="158"/>
      <c r="Q4" s="158"/>
      <c r="R4" s="158"/>
      <c r="S4" s="25"/>
      <c r="T4" s="156"/>
      <c r="U4" s="156"/>
      <c r="V4" s="156"/>
      <c r="W4" s="156"/>
      <c r="X4" s="156"/>
      <c r="Y4" s="156"/>
      <c r="Z4" s="156"/>
      <c r="AA4" s="157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6"/>
    </row>
    <row r="5" spans="1:43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6"/>
    </row>
    <row r="6" spans="1:43" x14ac:dyDescent="0.2">
      <c r="A6" s="24"/>
      <c r="B6" s="25"/>
      <c r="C6" s="25"/>
      <c r="D6" s="25"/>
      <c r="E6" s="25"/>
      <c r="F6" s="25"/>
      <c r="G6" s="25"/>
      <c r="H6" s="27" t="s">
        <v>128</v>
      </c>
      <c r="I6" s="27" t="s">
        <v>128</v>
      </c>
      <c r="J6" s="27" t="s">
        <v>128</v>
      </c>
      <c r="K6" s="27" t="s">
        <v>128</v>
      </c>
      <c r="L6" s="27" t="s">
        <v>127</v>
      </c>
      <c r="M6" s="27" t="s">
        <v>127</v>
      </c>
      <c r="N6" s="27" t="s">
        <v>126</v>
      </c>
      <c r="O6" s="27" t="s">
        <v>126</v>
      </c>
      <c r="P6" s="25"/>
      <c r="Q6" s="25"/>
      <c r="R6" s="25"/>
      <c r="S6" s="27"/>
      <c r="T6" s="25"/>
      <c r="U6" s="25"/>
      <c r="V6" s="27" t="s">
        <v>255</v>
      </c>
      <c r="W6" s="27" t="s">
        <v>255</v>
      </c>
      <c r="X6" s="27"/>
      <c r="Y6" s="25"/>
      <c r="Z6" s="25"/>
      <c r="AA6" s="25"/>
      <c r="AB6" s="25"/>
      <c r="AC6" s="25"/>
      <c r="AD6" s="25"/>
      <c r="AE6" s="27">
        <v>0</v>
      </c>
      <c r="AF6" s="27">
        <v>3</v>
      </c>
      <c r="AG6" s="25"/>
      <c r="AH6" s="25"/>
      <c r="AI6" s="25"/>
      <c r="AJ6" s="25"/>
      <c r="AK6" s="27" t="s">
        <v>127</v>
      </c>
      <c r="AL6" s="25"/>
      <c r="AM6" s="25"/>
      <c r="AN6" s="25"/>
      <c r="AO6" s="25"/>
      <c r="AP6" s="25"/>
      <c r="AQ6" s="26"/>
    </row>
    <row r="7" spans="1:43" x14ac:dyDescent="0.2">
      <c r="A7" s="24"/>
      <c r="B7" s="25"/>
      <c r="C7" s="25"/>
      <c r="D7" s="25"/>
      <c r="E7" s="25"/>
      <c r="F7" s="25"/>
      <c r="G7" s="25"/>
      <c r="H7" s="159" t="s">
        <v>129</v>
      </c>
      <c r="I7" s="159"/>
      <c r="J7" s="159"/>
      <c r="K7" s="159"/>
      <c r="L7" s="159"/>
      <c r="M7" s="159"/>
      <c r="N7" s="159"/>
      <c r="O7" s="159"/>
      <c r="P7" s="19"/>
      <c r="Q7" s="25"/>
      <c r="R7" s="25"/>
      <c r="S7" s="25"/>
      <c r="T7" s="25"/>
      <c r="U7" s="25"/>
      <c r="V7" s="25"/>
      <c r="W7" s="19" t="s">
        <v>245</v>
      </c>
      <c r="X7" s="25"/>
      <c r="Y7" s="25"/>
      <c r="Z7" s="25"/>
      <c r="AA7" s="25"/>
      <c r="AB7" s="25"/>
      <c r="AC7" s="25"/>
      <c r="AD7" s="25"/>
      <c r="AE7" s="159" t="s">
        <v>131</v>
      </c>
      <c r="AF7" s="159"/>
      <c r="AG7" s="25"/>
      <c r="AH7" s="25"/>
      <c r="AI7" s="25"/>
      <c r="AJ7" s="25"/>
      <c r="AK7" s="19" t="s">
        <v>246</v>
      </c>
      <c r="AL7" s="25"/>
      <c r="AM7" s="25"/>
      <c r="AN7" s="25"/>
      <c r="AO7" s="25"/>
      <c r="AP7" s="25"/>
      <c r="AQ7" s="26"/>
    </row>
    <row r="8" spans="1:43" ht="10.8" thickBot="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5"/>
    </row>
    <row r="9" spans="1:43" ht="13.5" customHeight="1" thickBot="1" x14ac:dyDescent="0.35">
      <c r="A9" s="122" t="s">
        <v>761</v>
      </c>
      <c r="B9" s="124"/>
      <c r="C9" s="131" t="s">
        <v>485</v>
      </c>
      <c r="D9" s="132"/>
      <c r="E9" s="132"/>
      <c r="F9" s="133"/>
      <c r="G9" s="143" t="s">
        <v>7</v>
      </c>
      <c r="H9" s="144"/>
      <c r="I9" s="144"/>
      <c r="J9" s="144"/>
      <c r="K9" s="144"/>
      <c r="L9" s="144"/>
      <c r="M9" s="144"/>
      <c r="N9" s="144"/>
      <c r="O9" s="144"/>
      <c r="P9" s="144"/>
      <c r="Q9" s="140" t="s">
        <v>2</v>
      </c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2"/>
      <c r="AO9" s="131" t="s">
        <v>616</v>
      </c>
      <c r="AP9" s="132"/>
      <c r="AQ9" s="133"/>
    </row>
    <row r="10" spans="1:43" ht="15.75" customHeight="1" thickBot="1" x14ac:dyDescent="0.35">
      <c r="A10" s="125"/>
      <c r="B10" s="127"/>
      <c r="C10" s="134"/>
      <c r="D10" s="135"/>
      <c r="E10" s="135"/>
      <c r="F10" s="136"/>
      <c r="G10" s="146"/>
      <c r="H10" s="147"/>
      <c r="I10" s="147"/>
      <c r="J10" s="147"/>
      <c r="K10" s="147"/>
      <c r="L10" s="147"/>
      <c r="M10" s="147"/>
      <c r="N10" s="147"/>
      <c r="O10" s="147"/>
      <c r="P10" s="147"/>
      <c r="Q10" s="131" t="s">
        <v>296</v>
      </c>
      <c r="R10" s="132"/>
      <c r="S10" s="133"/>
      <c r="T10" s="140" t="s">
        <v>300</v>
      </c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2"/>
      <c r="AI10" s="131" t="s">
        <v>302</v>
      </c>
      <c r="AJ10" s="132"/>
      <c r="AK10" s="132"/>
      <c r="AL10" s="132"/>
      <c r="AM10" s="132"/>
      <c r="AN10" s="133"/>
      <c r="AO10" s="134"/>
      <c r="AP10" s="135"/>
      <c r="AQ10" s="136"/>
    </row>
    <row r="11" spans="1:43" ht="25.5" customHeight="1" thickBot="1" x14ac:dyDescent="0.35">
      <c r="A11" s="125"/>
      <c r="B11" s="127"/>
      <c r="C11" s="134"/>
      <c r="D11" s="135"/>
      <c r="E11" s="135"/>
      <c r="F11" s="136"/>
      <c r="G11" s="146"/>
      <c r="H11" s="147"/>
      <c r="I11" s="147"/>
      <c r="J11" s="147"/>
      <c r="K11" s="147"/>
      <c r="L11" s="147"/>
      <c r="M11" s="147"/>
      <c r="N11" s="147"/>
      <c r="O11" s="147"/>
      <c r="P11" s="147"/>
      <c r="Q11" s="134"/>
      <c r="R11" s="135"/>
      <c r="S11" s="136"/>
      <c r="T11" s="140" t="s">
        <v>10</v>
      </c>
      <c r="U11" s="141"/>
      <c r="V11" s="141"/>
      <c r="W11" s="141"/>
      <c r="X11" s="141"/>
      <c r="Y11" s="142"/>
      <c r="Z11" s="140" t="s">
        <v>309</v>
      </c>
      <c r="AA11" s="141"/>
      <c r="AB11" s="141"/>
      <c r="AC11" s="141"/>
      <c r="AD11" s="141"/>
      <c r="AE11" s="142"/>
      <c r="AF11" s="131" t="s">
        <v>418</v>
      </c>
      <c r="AG11" s="132"/>
      <c r="AH11" s="133"/>
      <c r="AI11" s="137"/>
      <c r="AJ11" s="138"/>
      <c r="AK11" s="138"/>
      <c r="AL11" s="138"/>
      <c r="AM11" s="138"/>
      <c r="AN11" s="139"/>
      <c r="AO11" s="134"/>
      <c r="AP11" s="135"/>
      <c r="AQ11" s="136"/>
    </row>
    <row r="12" spans="1:43" ht="45" customHeight="1" thickBot="1" x14ac:dyDescent="0.35">
      <c r="A12" s="125"/>
      <c r="B12" s="127"/>
      <c r="C12" s="134"/>
      <c r="D12" s="135"/>
      <c r="E12" s="135"/>
      <c r="F12" s="136"/>
      <c r="G12" s="146"/>
      <c r="H12" s="147"/>
      <c r="I12" s="147"/>
      <c r="J12" s="147"/>
      <c r="K12" s="147"/>
      <c r="L12" s="147"/>
      <c r="M12" s="147"/>
      <c r="N12" s="147"/>
      <c r="O12" s="147"/>
      <c r="P12" s="147"/>
      <c r="Q12" s="137"/>
      <c r="R12" s="138"/>
      <c r="S12" s="139"/>
      <c r="T12" s="140" t="s">
        <v>138</v>
      </c>
      <c r="U12" s="141"/>
      <c r="V12" s="142"/>
      <c r="W12" s="140" t="s">
        <v>13</v>
      </c>
      <c r="X12" s="141"/>
      <c r="Y12" s="142"/>
      <c r="Z12" s="140" t="s">
        <v>139</v>
      </c>
      <c r="AA12" s="141"/>
      <c r="AB12" s="142"/>
      <c r="AC12" s="140" t="s">
        <v>11</v>
      </c>
      <c r="AD12" s="141"/>
      <c r="AE12" s="142"/>
      <c r="AF12" s="137"/>
      <c r="AG12" s="138"/>
      <c r="AH12" s="139"/>
      <c r="AI12" s="140" t="s">
        <v>301</v>
      </c>
      <c r="AJ12" s="141"/>
      <c r="AK12" s="142"/>
      <c r="AL12" s="140" t="s">
        <v>393</v>
      </c>
      <c r="AM12" s="141"/>
      <c r="AN12" s="142"/>
      <c r="AO12" s="137"/>
      <c r="AP12" s="138"/>
      <c r="AQ12" s="139"/>
    </row>
    <row r="13" spans="1:43" ht="15.75" customHeight="1" thickBot="1" x14ac:dyDescent="0.35">
      <c r="A13" s="128"/>
      <c r="B13" s="130"/>
      <c r="C13" s="137"/>
      <c r="D13" s="138"/>
      <c r="E13" s="138"/>
      <c r="F13" s="139"/>
      <c r="G13" s="149"/>
      <c r="H13" s="150"/>
      <c r="I13" s="150"/>
      <c r="J13" s="150"/>
      <c r="K13" s="150"/>
      <c r="L13" s="150"/>
      <c r="M13" s="150"/>
      <c r="N13" s="150"/>
      <c r="O13" s="150"/>
      <c r="P13" s="150"/>
      <c r="Q13" s="152">
        <v>1</v>
      </c>
      <c r="R13" s="153"/>
      <c r="S13" s="154"/>
      <c r="T13" s="152">
        <v>2</v>
      </c>
      <c r="U13" s="153"/>
      <c r="V13" s="154"/>
      <c r="W13" s="152">
        <v>3</v>
      </c>
      <c r="X13" s="153"/>
      <c r="Y13" s="154"/>
      <c r="Z13" s="152">
        <v>4</v>
      </c>
      <c r="AA13" s="153"/>
      <c r="AB13" s="154"/>
      <c r="AC13" s="152">
        <v>5</v>
      </c>
      <c r="AD13" s="153"/>
      <c r="AE13" s="154"/>
      <c r="AF13" s="152">
        <v>6</v>
      </c>
      <c r="AG13" s="153"/>
      <c r="AH13" s="154"/>
      <c r="AI13" s="152">
        <v>7</v>
      </c>
      <c r="AJ13" s="153"/>
      <c r="AK13" s="154"/>
      <c r="AL13" s="152">
        <v>8</v>
      </c>
      <c r="AM13" s="153"/>
      <c r="AN13" s="154"/>
      <c r="AO13" s="152">
        <v>9</v>
      </c>
      <c r="AP13" s="153"/>
      <c r="AQ13" s="154"/>
    </row>
    <row r="14" spans="1:43" ht="14.4" customHeight="1" x14ac:dyDescent="0.3">
      <c r="A14" s="193" t="s">
        <v>173</v>
      </c>
      <c r="B14" s="189"/>
      <c r="C14" s="190"/>
      <c r="D14" s="194">
        <v>20</v>
      </c>
      <c r="E14" s="195"/>
      <c r="F14" s="196"/>
      <c r="G14" s="206" t="s">
        <v>484</v>
      </c>
      <c r="H14" s="207"/>
      <c r="I14" s="207"/>
      <c r="J14" s="207"/>
      <c r="K14" s="207"/>
      <c r="L14" s="207"/>
      <c r="M14" s="207"/>
      <c r="N14" s="207"/>
      <c r="O14" s="207"/>
      <c r="P14" s="207"/>
      <c r="Q14" s="203">
        <f>+Q15+Q18+Q19</f>
        <v>0</v>
      </c>
      <c r="R14" s="204"/>
      <c r="S14" s="205"/>
      <c r="T14" s="203">
        <f t="shared" ref="T14" si="0">+T15+T18+T19</f>
        <v>0</v>
      </c>
      <c r="U14" s="204"/>
      <c r="V14" s="205"/>
      <c r="W14" s="203">
        <f t="shared" ref="W14" si="1">+W15+W18+W19</f>
        <v>0</v>
      </c>
      <c r="X14" s="204"/>
      <c r="Y14" s="205"/>
      <c r="Z14" s="208">
        <f t="shared" ref="Z14" si="2">+Z15+Z18+Z19</f>
        <v>0</v>
      </c>
      <c r="AA14" s="209"/>
      <c r="AB14" s="210"/>
      <c r="AC14" s="203">
        <f t="shared" ref="AC14" si="3">+AC15+AC18+AC19</f>
        <v>0</v>
      </c>
      <c r="AD14" s="204"/>
      <c r="AE14" s="205"/>
      <c r="AF14" s="203">
        <f t="shared" ref="AF14" si="4">+AF15+AF18+AF19</f>
        <v>0</v>
      </c>
      <c r="AG14" s="204"/>
      <c r="AH14" s="205"/>
      <c r="AI14" s="203">
        <f t="shared" ref="AI14" si="5">+AI15+AI18+AI19</f>
        <v>0</v>
      </c>
      <c r="AJ14" s="204"/>
      <c r="AK14" s="205"/>
      <c r="AL14" s="203">
        <f t="shared" ref="AL14" si="6">+AL15+AL18+AL19</f>
        <v>0</v>
      </c>
      <c r="AM14" s="204"/>
      <c r="AN14" s="204"/>
      <c r="AO14" s="216">
        <f>SUM(Q14:AN14)</f>
        <v>0</v>
      </c>
      <c r="AP14" s="144"/>
      <c r="AQ14" s="145"/>
    </row>
    <row r="15" spans="1:43" ht="14.4" customHeight="1" x14ac:dyDescent="0.3">
      <c r="A15" s="193" t="s">
        <v>765</v>
      </c>
      <c r="B15" s="189"/>
      <c r="C15" s="190"/>
      <c r="D15" s="191">
        <v>201</v>
      </c>
      <c r="E15" s="192"/>
      <c r="F15" s="192"/>
      <c r="G15" s="226" t="s">
        <v>683</v>
      </c>
      <c r="H15" s="227"/>
      <c r="I15" s="227"/>
      <c r="J15" s="227"/>
      <c r="K15" s="227"/>
      <c r="L15" s="227"/>
      <c r="M15" s="227"/>
      <c r="N15" s="227"/>
      <c r="O15" s="227"/>
      <c r="P15" s="227"/>
      <c r="Q15" s="211">
        <f>+Q16+Q17</f>
        <v>0</v>
      </c>
      <c r="R15" s="212"/>
      <c r="S15" s="213"/>
      <c r="T15" s="211">
        <f t="shared" ref="T15" si="7">+T16+T17</f>
        <v>0</v>
      </c>
      <c r="U15" s="212"/>
      <c r="V15" s="213"/>
      <c r="W15" s="211">
        <f t="shared" ref="W15" si="8">+W16+W17</f>
        <v>0</v>
      </c>
      <c r="X15" s="212"/>
      <c r="Y15" s="213"/>
      <c r="Z15" s="231">
        <f t="shared" ref="Z15" si="9">+Z16+Z17</f>
        <v>0</v>
      </c>
      <c r="AA15" s="232"/>
      <c r="AB15" s="233"/>
      <c r="AC15" s="211">
        <f t="shared" ref="AC15" si="10">+AC16+AC17</f>
        <v>0</v>
      </c>
      <c r="AD15" s="212"/>
      <c r="AE15" s="213"/>
      <c r="AF15" s="211">
        <f t="shared" ref="AF15" si="11">+AF16+AF17</f>
        <v>0</v>
      </c>
      <c r="AG15" s="212"/>
      <c r="AH15" s="213"/>
      <c r="AI15" s="211">
        <f t="shared" ref="AI15" si="12">+AI16+AI17</f>
        <v>0</v>
      </c>
      <c r="AJ15" s="212"/>
      <c r="AK15" s="213"/>
      <c r="AL15" s="211">
        <f t="shared" ref="AL15" si="13">+AL16+AL17</f>
        <v>0</v>
      </c>
      <c r="AM15" s="212"/>
      <c r="AN15" s="212"/>
      <c r="AO15" s="234">
        <f>SUM(Q15:AN15)</f>
        <v>0</v>
      </c>
      <c r="AP15" s="147"/>
      <c r="AQ15" s="148"/>
    </row>
    <row r="16" spans="1:43" ht="14.4" x14ac:dyDescent="0.3">
      <c r="A16" s="188" t="s">
        <v>766</v>
      </c>
      <c r="B16" s="189"/>
      <c r="C16" s="190"/>
      <c r="D16" s="191">
        <v>202</v>
      </c>
      <c r="E16" s="192"/>
      <c r="F16" s="192"/>
      <c r="G16" s="228" t="s">
        <v>680</v>
      </c>
      <c r="H16" s="229"/>
      <c r="I16" s="229"/>
      <c r="J16" s="229"/>
      <c r="K16" s="229"/>
      <c r="L16" s="229"/>
      <c r="M16" s="229"/>
      <c r="N16" s="229"/>
      <c r="O16" s="229"/>
      <c r="P16" s="229"/>
      <c r="Q16" s="115"/>
      <c r="R16" s="197"/>
      <c r="S16" s="117"/>
      <c r="T16" s="115"/>
      <c r="U16" s="197"/>
      <c r="V16" s="117"/>
      <c r="W16" s="191"/>
      <c r="X16" s="192"/>
      <c r="Y16" s="217"/>
      <c r="Z16" s="115"/>
      <c r="AA16" s="197"/>
      <c r="AB16" s="117"/>
      <c r="AC16" s="115"/>
      <c r="AD16" s="197"/>
      <c r="AE16" s="117"/>
      <c r="AF16" s="115"/>
      <c r="AG16" s="197"/>
      <c r="AH16" s="117"/>
      <c r="AI16" s="115"/>
      <c r="AJ16" s="197"/>
      <c r="AK16" s="117"/>
      <c r="AL16" s="115"/>
      <c r="AM16" s="197"/>
      <c r="AN16" s="197"/>
      <c r="AO16" s="191"/>
      <c r="AP16" s="192"/>
      <c r="AQ16" s="217"/>
    </row>
    <row r="17" spans="1:43" ht="14.4" x14ac:dyDescent="0.3">
      <c r="A17" s="188" t="s">
        <v>767</v>
      </c>
      <c r="B17" s="189"/>
      <c r="C17" s="190"/>
      <c r="D17" s="191">
        <v>203</v>
      </c>
      <c r="E17" s="192"/>
      <c r="F17" s="192"/>
      <c r="G17" s="201" t="s">
        <v>700</v>
      </c>
      <c r="H17" s="202"/>
      <c r="I17" s="202"/>
      <c r="J17" s="202"/>
      <c r="K17" s="202"/>
      <c r="L17" s="202"/>
      <c r="M17" s="202"/>
      <c r="N17" s="202"/>
      <c r="O17" s="202"/>
      <c r="P17" s="202"/>
      <c r="Q17" s="115"/>
      <c r="R17" s="197"/>
      <c r="S17" s="117"/>
      <c r="T17" s="191"/>
      <c r="U17" s="192"/>
      <c r="V17" s="217"/>
      <c r="W17" s="191"/>
      <c r="X17" s="192"/>
      <c r="Y17" s="217"/>
      <c r="Z17" s="191"/>
      <c r="AA17" s="192"/>
      <c r="AB17" s="217"/>
      <c r="AC17" s="12"/>
      <c r="AD17" s="13"/>
      <c r="AE17" s="14"/>
      <c r="AF17" s="115"/>
      <c r="AG17" s="197"/>
      <c r="AH17" s="117"/>
      <c r="AI17" s="115"/>
      <c r="AJ17" s="197"/>
      <c r="AK17" s="117"/>
      <c r="AL17" s="115"/>
      <c r="AM17" s="197"/>
      <c r="AN17" s="197"/>
      <c r="AO17" s="191"/>
      <c r="AP17" s="192"/>
      <c r="AQ17" s="217"/>
    </row>
    <row r="18" spans="1:43" ht="14.4" x14ac:dyDescent="0.3">
      <c r="A18" s="193" t="s">
        <v>768</v>
      </c>
      <c r="B18" s="189"/>
      <c r="C18" s="190"/>
      <c r="D18" s="191">
        <v>204</v>
      </c>
      <c r="E18" s="192"/>
      <c r="F18" s="192"/>
      <c r="G18" s="226" t="s">
        <v>681</v>
      </c>
      <c r="H18" s="227"/>
      <c r="I18" s="227"/>
      <c r="J18" s="227"/>
      <c r="K18" s="227"/>
      <c r="L18" s="227"/>
      <c r="M18" s="227"/>
      <c r="N18" s="227"/>
      <c r="O18" s="227"/>
      <c r="P18" s="227"/>
      <c r="Q18" s="115"/>
      <c r="R18" s="197"/>
      <c r="S18" s="117"/>
      <c r="T18" s="191"/>
      <c r="U18" s="192"/>
      <c r="V18" s="217"/>
      <c r="W18" s="191"/>
      <c r="X18" s="192"/>
      <c r="Y18" s="217"/>
      <c r="Z18" s="191"/>
      <c r="AA18" s="192"/>
      <c r="AB18" s="217"/>
      <c r="AC18" s="12"/>
      <c r="AD18" s="13"/>
      <c r="AE18" s="14"/>
      <c r="AF18" s="115"/>
      <c r="AG18" s="197"/>
      <c r="AH18" s="117"/>
      <c r="AI18" s="115"/>
      <c r="AJ18" s="197"/>
      <c r="AK18" s="117"/>
      <c r="AL18" s="115"/>
      <c r="AM18" s="197"/>
      <c r="AN18" s="197"/>
      <c r="AO18" s="191"/>
      <c r="AP18" s="192"/>
      <c r="AQ18" s="217"/>
    </row>
    <row r="19" spans="1:43" ht="14.4" x14ac:dyDescent="0.3">
      <c r="A19" s="193" t="s">
        <v>769</v>
      </c>
      <c r="B19" s="189"/>
      <c r="C19" s="190"/>
      <c r="D19" s="191">
        <v>205</v>
      </c>
      <c r="E19" s="192"/>
      <c r="F19" s="192"/>
      <c r="G19" s="226" t="s">
        <v>682</v>
      </c>
      <c r="H19" s="227"/>
      <c r="I19" s="227"/>
      <c r="J19" s="227"/>
      <c r="K19" s="227"/>
      <c r="L19" s="227"/>
      <c r="M19" s="227"/>
      <c r="N19" s="227"/>
      <c r="O19" s="227"/>
      <c r="P19" s="227"/>
      <c r="Q19" s="115"/>
      <c r="R19" s="197"/>
      <c r="S19" s="117"/>
      <c r="T19" s="191"/>
      <c r="U19" s="192"/>
      <c r="V19" s="217"/>
      <c r="W19" s="191"/>
      <c r="X19" s="192"/>
      <c r="Y19" s="217"/>
      <c r="Z19" s="191"/>
      <c r="AA19" s="192"/>
      <c r="AB19" s="217"/>
      <c r="AC19" s="12"/>
      <c r="AD19" s="13"/>
      <c r="AE19" s="14"/>
      <c r="AF19" s="115"/>
      <c r="AG19" s="197"/>
      <c r="AH19" s="117"/>
      <c r="AI19" s="115"/>
      <c r="AJ19" s="197"/>
      <c r="AK19" s="117"/>
      <c r="AL19" s="115"/>
      <c r="AM19" s="197"/>
      <c r="AN19" s="197"/>
      <c r="AO19" s="191"/>
      <c r="AP19" s="192"/>
      <c r="AQ19" s="217"/>
    </row>
    <row r="20" spans="1:43" ht="14.4" x14ac:dyDescent="0.3">
      <c r="A20" s="193" t="s">
        <v>174</v>
      </c>
      <c r="B20" s="189"/>
      <c r="C20" s="190"/>
      <c r="D20" s="191">
        <v>206</v>
      </c>
      <c r="E20" s="192"/>
      <c r="F20" s="192"/>
      <c r="G20" s="218" t="s">
        <v>515</v>
      </c>
      <c r="H20" s="219"/>
      <c r="I20" s="219"/>
      <c r="J20" s="219"/>
      <c r="K20" s="219"/>
      <c r="L20" s="219"/>
      <c r="M20" s="219"/>
      <c r="N20" s="219"/>
      <c r="O20" s="219"/>
      <c r="P20" s="219"/>
      <c r="Q20" s="220">
        <f>Q21+Q22+Q23</f>
        <v>0</v>
      </c>
      <c r="R20" s="221"/>
      <c r="S20" s="222"/>
      <c r="T20" s="220">
        <f t="shared" ref="T20" si="14">T21+T22+T23</f>
        <v>0</v>
      </c>
      <c r="U20" s="221"/>
      <c r="V20" s="222"/>
      <c r="W20" s="220">
        <f t="shared" ref="W20" si="15">W21+W22+W23</f>
        <v>0</v>
      </c>
      <c r="X20" s="221"/>
      <c r="Y20" s="222"/>
      <c r="Z20" s="220">
        <f t="shared" ref="Z20" si="16">Z21+Z22+Z23</f>
        <v>0</v>
      </c>
      <c r="AA20" s="221"/>
      <c r="AB20" s="222"/>
      <c r="AC20" s="220">
        <f t="shared" ref="AC20" si="17">AC21+AC22+AC23</f>
        <v>0</v>
      </c>
      <c r="AD20" s="221"/>
      <c r="AE20" s="222"/>
      <c r="AF20" s="220">
        <f t="shared" ref="AF20" si="18">AF21+AF22+AF23</f>
        <v>0</v>
      </c>
      <c r="AG20" s="221"/>
      <c r="AH20" s="222"/>
      <c r="AI20" s="220">
        <f t="shared" ref="AI20" si="19">AI21+AI22+AI23</f>
        <v>0</v>
      </c>
      <c r="AJ20" s="221"/>
      <c r="AK20" s="222"/>
      <c r="AL20" s="220">
        <f t="shared" ref="AL20" si="20">AL21+AL22+AL23</f>
        <v>0</v>
      </c>
      <c r="AM20" s="221"/>
      <c r="AN20" s="221"/>
      <c r="AO20" s="223"/>
      <c r="AP20" s="224"/>
      <c r="AQ20" s="225"/>
    </row>
    <row r="21" spans="1:43" ht="14.4" x14ac:dyDescent="0.3">
      <c r="A21" s="188" t="s">
        <v>172</v>
      </c>
      <c r="B21" s="189"/>
      <c r="C21" s="190"/>
      <c r="D21" s="191">
        <v>207</v>
      </c>
      <c r="E21" s="192"/>
      <c r="F21" s="192"/>
      <c r="G21" s="201" t="s">
        <v>612</v>
      </c>
      <c r="H21" s="202"/>
      <c r="I21" s="202"/>
      <c r="J21" s="202"/>
      <c r="K21" s="202"/>
      <c r="L21" s="202"/>
      <c r="M21" s="202"/>
      <c r="N21" s="202"/>
      <c r="O21" s="202"/>
      <c r="P21" s="202"/>
      <c r="Q21" s="115"/>
      <c r="R21" s="197"/>
      <c r="S21" s="117"/>
      <c r="T21" s="115"/>
      <c r="U21" s="197"/>
      <c r="V21" s="117"/>
      <c r="W21" s="115"/>
      <c r="X21" s="197"/>
      <c r="Y21" s="117"/>
      <c r="Z21" s="115"/>
      <c r="AA21" s="197"/>
      <c r="AB21" s="117"/>
      <c r="AC21" s="115"/>
      <c r="AD21" s="197"/>
      <c r="AE21" s="117"/>
      <c r="AF21" s="115"/>
      <c r="AG21" s="197"/>
      <c r="AH21" s="117"/>
      <c r="AI21" s="115"/>
      <c r="AJ21" s="197"/>
      <c r="AK21" s="117"/>
      <c r="AL21" s="115"/>
      <c r="AM21" s="197"/>
      <c r="AN21" s="197"/>
      <c r="AO21" s="115"/>
      <c r="AP21" s="197"/>
      <c r="AQ21" s="117"/>
    </row>
    <row r="22" spans="1:43" ht="11.25" customHeight="1" x14ac:dyDescent="0.3">
      <c r="A22" s="188" t="s">
        <v>770</v>
      </c>
      <c r="B22" s="189"/>
      <c r="C22" s="190"/>
      <c r="D22" s="191">
        <v>208</v>
      </c>
      <c r="E22" s="192"/>
      <c r="F22" s="192"/>
      <c r="G22" s="201" t="s">
        <v>613</v>
      </c>
      <c r="H22" s="202"/>
      <c r="I22" s="202"/>
      <c r="J22" s="202"/>
      <c r="K22" s="202"/>
      <c r="L22" s="202"/>
      <c r="M22" s="202"/>
      <c r="N22" s="202"/>
      <c r="O22" s="202"/>
      <c r="P22" s="202"/>
      <c r="Q22" s="115"/>
      <c r="R22" s="197"/>
      <c r="S22" s="117"/>
      <c r="T22" s="115"/>
      <c r="U22" s="197"/>
      <c r="V22" s="117"/>
      <c r="W22" s="115"/>
      <c r="X22" s="197"/>
      <c r="Y22" s="117"/>
      <c r="Z22" s="115"/>
      <c r="AA22" s="197"/>
      <c r="AB22" s="117"/>
      <c r="AC22" s="115"/>
      <c r="AD22" s="197"/>
      <c r="AE22" s="117"/>
      <c r="AF22" s="115"/>
      <c r="AG22" s="197"/>
      <c r="AH22" s="117"/>
      <c r="AI22" s="115"/>
      <c r="AJ22" s="197"/>
      <c r="AK22" s="117"/>
      <c r="AL22" s="115"/>
      <c r="AM22" s="197"/>
      <c r="AN22" s="197"/>
      <c r="AO22" s="115"/>
      <c r="AP22" s="197"/>
      <c r="AQ22" s="117"/>
    </row>
    <row r="23" spans="1:43" ht="11.25" customHeight="1" thickBot="1" x14ac:dyDescent="0.35">
      <c r="A23" s="188" t="s">
        <v>615</v>
      </c>
      <c r="B23" s="189"/>
      <c r="C23" s="190"/>
      <c r="D23" s="191">
        <v>209</v>
      </c>
      <c r="E23" s="192"/>
      <c r="F23" s="192"/>
      <c r="G23" s="201" t="s">
        <v>614</v>
      </c>
      <c r="H23" s="202"/>
      <c r="I23" s="202"/>
      <c r="J23" s="202"/>
      <c r="K23" s="202"/>
      <c r="L23" s="202"/>
      <c r="M23" s="202"/>
      <c r="N23" s="202"/>
      <c r="O23" s="202"/>
      <c r="P23" s="202"/>
      <c r="Q23" s="165"/>
      <c r="R23" s="166"/>
      <c r="S23" s="167"/>
      <c r="T23" s="198"/>
      <c r="U23" s="199"/>
      <c r="V23" s="200"/>
      <c r="W23" s="198"/>
      <c r="X23" s="199"/>
      <c r="Y23" s="200"/>
      <c r="Z23" s="198"/>
      <c r="AA23" s="199"/>
      <c r="AB23" s="200"/>
      <c r="AC23" s="198"/>
      <c r="AD23" s="199"/>
      <c r="AE23" s="200"/>
      <c r="AF23" s="198"/>
      <c r="AG23" s="199"/>
      <c r="AH23" s="200"/>
      <c r="AI23" s="198"/>
      <c r="AJ23" s="199"/>
      <c r="AK23" s="200"/>
      <c r="AL23" s="115"/>
      <c r="AM23" s="197"/>
      <c r="AN23" s="197"/>
      <c r="AO23" s="198"/>
      <c r="AP23" s="199"/>
      <c r="AQ23" s="200"/>
    </row>
    <row r="24" spans="1:43" ht="15.75" customHeight="1" thickBot="1" x14ac:dyDescent="0.35">
      <c r="A24" s="184" t="s">
        <v>132</v>
      </c>
      <c r="B24" s="185"/>
      <c r="C24" s="185"/>
      <c r="D24" s="186"/>
      <c r="E24" s="187"/>
      <c r="F24" s="114"/>
      <c r="G24" s="181" t="s">
        <v>607</v>
      </c>
      <c r="H24" s="182"/>
      <c r="I24" s="182"/>
      <c r="J24" s="182"/>
      <c r="K24" s="182"/>
      <c r="L24" s="182"/>
      <c r="M24" s="182"/>
      <c r="N24" s="182"/>
      <c r="O24" s="182"/>
      <c r="P24" s="182"/>
      <c r="Q24" s="160">
        <f>Q14+Q20</f>
        <v>0</v>
      </c>
      <c r="R24" s="161"/>
      <c r="S24" s="162"/>
      <c r="T24" s="160">
        <f>T14+T20</f>
        <v>0</v>
      </c>
      <c r="U24" s="161"/>
      <c r="V24" s="162"/>
      <c r="W24" s="160">
        <f>W14+W20</f>
        <v>0</v>
      </c>
      <c r="X24" s="161"/>
      <c r="Y24" s="162"/>
      <c r="Z24" s="160">
        <f>Z14+Z20</f>
        <v>0</v>
      </c>
      <c r="AA24" s="161"/>
      <c r="AB24" s="162"/>
      <c r="AC24" s="160">
        <f>AC14+AC20</f>
        <v>0</v>
      </c>
      <c r="AD24" s="161"/>
      <c r="AE24" s="162"/>
      <c r="AF24" s="160">
        <f>AF14+AF20</f>
        <v>0</v>
      </c>
      <c r="AG24" s="161"/>
      <c r="AH24" s="162"/>
      <c r="AI24" s="160">
        <f>AI14+AI20</f>
        <v>0</v>
      </c>
      <c r="AJ24" s="161"/>
      <c r="AK24" s="162"/>
      <c r="AL24" s="160">
        <f>AL14+AL20</f>
        <v>0</v>
      </c>
      <c r="AM24" s="161"/>
      <c r="AN24" s="162"/>
      <c r="AO24" s="160">
        <f>AO14+AO20</f>
        <v>0</v>
      </c>
      <c r="AP24" s="161"/>
      <c r="AQ24" s="162"/>
    </row>
    <row r="25" spans="1:43" ht="15" customHeight="1" x14ac:dyDescent="0.3">
      <c r="A25" s="230" t="s">
        <v>419</v>
      </c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</row>
  </sheetData>
  <mergeCells count="164">
    <mergeCell ref="G24:P24"/>
    <mergeCell ref="Q24:S24"/>
    <mergeCell ref="A25:W25"/>
    <mergeCell ref="AO24:AQ24"/>
    <mergeCell ref="Q18:S18"/>
    <mergeCell ref="Q19:S19"/>
    <mergeCell ref="T15:V15"/>
    <mergeCell ref="W15:Y15"/>
    <mergeCell ref="Z15:AB15"/>
    <mergeCell ref="Q16:S16"/>
    <mergeCell ref="Q17:S17"/>
    <mergeCell ref="AO15:AQ15"/>
    <mergeCell ref="Q15:S15"/>
    <mergeCell ref="Z24:AB24"/>
    <mergeCell ref="AC24:AE24"/>
    <mergeCell ref="AF24:AH24"/>
    <mergeCell ref="AI24:AK24"/>
    <mergeCell ref="AL24:AN24"/>
    <mergeCell ref="T24:V24"/>
    <mergeCell ref="AI15:AK15"/>
    <mergeCell ref="AO19:AQ19"/>
    <mergeCell ref="AO21:AQ21"/>
    <mergeCell ref="G20:P20"/>
    <mergeCell ref="Q20:S20"/>
    <mergeCell ref="AI20:AK20"/>
    <mergeCell ref="AL20:AN20"/>
    <mergeCell ref="AO20:AQ20"/>
    <mergeCell ref="G15:P15"/>
    <mergeCell ref="G16:P16"/>
    <mergeCell ref="G17:P17"/>
    <mergeCell ref="G18:P18"/>
    <mergeCell ref="G19:P19"/>
    <mergeCell ref="Z20:AB20"/>
    <mergeCell ref="T20:V20"/>
    <mergeCell ref="W20:Y20"/>
    <mergeCell ref="AC20:AE20"/>
    <mergeCell ref="AF20:AH20"/>
    <mergeCell ref="AL15:AN15"/>
    <mergeCell ref="AO16:AQ16"/>
    <mergeCell ref="AO17:AQ17"/>
    <mergeCell ref="AO18:AQ18"/>
    <mergeCell ref="W19:Y19"/>
    <mergeCell ref="T19:V19"/>
    <mergeCell ref="Z18:AB18"/>
    <mergeCell ref="W18:Y18"/>
    <mergeCell ref="T18:V18"/>
    <mergeCell ref="Z17:AB17"/>
    <mergeCell ref="W17:Y17"/>
    <mergeCell ref="T17:V17"/>
    <mergeCell ref="AC16:AE16"/>
    <mergeCell ref="Z16:AB16"/>
    <mergeCell ref="W16:Y16"/>
    <mergeCell ref="T16:V16"/>
    <mergeCell ref="Z19:AB19"/>
    <mergeCell ref="W24:Y24"/>
    <mergeCell ref="AC15:AE15"/>
    <mergeCell ref="AF15:AH15"/>
    <mergeCell ref="A1:AQ1"/>
    <mergeCell ref="A2:AQ2"/>
    <mergeCell ref="A9:B13"/>
    <mergeCell ref="G9:P13"/>
    <mergeCell ref="Q9:AN9"/>
    <mergeCell ref="T12:V12"/>
    <mergeCell ref="W12:Y12"/>
    <mergeCell ref="AI12:AK12"/>
    <mergeCell ref="AO9:AQ12"/>
    <mergeCell ref="T10:AH10"/>
    <mergeCell ref="AI10:AN11"/>
    <mergeCell ref="T11:Y11"/>
    <mergeCell ref="G4:L4"/>
    <mergeCell ref="T4:AA4"/>
    <mergeCell ref="A4:E4"/>
    <mergeCell ref="AL13:AN13"/>
    <mergeCell ref="Z11:AE11"/>
    <mergeCell ref="AO13:AQ13"/>
    <mergeCell ref="C9:F13"/>
    <mergeCell ref="AO14:AQ14"/>
    <mergeCell ref="H7:O7"/>
    <mergeCell ref="AE7:AF7"/>
    <mergeCell ref="AF11:AH12"/>
    <mergeCell ref="AL12:AN12"/>
    <mergeCell ref="Q13:S13"/>
    <mergeCell ref="AL14:AN14"/>
    <mergeCell ref="Q14:S14"/>
    <mergeCell ref="G14:P14"/>
    <mergeCell ref="O4:R4"/>
    <mergeCell ref="Q10:S12"/>
    <mergeCell ref="W14:Y14"/>
    <mergeCell ref="AI14:AK14"/>
    <mergeCell ref="AF14:AH14"/>
    <mergeCell ref="AC14:AE14"/>
    <mergeCell ref="Z14:AB14"/>
    <mergeCell ref="T14:V14"/>
    <mergeCell ref="AI13:AK13"/>
    <mergeCell ref="AF13:AH13"/>
    <mergeCell ref="AC13:AE13"/>
    <mergeCell ref="Z13:AB13"/>
    <mergeCell ref="W13:Y13"/>
    <mergeCell ref="T13:V13"/>
    <mergeCell ref="Z12:AB12"/>
    <mergeCell ref="AC12:AE12"/>
    <mergeCell ref="AO22:AQ22"/>
    <mergeCell ref="AO23:AQ23"/>
    <mergeCell ref="G21:P21"/>
    <mergeCell ref="G22:P22"/>
    <mergeCell ref="G23:P23"/>
    <mergeCell ref="Q21:S21"/>
    <mergeCell ref="Q22:S22"/>
    <mergeCell ref="Q23:S23"/>
    <mergeCell ref="AI23:AK23"/>
    <mergeCell ref="W23:Y23"/>
    <mergeCell ref="T23:V23"/>
    <mergeCell ref="AI22:AK22"/>
    <mergeCell ref="W22:Y22"/>
    <mergeCell ref="T22:V22"/>
    <mergeCell ref="AI21:AK21"/>
    <mergeCell ref="Z21:AB21"/>
    <mergeCell ref="W21:Y21"/>
    <mergeCell ref="T21:V21"/>
    <mergeCell ref="AL16:AN16"/>
    <mergeCell ref="AL17:AN17"/>
    <mergeCell ref="AL18:AN18"/>
    <mergeCell ref="AL19:AN19"/>
    <mergeCell ref="AL21:AN21"/>
    <mergeCell ref="AL22:AN22"/>
    <mergeCell ref="AL23:AN23"/>
    <mergeCell ref="Z22:AB22"/>
    <mergeCell ref="Z23:AB23"/>
    <mergeCell ref="AF16:AH16"/>
    <mergeCell ref="AF17:AH17"/>
    <mergeCell ref="AF18:AH18"/>
    <mergeCell ref="AF19:AH19"/>
    <mergeCell ref="AI16:AK16"/>
    <mergeCell ref="AI17:AK17"/>
    <mergeCell ref="AI18:AK18"/>
    <mergeCell ref="AI19:AK19"/>
    <mergeCell ref="AF21:AH21"/>
    <mergeCell ref="AF22:AH22"/>
    <mergeCell ref="AF23:AH23"/>
    <mergeCell ref="AC21:AE21"/>
    <mergeCell ref="AC22:AE22"/>
    <mergeCell ref="AC23:AE23"/>
    <mergeCell ref="A14:C14"/>
    <mergeCell ref="D14:F14"/>
    <mergeCell ref="A15:C15"/>
    <mergeCell ref="A16:C16"/>
    <mergeCell ref="A17:C17"/>
    <mergeCell ref="A18:C18"/>
    <mergeCell ref="A19:C19"/>
    <mergeCell ref="A20:C20"/>
    <mergeCell ref="A21:C21"/>
    <mergeCell ref="A24:C24"/>
    <mergeCell ref="D24:F24"/>
    <mergeCell ref="A22:C22"/>
    <mergeCell ref="A23:C23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V24"/>
  <sheetViews>
    <sheetView showGridLines="0" view="pageBreakPreview" zoomScale="106" zoomScaleNormal="100" zoomScaleSheetLayoutView="106" workbookViewId="0">
      <selection activeCell="A23" sqref="A23:D23"/>
    </sheetView>
  </sheetViews>
  <sheetFormatPr baseColWidth="10" defaultColWidth="3.44140625" defaultRowHeight="10.199999999999999" x14ac:dyDescent="0.3"/>
  <cols>
    <col min="1" max="2" width="3.44140625" style="1"/>
    <col min="3" max="3" width="3" style="1" customWidth="1"/>
    <col min="4" max="4" width="5.33203125" style="1" customWidth="1"/>
    <col min="5" max="11" width="3.44140625" style="1"/>
    <col min="12" max="13" width="3.44140625" style="1" customWidth="1"/>
    <col min="14" max="14" width="1.5546875" style="1" customWidth="1"/>
    <col min="15" max="15" width="0.44140625" style="1" customWidth="1"/>
    <col min="16" max="21" width="3.44140625" style="1" hidden="1" customWidth="1"/>
    <col min="22" max="22" width="1.77734375" style="1" hidden="1" customWidth="1"/>
    <col min="23" max="23" width="14.21875" style="1" customWidth="1"/>
    <col min="24" max="25" width="3.44140625" style="1"/>
    <col min="26" max="26" width="3.21875" style="1" customWidth="1"/>
    <col min="27" max="33" width="3.44140625" style="1"/>
    <col min="34" max="34" width="9.21875" style="1" customWidth="1"/>
    <col min="35" max="40" width="3.44140625" style="1"/>
    <col min="41" max="41" width="5.44140625" style="1" customWidth="1"/>
    <col min="42" max="42" width="9.21875" style="1" customWidth="1"/>
    <col min="43" max="45" width="3.44140625" style="1"/>
    <col min="46" max="46" width="0.5546875" style="1" customWidth="1"/>
    <col min="47" max="48" width="9.77734375" style="1" customWidth="1"/>
    <col min="49" max="16384" width="3.44140625" style="1"/>
  </cols>
  <sheetData>
    <row r="1" spans="1:48" x14ac:dyDescent="0.3">
      <c r="A1" s="249" t="s">
        <v>684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1"/>
      <c r="AU1" s="9"/>
      <c r="AV1" s="9"/>
    </row>
    <row r="2" spans="1:48" ht="14.4" thickBot="1" x14ac:dyDescent="0.35">
      <c r="A2" s="120" t="s">
        <v>33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215"/>
      <c r="AU2" s="40"/>
      <c r="AV2" s="40"/>
    </row>
    <row r="3" spans="1:48" ht="13.8" x14ac:dyDescent="0.3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3"/>
      <c r="AU3" s="39"/>
      <c r="AV3" s="39"/>
    </row>
    <row r="4" spans="1:48" ht="13.8" x14ac:dyDescent="0.3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25"/>
      <c r="M4" s="25"/>
      <c r="N4" s="158" t="s">
        <v>477</v>
      </c>
      <c r="O4" s="158"/>
      <c r="P4" s="158"/>
      <c r="Q4" s="158"/>
      <c r="R4" s="158"/>
      <c r="S4" s="158"/>
      <c r="T4" s="158"/>
      <c r="U4" s="158"/>
      <c r="V4" s="158"/>
      <c r="W4" s="158"/>
      <c r="X4" s="155"/>
      <c r="Y4" s="156"/>
      <c r="Z4" s="156"/>
      <c r="AA4" s="156"/>
      <c r="AB4" s="156"/>
      <c r="AC4" s="156"/>
      <c r="AD4" s="156"/>
      <c r="AE4" s="156"/>
      <c r="AF4" s="156"/>
      <c r="AG4" s="156"/>
      <c r="AH4" s="157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6"/>
      <c r="AU4" s="39"/>
      <c r="AV4" s="39"/>
    </row>
    <row r="5" spans="1:48" ht="13.8" x14ac:dyDescent="0.3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6"/>
      <c r="AU5" s="39"/>
      <c r="AV5" s="39"/>
    </row>
    <row r="6" spans="1:48" ht="13.8" x14ac:dyDescent="0.3">
      <c r="A6" s="24"/>
      <c r="B6" s="25"/>
      <c r="C6" s="25"/>
      <c r="D6" s="25"/>
      <c r="E6" s="27" t="s">
        <v>128</v>
      </c>
      <c r="F6" s="27" t="s">
        <v>128</v>
      </c>
      <c r="G6" s="27" t="s">
        <v>128</v>
      </c>
      <c r="H6" s="27" t="s">
        <v>128</v>
      </c>
      <c r="I6" s="27" t="s">
        <v>127</v>
      </c>
      <c r="J6" s="27" t="s">
        <v>127</v>
      </c>
      <c r="K6" s="27" t="s">
        <v>126</v>
      </c>
      <c r="L6" s="27" t="s">
        <v>126</v>
      </c>
      <c r="M6" s="25"/>
      <c r="N6" s="25"/>
      <c r="O6" s="25"/>
      <c r="P6" s="25"/>
      <c r="Q6" s="27"/>
      <c r="R6" s="27"/>
      <c r="S6" s="27"/>
      <c r="T6" s="27"/>
      <c r="U6" s="27"/>
      <c r="V6" s="25"/>
      <c r="W6" s="27"/>
      <c r="X6" s="25"/>
      <c r="Y6" s="25"/>
      <c r="Z6" s="27" t="s">
        <v>255</v>
      </c>
      <c r="AA6" s="25"/>
      <c r="AB6" s="25"/>
      <c r="AC6" s="25"/>
      <c r="AD6" s="25"/>
      <c r="AE6" s="27">
        <v>0</v>
      </c>
      <c r="AF6" s="27">
        <v>5</v>
      </c>
      <c r="AG6" s="25"/>
      <c r="AH6" s="25"/>
      <c r="AI6" s="25"/>
      <c r="AJ6" s="25"/>
      <c r="AK6" s="27"/>
      <c r="AL6" s="25"/>
      <c r="AM6" s="25"/>
      <c r="AN6" s="25"/>
      <c r="AO6" s="25"/>
      <c r="AP6" s="25"/>
      <c r="AQ6" s="25"/>
      <c r="AR6" s="25"/>
      <c r="AS6" s="25"/>
      <c r="AT6" s="26"/>
      <c r="AU6" s="39"/>
      <c r="AV6" s="39"/>
    </row>
    <row r="7" spans="1:48" ht="13.8" x14ac:dyDescent="0.3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9"/>
      <c r="N7" s="25"/>
      <c r="O7" s="25"/>
      <c r="P7" s="25"/>
      <c r="Q7" s="25"/>
      <c r="R7" s="25"/>
      <c r="S7" s="33" t="s">
        <v>130</v>
      </c>
      <c r="T7" s="33"/>
      <c r="U7" s="25"/>
      <c r="V7" s="25"/>
      <c r="W7" s="25" t="s">
        <v>244</v>
      </c>
      <c r="X7" s="25"/>
      <c r="Y7" s="25"/>
      <c r="Z7" s="25"/>
      <c r="AA7" s="25"/>
      <c r="AB7" s="25"/>
      <c r="AC7" s="25"/>
      <c r="AD7" s="25"/>
      <c r="AE7" s="159" t="s">
        <v>131</v>
      </c>
      <c r="AF7" s="159"/>
      <c r="AG7" s="25"/>
      <c r="AH7" s="25"/>
      <c r="AI7" s="25"/>
      <c r="AJ7" s="25"/>
      <c r="AK7" s="19" t="s">
        <v>263</v>
      </c>
      <c r="AL7" s="25"/>
      <c r="AM7" s="25"/>
      <c r="AN7" s="25"/>
      <c r="AO7" s="25"/>
      <c r="AP7" s="25"/>
      <c r="AQ7" s="25"/>
      <c r="AR7" s="25"/>
      <c r="AS7" s="25"/>
      <c r="AT7" s="26"/>
      <c r="AU7" s="39"/>
      <c r="AV7" s="39"/>
    </row>
    <row r="8" spans="1:48" ht="14.4" thickBot="1" x14ac:dyDescent="0.3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30"/>
      <c r="AU8" s="39"/>
      <c r="AV8" s="39"/>
    </row>
    <row r="9" spans="1:48" ht="15.75" customHeight="1" thickBot="1" x14ac:dyDescent="0.35">
      <c r="A9" s="122" t="s">
        <v>761</v>
      </c>
      <c r="B9" s="123"/>
      <c r="C9" s="123"/>
      <c r="D9" s="124"/>
      <c r="E9" s="143" t="s">
        <v>7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253" t="s">
        <v>156</v>
      </c>
      <c r="X9" s="144"/>
      <c r="Y9" s="144"/>
      <c r="Z9" s="144"/>
      <c r="AA9" s="144"/>
      <c r="AB9" s="144"/>
      <c r="AC9" s="144"/>
      <c r="AD9" s="145"/>
      <c r="AE9" s="143" t="s">
        <v>157</v>
      </c>
      <c r="AF9" s="144"/>
      <c r="AG9" s="144"/>
      <c r="AH9" s="144"/>
      <c r="AI9" s="144"/>
      <c r="AJ9" s="144"/>
      <c r="AK9" s="144"/>
      <c r="AL9" s="145"/>
      <c r="AM9" s="143" t="s">
        <v>158</v>
      </c>
      <c r="AN9" s="144"/>
      <c r="AO9" s="144"/>
      <c r="AP9" s="144"/>
      <c r="AQ9" s="144"/>
      <c r="AR9" s="144"/>
      <c r="AS9" s="144"/>
      <c r="AT9" s="145"/>
      <c r="AU9" s="41"/>
      <c r="AV9" s="41"/>
    </row>
    <row r="10" spans="1:48" ht="15.75" customHeight="1" thickBot="1" x14ac:dyDescent="0.35">
      <c r="A10" s="125"/>
      <c r="B10" s="126"/>
      <c r="C10" s="126"/>
      <c r="D10" s="127"/>
      <c r="E10" s="146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252" t="s">
        <v>0</v>
      </c>
      <c r="X10" s="153"/>
      <c r="Y10" s="153"/>
      <c r="Z10" s="154"/>
      <c r="AA10" s="152" t="s">
        <v>511</v>
      </c>
      <c r="AB10" s="153"/>
      <c r="AC10" s="153"/>
      <c r="AD10" s="154"/>
      <c r="AE10" s="153" t="s">
        <v>0</v>
      </c>
      <c r="AF10" s="153"/>
      <c r="AG10" s="153"/>
      <c r="AH10" s="154"/>
      <c r="AI10" s="152" t="s">
        <v>511</v>
      </c>
      <c r="AJ10" s="153"/>
      <c r="AK10" s="153"/>
      <c r="AL10" s="154"/>
      <c r="AM10" s="149"/>
      <c r="AN10" s="150"/>
      <c r="AO10" s="150"/>
      <c r="AP10" s="150"/>
      <c r="AQ10" s="150"/>
      <c r="AR10" s="150"/>
      <c r="AS10" s="150"/>
      <c r="AT10" s="151"/>
      <c r="AU10" s="41"/>
      <c r="AV10" s="41"/>
    </row>
    <row r="11" spans="1:48" ht="14.4" thickBot="1" x14ac:dyDescent="0.35">
      <c r="A11" s="128"/>
      <c r="B11" s="129"/>
      <c r="C11" s="129"/>
      <c r="D11" s="130"/>
      <c r="E11" s="149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252">
        <v>1</v>
      </c>
      <c r="X11" s="153"/>
      <c r="Y11" s="153"/>
      <c r="Z11" s="154"/>
      <c r="AA11" s="152">
        <v>2</v>
      </c>
      <c r="AB11" s="153"/>
      <c r="AC11" s="153"/>
      <c r="AD11" s="154"/>
      <c r="AE11" s="152">
        <v>3</v>
      </c>
      <c r="AF11" s="153"/>
      <c r="AG11" s="153"/>
      <c r="AH11" s="154"/>
      <c r="AI11" s="152">
        <v>4</v>
      </c>
      <c r="AJ11" s="153"/>
      <c r="AK11" s="153"/>
      <c r="AL11" s="154"/>
      <c r="AM11" s="152" t="s">
        <v>512</v>
      </c>
      <c r="AN11" s="153"/>
      <c r="AO11" s="153"/>
      <c r="AP11" s="154"/>
      <c r="AQ11" s="152" t="s">
        <v>511</v>
      </c>
      <c r="AR11" s="153"/>
      <c r="AS11" s="153"/>
      <c r="AT11" s="154"/>
      <c r="AU11" s="41"/>
      <c r="AV11" s="41"/>
    </row>
    <row r="12" spans="1:48" ht="14.4" thickBot="1" x14ac:dyDescent="0.35">
      <c r="A12" s="174" t="s">
        <v>369</v>
      </c>
      <c r="B12" s="175"/>
      <c r="C12" s="175"/>
      <c r="D12" s="176"/>
      <c r="E12" s="246" t="s">
        <v>685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8"/>
      <c r="W12" s="257"/>
      <c r="X12" s="258"/>
      <c r="Y12" s="258"/>
      <c r="Z12" s="259"/>
      <c r="AA12" s="235" t="e">
        <f>W12/$W$23</f>
        <v>#DIV/0!</v>
      </c>
      <c r="AB12" s="236"/>
      <c r="AC12" s="236"/>
      <c r="AD12" s="237"/>
      <c r="AE12" s="257"/>
      <c r="AF12" s="258"/>
      <c r="AG12" s="258"/>
      <c r="AH12" s="259"/>
      <c r="AI12" s="235" t="e">
        <f>AE12/$AE$23</f>
        <v>#DIV/0!</v>
      </c>
      <c r="AJ12" s="236"/>
      <c r="AK12" s="236"/>
      <c r="AL12" s="237"/>
      <c r="AM12" s="244">
        <f>+W12+AE12</f>
        <v>0</v>
      </c>
      <c r="AN12" s="192"/>
      <c r="AO12" s="192"/>
      <c r="AP12" s="217"/>
      <c r="AQ12" s="254" t="e">
        <f>+AM12/$AM$23</f>
        <v>#DIV/0!</v>
      </c>
      <c r="AR12" s="255"/>
      <c r="AS12" s="255"/>
      <c r="AT12" s="256"/>
      <c r="AU12" s="38"/>
      <c r="AV12" s="38"/>
    </row>
    <row r="13" spans="1:48" ht="14.4" thickBot="1" x14ac:dyDescent="0.35">
      <c r="A13" s="174" t="s">
        <v>771</v>
      </c>
      <c r="B13" s="175"/>
      <c r="C13" s="175"/>
      <c r="D13" s="176"/>
      <c r="E13" s="246" t="s">
        <v>686</v>
      </c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8"/>
      <c r="W13" s="115"/>
      <c r="X13" s="197"/>
      <c r="Y13" s="197"/>
      <c r="Z13" s="117"/>
      <c r="AA13" s="235" t="e">
        <f t="shared" ref="AA13:AA23" si="0">W13/$W$23</f>
        <v>#DIV/0!</v>
      </c>
      <c r="AB13" s="236"/>
      <c r="AC13" s="236"/>
      <c r="AD13" s="237"/>
      <c r="AE13" s="115"/>
      <c r="AF13" s="197"/>
      <c r="AG13" s="197"/>
      <c r="AH13" s="117"/>
      <c r="AI13" s="235" t="e">
        <f t="shared" ref="AI13:AI23" si="1">AE13/$W$23</f>
        <v>#DIV/0!</v>
      </c>
      <c r="AJ13" s="236"/>
      <c r="AK13" s="236"/>
      <c r="AL13" s="237"/>
      <c r="AM13" s="244">
        <f t="shared" ref="AM13:AM22" si="2">+W13+AE13</f>
        <v>0</v>
      </c>
      <c r="AN13" s="192"/>
      <c r="AO13" s="192"/>
      <c r="AP13" s="217"/>
      <c r="AQ13" s="235" t="e">
        <f t="shared" ref="AQ13:AQ23" si="3">+AM13/$AM$23</f>
        <v>#DIV/0!</v>
      </c>
      <c r="AR13" s="236"/>
      <c r="AS13" s="236"/>
      <c r="AT13" s="237"/>
      <c r="AU13" s="38"/>
      <c r="AV13" s="38"/>
    </row>
    <row r="14" spans="1:48" ht="14.4" thickBot="1" x14ac:dyDescent="0.35">
      <c r="A14" s="174" t="s">
        <v>772</v>
      </c>
      <c r="B14" s="175"/>
      <c r="C14" s="175"/>
      <c r="D14" s="176"/>
      <c r="E14" s="246" t="s">
        <v>687</v>
      </c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8"/>
      <c r="W14" s="115"/>
      <c r="X14" s="197"/>
      <c r="Y14" s="197"/>
      <c r="Z14" s="117"/>
      <c r="AA14" s="235" t="e">
        <f t="shared" si="0"/>
        <v>#DIV/0!</v>
      </c>
      <c r="AB14" s="236"/>
      <c r="AC14" s="236"/>
      <c r="AD14" s="237"/>
      <c r="AE14" s="115"/>
      <c r="AF14" s="197"/>
      <c r="AG14" s="197"/>
      <c r="AH14" s="117"/>
      <c r="AI14" s="235" t="e">
        <f t="shared" si="1"/>
        <v>#DIV/0!</v>
      </c>
      <c r="AJ14" s="236"/>
      <c r="AK14" s="236"/>
      <c r="AL14" s="237"/>
      <c r="AM14" s="244">
        <f t="shared" si="2"/>
        <v>0</v>
      </c>
      <c r="AN14" s="192"/>
      <c r="AO14" s="192"/>
      <c r="AP14" s="217"/>
      <c r="AQ14" s="235" t="e">
        <f t="shared" si="3"/>
        <v>#DIV/0!</v>
      </c>
      <c r="AR14" s="236"/>
      <c r="AS14" s="236"/>
      <c r="AT14" s="237"/>
      <c r="AU14" s="38"/>
      <c r="AV14" s="38"/>
    </row>
    <row r="15" spans="1:48" ht="14.4" thickBot="1" x14ac:dyDescent="0.35">
      <c r="A15" s="174" t="s">
        <v>773</v>
      </c>
      <c r="B15" s="175"/>
      <c r="C15" s="175"/>
      <c r="D15" s="176"/>
      <c r="E15" s="246" t="s">
        <v>688</v>
      </c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8"/>
      <c r="W15" s="115"/>
      <c r="X15" s="197"/>
      <c r="Y15" s="197"/>
      <c r="Z15" s="117"/>
      <c r="AA15" s="235" t="e">
        <f t="shared" si="0"/>
        <v>#DIV/0!</v>
      </c>
      <c r="AB15" s="236"/>
      <c r="AC15" s="236"/>
      <c r="AD15" s="237"/>
      <c r="AE15" s="115"/>
      <c r="AF15" s="197"/>
      <c r="AG15" s="197"/>
      <c r="AH15" s="117"/>
      <c r="AI15" s="235" t="e">
        <f t="shared" si="1"/>
        <v>#DIV/0!</v>
      </c>
      <c r="AJ15" s="236"/>
      <c r="AK15" s="236"/>
      <c r="AL15" s="237"/>
      <c r="AM15" s="244">
        <f t="shared" si="2"/>
        <v>0</v>
      </c>
      <c r="AN15" s="192"/>
      <c r="AO15" s="192"/>
      <c r="AP15" s="217"/>
      <c r="AQ15" s="235" t="e">
        <f t="shared" si="3"/>
        <v>#DIV/0!</v>
      </c>
      <c r="AR15" s="236"/>
      <c r="AS15" s="236"/>
      <c r="AT15" s="237"/>
      <c r="AU15" s="38"/>
      <c r="AV15" s="38"/>
    </row>
    <row r="16" spans="1:48" ht="14.4" thickBot="1" x14ac:dyDescent="0.35">
      <c r="A16" s="174" t="s">
        <v>774</v>
      </c>
      <c r="B16" s="175"/>
      <c r="C16" s="175"/>
      <c r="D16" s="176"/>
      <c r="E16" s="246" t="s">
        <v>689</v>
      </c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8"/>
      <c r="W16" s="115"/>
      <c r="X16" s="197"/>
      <c r="Y16" s="197"/>
      <c r="Z16" s="117"/>
      <c r="AA16" s="235" t="e">
        <f t="shared" si="0"/>
        <v>#DIV/0!</v>
      </c>
      <c r="AB16" s="236"/>
      <c r="AC16" s="236"/>
      <c r="AD16" s="237"/>
      <c r="AE16" s="115"/>
      <c r="AF16" s="197"/>
      <c r="AG16" s="197"/>
      <c r="AH16" s="117"/>
      <c r="AI16" s="235" t="e">
        <f t="shared" si="1"/>
        <v>#DIV/0!</v>
      </c>
      <c r="AJ16" s="236"/>
      <c r="AK16" s="236"/>
      <c r="AL16" s="237"/>
      <c r="AM16" s="244">
        <f t="shared" si="2"/>
        <v>0</v>
      </c>
      <c r="AN16" s="192"/>
      <c r="AO16" s="192"/>
      <c r="AP16" s="217"/>
      <c r="AQ16" s="235" t="e">
        <f t="shared" si="3"/>
        <v>#DIV/0!</v>
      </c>
      <c r="AR16" s="236"/>
      <c r="AS16" s="236"/>
      <c r="AT16" s="237"/>
      <c r="AU16" s="38"/>
      <c r="AV16" s="38"/>
    </row>
    <row r="17" spans="1:48" ht="14.4" thickBot="1" x14ac:dyDescent="0.35">
      <c r="A17" s="174" t="s">
        <v>775</v>
      </c>
      <c r="B17" s="175"/>
      <c r="C17" s="175"/>
      <c r="D17" s="176"/>
      <c r="E17" s="246" t="s">
        <v>690</v>
      </c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8"/>
      <c r="W17" s="115"/>
      <c r="X17" s="197"/>
      <c r="Y17" s="197"/>
      <c r="Z17" s="117"/>
      <c r="AA17" s="235" t="e">
        <f t="shared" si="0"/>
        <v>#DIV/0!</v>
      </c>
      <c r="AB17" s="236"/>
      <c r="AC17" s="236"/>
      <c r="AD17" s="237"/>
      <c r="AE17" s="115"/>
      <c r="AF17" s="197"/>
      <c r="AG17" s="197"/>
      <c r="AH17" s="117"/>
      <c r="AI17" s="235" t="e">
        <f t="shared" si="1"/>
        <v>#DIV/0!</v>
      </c>
      <c r="AJ17" s="236"/>
      <c r="AK17" s="236"/>
      <c r="AL17" s="237"/>
      <c r="AM17" s="244">
        <f t="shared" si="2"/>
        <v>0</v>
      </c>
      <c r="AN17" s="192"/>
      <c r="AO17" s="192"/>
      <c r="AP17" s="217"/>
      <c r="AQ17" s="235" t="e">
        <f t="shared" si="3"/>
        <v>#DIV/0!</v>
      </c>
      <c r="AR17" s="236"/>
      <c r="AS17" s="236"/>
      <c r="AT17" s="237"/>
      <c r="AU17" s="38"/>
      <c r="AV17" s="38"/>
    </row>
    <row r="18" spans="1:48" ht="14.4" thickBot="1" x14ac:dyDescent="0.35">
      <c r="A18" s="174" t="s">
        <v>776</v>
      </c>
      <c r="B18" s="175"/>
      <c r="C18" s="175"/>
      <c r="D18" s="176"/>
      <c r="E18" s="246" t="s">
        <v>691</v>
      </c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8"/>
      <c r="W18" s="115"/>
      <c r="X18" s="197"/>
      <c r="Y18" s="197"/>
      <c r="Z18" s="117"/>
      <c r="AA18" s="235" t="e">
        <f t="shared" si="0"/>
        <v>#DIV/0!</v>
      </c>
      <c r="AB18" s="236"/>
      <c r="AC18" s="236"/>
      <c r="AD18" s="237"/>
      <c r="AE18" s="115"/>
      <c r="AF18" s="197"/>
      <c r="AG18" s="197"/>
      <c r="AH18" s="117"/>
      <c r="AI18" s="235" t="e">
        <f t="shared" si="1"/>
        <v>#DIV/0!</v>
      </c>
      <c r="AJ18" s="236"/>
      <c r="AK18" s="236"/>
      <c r="AL18" s="237"/>
      <c r="AM18" s="244">
        <f t="shared" si="2"/>
        <v>0</v>
      </c>
      <c r="AN18" s="192"/>
      <c r="AO18" s="192"/>
      <c r="AP18" s="217"/>
      <c r="AQ18" s="235" t="e">
        <f t="shared" si="3"/>
        <v>#DIV/0!</v>
      </c>
      <c r="AR18" s="236"/>
      <c r="AS18" s="236"/>
      <c r="AT18" s="237"/>
      <c r="AU18" s="38"/>
      <c r="AV18" s="38"/>
    </row>
    <row r="19" spans="1:48" ht="14.4" thickBot="1" x14ac:dyDescent="0.35">
      <c r="A19" s="174" t="s">
        <v>777</v>
      </c>
      <c r="B19" s="175"/>
      <c r="C19" s="175"/>
      <c r="D19" s="176"/>
      <c r="E19" s="246" t="s">
        <v>692</v>
      </c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8"/>
      <c r="W19" s="115"/>
      <c r="X19" s="197"/>
      <c r="Y19" s="197"/>
      <c r="Z19" s="117"/>
      <c r="AA19" s="235" t="e">
        <f t="shared" si="0"/>
        <v>#DIV/0!</v>
      </c>
      <c r="AB19" s="236"/>
      <c r="AC19" s="236"/>
      <c r="AD19" s="237"/>
      <c r="AE19" s="115"/>
      <c r="AF19" s="197"/>
      <c r="AG19" s="197"/>
      <c r="AH19" s="117"/>
      <c r="AI19" s="235" t="e">
        <f t="shared" si="1"/>
        <v>#DIV/0!</v>
      </c>
      <c r="AJ19" s="236"/>
      <c r="AK19" s="236"/>
      <c r="AL19" s="237"/>
      <c r="AM19" s="244">
        <f t="shared" si="2"/>
        <v>0</v>
      </c>
      <c r="AN19" s="192"/>
      <c r="AO19" s="192"/>
      <c r="AP19" s="217"/>
      <c r="AQ19" s="235" t="e">
        <f t="shared" si="3"/>
        <v>#DIV/0!</v>
      </c>
      <c r="AR19" s="236"/>
      <c r="AS19" s="236"/>
      <c r="AT19" s="237"/>
      <c r="AU19" s="38"/>
      <c r="AV19" s="38"/>
    </row>
    <row r="20" spans="1:48" ht="14.4" thickBot="1" x14ac:dyDescent="0.35">
      <c r="A20" s="174" t="s">
        <v>778</v>
      </c>
      <c r="B20" s="175"/>
      <c r="C20" s="175"/>
      <c r="D20" s="176"/>
      <c r="E20" s="246" t="s">
        <v>693</v>
      </c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8"/>
      <c r="W20" s="115"/>
      <c r="X20" s="197"/>
      <c r="Y20" s="197"/>
      <c r="Z20" s="117"/>
      <c r="AA20" s="235" t="e">
        <f t="shared" si="0"/>
        <v>#DIV/0!</v>
      </c>
      <c r="AB20" s="236"/>
      <c r="AC20" s="236"/>
      <c r="AD20" s="237"/>
      <c r="AE20" s="115"/>
      <c r="AF20" s="197"/>
      <c r="AG20" s="197"/>
      <c r="AH20" s="117"/>
      <c r="AI20" s="235" t="e">
        <f t="shared" si="1"/>
        <v>#DIV/0!</v>
      </c>
      <c r="AJ20" s="236"/>
      <c r="AK20" s="236"/>
      <c r="AL20" s="237"/>
      <c r="AM20" s="244">
        <f t="shared" si="2"/>
        <v>0</v>
      </c>
      <c r="AN20" s="192"/>
      <c r="AO20" s="192"/>
      <c r="AP20" s="217"/>
      <c r="AQ20" s="235" t="e">
        <f t="shared" si="3"/>
        <v>#DIV/0!</v>
      </c>
      <c r="AR20" s="236"/>
      <c r="AS20" s="236"/>
      <c r="AT20" s="237"/>
      <c r="AU20" s="38"/>
      <c r="AV20" s="38"/>
    </row>
    <row r="21" spans="1:48" ht="14.4" thickBot="1" x14ac:dyDescent="0.35">
      <c r="A21" s="174" t="s">
        <v>779</v>
      </c>
      <c r="B21" s="175"/>
      <c r="C21" s="175"/>
      <c r="D21" s="176"/>
      <c r="E21" s="246" t="s">
        <v>694</v>
      </c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8"/>
      <c r="W21" s="115"/>
      <c r="X21" s="197"/>
      <c r="Y21" s="197"/>
      <c r="Z21" s="117"/>
      <c r="AA21" s="235" t="e">
        <f t="shared" si="0"/>
        <v>#DIV/0!</v>
      </c>
      <c r="AB21" s="236"/>
      <c r="AC21" s="236"/>
      <c r="AD21" s="237"/>
      <c r="AE21" s="115"/>
      <c r="AF21" s="197"/>
      <c r="AG21" s="197"/>
      <c r="AH21" s="117"/>
      <c r="AI21" s="235" t="e">
        <f t="shared" si="1"/>
        <v>#DIV/0!</v>
      </c>
      <c r="AJ21" s="236"/>
      <c r="AK21" s="236"/>
      <c r="AL21" s="237"/>
      <c r="AM21" s="244">
        <f t="shared" si="2"/>
        <v>0</v>
      </c>
      <c r="AN21" s="192"/>
      <c r="AO21" s="192"/>
      <c r="AP21" s="217"/>
      <c r="AQ21" s="235" t="e">
        <f t="shared" si="3"/>
        <v>#DIV/0!</v>
      </c>
      <c r="AR21" s="236"/>
      <c r="AS21" s="236"/>
      <c r="AT21" s="237"/>
      <c r="AU21" s="38"/>
      <c r="AV21" s="38"/>
    </row>
    <row r="22" spans="1:48" ht="14.4" thickBot="1" x14ac:dyDescent="0.35">
      <c r="A22" s="174" t="s">
        <v>780</v>
      </c>
      <c r="B22" s="175"/>
      <c r="C22" s="175"/>
      <c r="D22" s="176"/>
      <c r="E22" s="246" t="s">
        <v>695</v>
      </c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115"/>
      <c r="X22" s="197"/>
      <c r="Y22" s="197"/>
      <c r="Z22" s="117"/>
      <c r="AA22" s="235" t="e">
        <f t="shared" si="0"/>
        <v>#DIV/0!</v>
      </c>
      <c r="AB22" s="236"/>
      <c r="AC22" s="236"/>
      <c r="AD22" s="237"/>
      <c r="AE22" s="115"/>
      <c r="AF22" s="197"/>
      <c r="AG22" s="197"/>
      <c r="AH22" s="117"/>
      <c r="AI22" s="235" t="e">
        <f t="shared" si="1"/>
        <v>#DIV/0!</v>
      </c>
      <c r="AJ22" s="236"/>
      <c r="AK22" s="236"/>
      <c r="AL22" s="237"/>
      <c r="AM22" s="244">
        <f t="shared" si="2"/>
        <v>0</v>
      </c>
      <c r="AN22" s="192"/>
      <c r="AO22" s="192"/>
      <c r="AP22" s="217"/>
      <c r="AQ22" s="238" t="e">
        <f t="shared" si="3"/>
        <v>#DIV/0!</v>
      </c>
      <c r="AR22" s="239"/>
      <c r="AS22" s="239"/>
      <c r="AT22" s="240"/>
      <c r="AU22" s="38"/>
      <c r="AV22" s="38"/>
    </row>
    <row r="23" spans="1:48" ht="15.75" customHeight="1" thickBot="1" x14ac:dyDescent="0.35">
      <c r="A23" s="171" t="s">
        <v>133</v>
      </c>
      <c r="B23" s="172"/>
      <c r="C23" s="172"/>
      <c r="D23" s="173"/>
      <c r="E23" s="181" t="s">
        <v>696</v>
      </c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3"/>
      <c r="W23" s="260">
        <f>SUM(W12:W22)</f>
        <v>0</v>
      </c>
      <c r="X23" s="187"/>
      <c r="Y23" s="187"/>
      <c r="Z23" s="114"/>
      <c r="AA23" s="241" t="e">
        <f t="shared" si="0"/>
        <v>#DIV/0!</v>
      </c>
      <c r="AB23" s="242"/>
      <c r="AC23" s="242"/>
      <c r="AD23" s="243"/>
      <c r="AE23" s="260">
        <f>SUM(AE12:AE22)</f>
        <v>0</v>
      </c>
      <c r="AF23" s="187"/>
      <c r="AG23" s="187"/>
      <c r="AH23" s="114"/>
      <c r="AI23" s="241" t="e">
        <f t="shared" si="1"/>
        <v>#DIV/0!</v>
      </c>
      <c r="AJ23" s="242"/>
      <c r="AK23" s="242"/>
      <c r="AL23" s="243"/>
      <c r="AM23" s="245">
        <f>SUM(AM12:AM22)</f>
        <v>0</v>
      </c>
      <c r="AN23" s="242"/>
      <c r="AO23" s="242"/>
      <c r="AP23" s="243"/>
      <c r="AQ23" s="241" t="e">
        <f t="shared" si="3"/>
        <v>#DIV/0!</v>
      </c>
      <c r="AR23" s="242"/>
      <c r="AS23" s="242"/>
      <c r="AT23" s="243"/>
      <c r="AU23" s="38"/>
      <c r="AV23" s="38"/>
    </row>
    <row r="24" spans="1:48" ht="13.8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37"/>
      <c r="AV24" s="37"/>
    </row>
  </sheetData>
  <mergeCells count="118">
    <mergeCell ref="AI23:AL23"/>
    <mergeCell ref="AQ12:AT12"/>
    <mergeCell ref="A12:D12"/>
    <mergeCell ref="E12:V12"/>
    <mergeCell ref="W12:Z12"/>
    <mergeCell ref="AA12:AD12"/>
    <mergeCell ref="AE12:AH12"/>
    <mergeCell ref="AI12:AL12"/>
    <mergeCell ref="E16:V16"/>
    <mergeCell ref="E17:V17"/>
    <mergeCell ref="W13:Z13"/>
    <mergeCell ref="W14:Z14"/>
    <mergeCell ref="W15:Z15"/>
    <mergeCell ref="W16:Z16"/>
    <mergeCell ref="W17:Z17"/>
    <mergeCell ref="A23:D23"/>
    <mergeCell ref="E23:V23"/>
    <mergeCell ref="W23:Z23"/>
    <mergeCell ref="AA23:AD23"/>
    <mergeCell ref="AE23:AH23"/>
    <mergeCell ref="E18:V18"/>
    <mergeCell ref="E20:V20"/>
    <mergeCell ref="W18:Z18"/>
    <mergeCell ref="E22:V22"/>
    <mergeCell ref="A1:AT1"/>
    <mergeCell ref="A2:AT2"/>
    <mergeCell ref="W10:Z10"/>
    <mergeCell ref="AA10:AD10"/>
    <mergeCell ref="AE10:AH10"/>
    <mergeCell ref="AI10:AL10"/>
    <mergeCell ref="E9:V11"/>
    <mergeCell ref="W9:AD9"/>
    <mergeCell ref="AE9:AL9"/>
    <mergeCell ref="W11:Z11"/>
    <mergeCell ref="D4:I4"/>
    <mergeCell ref="AI11:AL11"/>
    <mergeCell ref="AQ11:AT11"/>
    <mergeCell ref="E7:L7"/>
    <mergeCell ref="AE7:AF7"/>
    <mergeCell ref="A9:D11"/>
    <mergeCell ref="AA11:AD11"/>
    <mergeCell ref="AE11:AH11"/>
    <mergeCell ref="N4:W4"/>
    <mergeCell ref="X4:AH4"/>
    <mergeCell ref="AM9:AT10"/>
    <mergeCell ref="AM11:AP11"/>
    <mergeCell ref="AA18:AD18"/>
    <mergeCell ref="AA19:AD19"/>
    <mergeCell ref="AA20:AD20"/>
    <mergeCell ref="AA21:AD21"/>
    <mergeCell ref="AA22:AD22"/>
    <mergeCell ref="AA13:AD13"/>
    <mergeCell ref="AA14:AD14"/>
    <mergeCell ref="AA15:AD15"/>
    <mergeCell ref="AA16:AD16"/>
    <mergeCell ref="AA17:AD17"/>
    <mergeCell ref="E19:V19"/>
    <mergeCell ref="E21:V21"/>
    <mergeCell ref="W19:Z19"/>
    <mergeCell ref="W20:Z20"/>
    <mergeCell ref="W21:Z21"/>
    <mergeCell ref="W22:Z22"/>
    <mergeCell ref="E13:V13"/>
    <mergeCell ref="E14:V14"/>
    <mergeCell ref="E15:V15"/>
    <mergeCell ref="AE18:AH18"/>
    <mergeCell ref="AE19:AH19"/>
    <mergeCell ref="AE20:AH20"/>
    <mergeCell ref="AE21:AH21"/>
    <mergeCell ref="AE22:AH22"/>
    <mergeCell ref="AE13:AH13"/>
    <mergeCell ref="AE14:AH14"/>
    <mergeCell ref="AE15:AH15"/>
    <mergeCell ref="AE16:AH16"/>
    <mergeCell ref="AE17:AH17"/>
    <mergeCell ref="AI18:AL18"/>
    <mergeCell ref="AI19:AL19"/>
    <mergeCell ref="AI20:AL20"/>
    <mergeCell ref="AI21:AL21"/>
    <mergeCell ref="AI22:AL22"/>
    <mergeCell ref="AI13:AL13"/>
    <mergeCell ref="AI14:AL14"/>
    <mergeCell ref="AI15:AL15"/>
    <mergeCell ref="AI16:AL16"/>
    <mergeCell ref="AI17:AL17"/>
    <mergeCell ref="AQ20:AT20"/>
    <mergeCell ref="AQ21:AT21"/>
    <mergeCell ref="AQ22:AT22"/>
    <mergeCell ref="AQ23:AT23"/>
    <mergeCell ref="AM12:AP12"/>
    <mergeCell ref="AM13:AP13"/>
    <mergeCell ref="AM14:AP14"/>
    <mergeCell ref="AM15:AP15"/>
    <mergeCell ref="AM16:AP16"/>
    <mergeCell ref="AM17:AP17"/>
    <mergeCell ref="AM18:AP18"/>
    <mergeCell ref="AM19:AP19"/>
    <mergeCell ref="AM20:AP20"/>
    <mergeCell ref="AM21:AP21"/>
    <mergeCell ref="AM22:AP22"/>
    <mergeCell ref="AM23:AP23"/>
    <mergeCell ref="AQ15:AT15"/>
    <mergeCell ref="AQ16:AT16"/>
    <mergeCell ref="AQ17:AT17"/>
    <mergeCell ref="AQ18:AT18"/>
    <mergeCell ref="AQ19:AT19"/>
    <mergeCell ref="AQ13:AT13"/>
    <mergeCell ref="AQ14:AT14"/>
    <mergeCell ref="A22:D2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B455-B160-42BF-93C4-DDC0EBFE6D9B}">
  <sheetPr>
    <tabColor rgb="FFFFC000"/>
  </sheetPr>
  <dimension ref="A1:AT23"/>
  <sheetViews>
    <sheetView showGridLines="0" view="pageBreakPreview" zoomScale="98" zoomScaleNormal="100" zoomScaleSheetLayoutView="98" workbookViewId="0">
      <selection activeCell="A24" sqref="A24"/>
    </sheetView>
  </sheetViews>
  <sheetFormatPr baseColWidth="10" defaultColWidth="3.44140625" defaultRowHeight="10.199999999999999" x14ac:dyDescent="0.3"/>
  <cols>
    <col min="1" max="2" width="3.44140625" style="1"/>
    <col min="3" max="3" width="6.109375" style="1" customWidth="1"/>
    <col min="4" max="4" width="10.5546875" style="1" customWidth="1"/>
    <col min="5" max="12" width="3.44140625" style="1"/>
    <col min="13" max="13" width="1.77734375" style="1" customWidth="1"/>
    <col min="14" max="14" width="3.44140625" style="1" hidden="1" customWidth="1"/>
    <col min="15" max="15" width="4.21875" style="1" hidden="1" customWidth="1"/>
    <col min="16" max="16" width="2.44140625" style="1" hidden="1" customWidth="1"/>
    <col min="17" max="17" width="3.44140625" style="1" hidden="1" customWidth="1"/>
    <col min="18" max="18" width="2.21875" style="1" customWidth="1"/>
    <col min="19" max="19" width="1.77734375" style="1" customWidth="1"/>
    <col min="20" max="20" width="1.77734375" style="1" hidden="1" customWidth="1"/>
    <col min="21" max="21" width="1.77734375" style="1" customWidth="1"/>
    <col min="22" max="22" width="3.77734375" style="1" hidden="1" customWidth="1"/>
    <col min="23" max="23" width="8.44140625" style="1" customWidth="1"/>
    <col min="24" max="25" width="3.44140625" style="1"/>
    <col min="26" max="26" width="13.5546875" style="1" customWidth="1"/>
    <col min="27" max="33" width="3.44140625" style="1"/>
    <col min="34" max="34" width="12.44140625" style="1" customWidth="1"/>
    <col min="35" max="41" width="3.44140625" style="1"/>
    <col min="42" max="42" width="11.44140625" style="1" customWidth="1"/>
    <col min="43" max="16384" width="3.44140625" style="1"/>
  </cols>
  <sheetData>
    <row r="1" spans="1:46" x14ac:dyDescent="0.3">
      <c r="A1" s="214" t="s">
        <v>479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6"/>
    </row>
    <row r="2" spans="1:46" ht="10.8" thickBot="1" x14ac:dyDescent="0.35">
      <c r="A2" s="120" t="s">
        <v>160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215"/>
    </row>
    <row r="3" spans="1:46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3"/>
    </row>
    <row r="4" spans="1:46" ht="15" customHeight="1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25" t="s">
        <v>478</v>
      </c>
      <c r="M4" s="25"/>
      <c r="N4" s="25"/>
      <c r="O4" s="25"/>
      <c r="P4" s="25"/>
      <c r="Q4" s="25"/>
      <c r="R4" s="25"/>
      <c r="S4" s="16"/>
      <c r="T4" s="16"/>
      <c r="U4" s="16"/>
      <c r="V4" s="16"/>
      <c r="W4" s="16"/>
      <c r="X4" s="76"/>
      <c r="Y4" s="77"/>
      <c r="Z4" s="77"/>
      <c r="AA4" s="77"/>
      <c r="AB4" s="77"/>
      <c r="AC4" s="77"/>
      <c r="AD4" s="77"/>
      <c r="AE4" s="77"/>
      <c r="AF4" s="78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6"/>
    </row>
    <row r="5" spans="1:46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6"/>
    </row>
    <row r="6" spans="1:46" x14ac:dyDescent="0.2">
      <c r="A6" s="24"/>
      <c r="B6" s="25"/>
      <c r="C6" s="25"/>
      <c r="D6" s="25"/>
      <c r="E6" s="27" t="s">
        <v>128</v>
      </c>
      <c r="F6" s="27" t="s">
        <v>128</v>
      </c>
      <c r="G6" s="27" t="s">
        <v>128</v>
      </c>
      <c r="H6" s="27" t="s">
        <v>128</v>
      </c>
      <c r="I6" s="27" t="s">
        <v>127</v>
      </c>
      <c r="J6" s="27" t="s">
        <v>127</v>
      </c>
      <c r="K6" s="27" t="s">
        <v>126</v>
      </c>
      <c r="L6" s="27" t="s">
        <v>126</v>
      </c>
      <c r="M6" s="25"/>
      <c r="N6" s="25"/>
      <c r="O6" s="25"/>
      <c r="P6" s="25"/>
      <c r="Q6" s="27"/>
      <c r="R6" s="27"/>
      <c r="S6" s="27"/>
      <c r="T6" s="27"/>
      <c r="U6" s="27"/>
      <c r="V6" s="25"/>
      <c r="W6" s="27"/>
      <c r="X6" s="25"/>
      <c r="Y6" s="25"/>
      <c r="Z6" s="16"/>
      <c r="AA6" s="25"/>
      <c r="AB6" s="25"/>
      <c r="AC6" s="25"/>
      <c r="AD6" s="25"/>
      <c r="AE6" s="27">
        <v>0</v>
      </c>
      <c r="AF6" s="27">
        <v>5</v>
      </c>
      <c r="AG6" s="25"/>
      <c r="AH6" s="25"/>
      <c r="AI6" s="25"/>
      <c r="AJ6" s="25"/>
      <c r="AK6" s="27"/>
      <c r="AL6" s="25"/>
      <c r="AM6" s="25"/>
      <c r="AN6" s="25"/>
      <c r="AO6" s="25"/>
      <c r="AP6" s="25"/>
      <c r="AQ6" s="25"/>
      <c r="AR6" s="25"/>
      <c r="AS6" s="25"/>
      <c r="AT6" s="26"/>
    </row>
    <row r="7" spans="1:46" x14ac:dyDescent="0.2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9"/>
      <c r="N7" s="25"/>
      <c r="O7" s="25"/>
      <c r="P7" s="25"/>
      <c r="Q7" s="25"/>
      <c r="R7" s="25"/>
      <c r="S7" s="33" t="s">
        <v>130</v>
      </c>
      <c r="T7" s="33"/>
      <c r="U7" s="25"/>
      <c r="V7" s="25"/>
      <c r="W7" s="25" t="s">
        <v>244</v>
      </c>
      <c r="X7" s="25"/>
      <c r="Y7" s="25"/>
      <c r="Z7" s="16"/>
      <c r="AA7" s="25"/>
      <c r="AB7" s="25"/>
      <c r="AC7" s="25"/>
      <c r="AD7" s="25"/>
      <c r="AE7" s="159" t="s">
        <v>131</v>
      </c>
      <c r="AF7" s="159"/>
      <c r="AG7" s="25"/>
      <c r="AH7" s="25"/>
      <c r="AI7" s="25"/>
      <c r="AJ7" s="25"/>
      <c r="AK7" s="19" t="s">
        <v>263</v>
      </c>
      <c r="AL7" s="25"/>
      <c r="AM7" s="25"/>
      <c r="AN7" s="25"/>
      <c r="AO7" s="25"/>
      <c r="AP7" s="25"/>
      <c r="AQ7" s="25"/>
      <c r="AR7" s="25"/>
      <c r="AS7" s="25"/>
      <c r="AT7" s="26"/>
    </row>
    <row r="8" spans="1:46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30"/>
    </row>
    <row r="9" spans="1:46" ht="15.75" customHeight="1" thickBot="1" x14ac:dyDescent="0.35">
      <c r="A9" s="122" t="s">
        <v>761</v>
      </c>
      <c r="B9" s="123"/>
      <c r="C9" s="123"/>
      <c r="D9" s="124"/>
      <c r="E9" s="143" t="s">
        <v>7</v>
      </c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263"/>
      <c r="W9" s="252" t="s">
        <v>156</v>
      </c>
      <c r="X9" s="153"/>
      <c r="Y9" s="153"/>
      <c r="Z9" s="153"/>
      <c r="AA9" s="153"/>
      <c r="AB9" s="153"/>
      <c r="AC9" s="153"/>
      <c r="AD9" s="154"/>
      <c r="AE9" s="152" t="s">
        <v>157</v>
      </c>
      <c r="AF9" s="153"/>
      <c r="AG9" s="153"/>
      <c r="AH9" s="153"/>
      <c r="AI9" s="153"/>
      <c r="AJ9" s="153"/>
      <c r="AK9" s="153"/>
      <c r="AL9" s="154"/>
      <c r="AM9" s="143" t="s">
        <v>158</v>
      </c>
      <c r="AN9" s="144"/>
      <c r="AO9" s="144"/>
      <c r="AP9" s="144"/>
      <c r="AQ9" s="144"/>
      <c r="AR9" s="144"/>
      <c r="AS9" s="144"/>
      <c r="AT9" s="145"/>
    </row>
    <row r="10" spans="1:46" ht="15.75" customHeight="1" thickBot="1" x14ac:dyDescent="0.35">
      <c r="A10" s="125"/>
      <c r="B10" s="126"/>
      <c r="C10" s="126"/>
      <c r="D10" s="127"/>
      <c r="E10" s="146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264"/>
      <c r="W10" s="252" t="s">
        <v>0</v>
      </c>
      <c r="X10" s="153"/>
      <c r="Y10" s="153"/>
      <c r="Z10" s="154"/>
      <c r="AA10" s="152" t="s">
        <v>511</v>
      </c>
      <c r="AB10" s="153"/>
      <c r="AC10" s="153"/>
      <c r="AD10" s="154"/>
      <c r="AE10" s="152" t="s">
        <v>0</v>
      </c>
      <c r="AF10" s="153"/>
      <c r="AG10" s="153"/>
      <c r="AH10" s="154"/>
      <c r="AI10" s="152" t="s">
        <v>511</v>
      </c>
      <c r="AJ10" s="153"/>
      <c r="AK10" s="153"/>
      <c r="AL10" s="154"/>
      <c r="AM10" s="149"/>
      <c r="AN10" s="150"/>
      <c r="AO10" s="150"/>
      <c r="AP10" s="150"/>
      <c r="AQ10" s="150"/>
      <c r="AR10" s="150"/>
      <c r="AS10" s="150"/>
      <c r="AT10" s="151"/>
    </row>
    <row r="11" spans="1:46" ht="10.8" thickBot="1" x14ac:dyDescent="0.35">
      <c r="A11" s="128"/>
      <c r="B11" s="129"/>
      <c r="C11" s="129"/>
      <c r="D11" s="130"/>
      <c r="E11" s="149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265"/>
      <c r="W11" s="252">
        <v>1</v>
      </c>
      <c r="X11" s="153"/>
      <c r="Y11" s="153"/>
      <c r="Z11" s="154"/>
      <c r="AA11" s="152">
        <v>2</v>
      </c>
      <c r="AB11" s="153"/>
      <c r="AC11" s="153"/>
      <c r="AD11" s="154"/>
      <c r="AE11" s="152">
        <v>3</v>
      </c>
      <c r="AF11" s="153"/>
      <c r="AG11" s="153"/>
      <c r="AH11" s="154"/>
      <c r="AI11" s="152">
        <v>4</v>
      </c>
      <c r="AJ11" s="153"/>
      <c r="AK11" s="153"/>
      <c r="AL11" s="154"/>
      <c r="AM11" s="152" t="s">
        <v>512</v>
      </c>
      <c r="AN11" s="153"/>
      <c r="AO11" s="153"/>
      <c r="AP11" s="154"/>
      <c r="AQ11" s="152" t="s">
        <v>511</v>
      </c>
      <c r="AR11" s="153"/>
      <c r="AS11" s="153"/>
      <c r="AT11" s="154"/>
    </row>
    <row r="12" spans="1:46" ht="10.8" thickBot="1" x14ac:dyDescent="0.35">
      <c r="A12" s="174" t="s">
        <v>781</v>
      </c>
      <c r="B12" s="175"/>
      <c r="C12" s="175"/>
      <c r="D12" s="176"/>
      <c r="E12" s="246" t="s">
        <v>685</v>
      </c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8"/>
      <c r="W12" s="257"/>
      <c r="X12" s="258"/>
      <c r="Y12" s="258"/>
      <c r="Z12" s="259"/>
      <c r="AA12" s="235" t="e">
        <f>W12/$W$23</f>
        <v>#DIV/0!</v>
      </c>
      <c r="AB12" s="236"/>
      <c r="AC12" s="236"/>
      <c r="AD12" s="237"/>
      <c r="AE12" s="257"/>
      <c r="AF12" s="258"/>
      <c r="AG12" s="258"/>
      <c r="AH12" s="259"/>
      <c r="AI12" s="235" t="e">
        <f>AE12/$AE$23</f>
        <v>#DIV/0!</v>
      </c>
      <c r="AJ12" s="236"/>
      <c r="AK12" s="236"/>
      <c r="AL12" s="237"/>
      <c r="AM12" s="244">
        <f>+W12+AE12</f>
        <v>0</v>
      </c>
      <c r="AN12" s="192"/>
      <c r="AO12" s="192"/>
      <c r="AP12" s="217"/>
      <c r="AQ12" s="235" t="e">
        <f>+AM12/$AM$23</f>
        <v>#DIV/0!</v>
      </c>
      <c r="AR12" s="236"/>
      <c r="AS12" s="236"/>
      <c r="AT12" s="237"/>
    </row>
    <row r="13" spans="1:46" ht="10.8" thickBot="1" x14ac:dyDescent="0.35">
      <c r="A13" s="174" t="s">
        <v>782</v>
      </c>
      <c r="B13" s="175"/>
      <c r="C13" s="175"/>
      <c r="D13" s="176"/>
      <c r="E13" s="246" t="s">
        <v>686</v>
      </c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8"/>
      <c r="W13" s="115"/>
      <c r="X13" s="197"/>
      <c r="Y13" s="197"/>
      <c r="Z13" s="117"/>
      <c r="AA13" s="235" t="e">
        <f t="shared" ref="AA13:AA22" si="0">W13/$W$23</f>
        <v>#DIV/0!</v>
      </c>
      <c r="AB13" s="236"/>
      <c r="AC13" s="236"/>
      <c r="AD13" s="237"/>
      <c r="AE13" s="115"/>
      <c r="AF13" s="197"/>
      <c r="AG13" s="197"/>
      <c r="AH13" s="117"/>
      <c r="AI13" s="235" t="e">
        <f t="shared" ref="AI13:AI21" si="1">AE13/$W$23</f>
        <v>#DIV/0!</v>
      </c>
      <c r="AJ13" s="236"/>
      <c r="AK13" s="236"/>
      <c r="AL13" s="237"/>
      <c r="AM13" s="244">
        <f t="shared" ref="AM13:AM22" si="2">+W13+AE13</f>
        <v>0</v>
      </c>
      <c r="AN13" s="192"/>
      <c r="AO13" s="192"/>
      <c r="AP13" s="217"/>
      <c r="AQ13" s="235" t="e">
        <f t="shared" ref="AQ13:AQ23" si="3">+AM13/$AM$23</f>
        <v>#DIV/0!</v>
      </c>
      <c r="AR13" s="236"/>
      <c r="AS13" s="236"/>
      <c r="AT13" s="237"/>
    </row>
    <row r="14" spans="1:46" ht="10.8" thickBot="1" x14ac:dyDescent="0.35">
      <c r="A14" s="174" t="s">
        <v>783</v>
      </c>
      <c r="B14" s="175"/>
      <c r="C14" s="175"/>
      <c r="D14" s="176"/>
      <c r="E14" s="246" t="s">
        <v>687</v>
      </c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8"/>
      <c r="W14" s="115"/>
      <c r="X14" s="197"/>
      <c r="Y14" s="197"/>
      <c r="Z14" s="117"/>
      <c r="AA14" s="235" t="e">
        <f t="shared" si="0"/>
        <v>#DIV/0!</v>
      </c>
      <c r="AB14" s="236"/>
      <c r="AC14" s="236"/>
      <c r="AD14" s="237"/>
      <c r="AE14" s="115"/>
      <c r="AF14" s="197"/>
      <c r="AG14" s="197"/>
      <c r="AH14" s="117"/>
      <c r="AI14" s="235" t="e">
        <f t="shared" si="1"/>
        <v>#DIV/0!</v>
      </c>
      <c r="AJ14" s="236"/>
      <c r="AK14" s="236"/>
      <c r="AL14" s="237"/>
      <c r="AM14" s="244">
        <f t="shared" si="2"/>
        <v>0</v>
      </c>
      <c r="AN14" s="192"/>
      <c r="AO14" s="192"/>
      <c r="AP14" s="217"/>
      <c r="AQ14" s="235" t="e">
        <f t="shared" si="3"/>
        <v>#DIV/0!</v>
      </c>
      <c r="AR14" s="236"/>
      <c r="AS14" s="236"/>
      <c r="AT14" s="237"/>
    </row>
    <row r="15" spans="1:46" ht="10.8" thickBot="1" x14ac:dyDescent="0.35">
      <c r="A15" s="174" t="s">
        <v>784</v>
      </c>
      <c r="B15" s="175"/>
      <c r="C15" s="175"/>
      <c r="D15" s="176"/>
      <c r="E15" s="246" t="s">
        <v>688</v>
      </c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8"/>
      <c r="W15" s="115"/>
      <c r="X15" s="197"/>
      <c r="Y15" s="197"/>
      <c r="Z15" s="117"/>
      <c r="AA15" s="235" t="e">
        <f t="shared" si="0"/>
        <v>#DIV/0!</v>
      </c>
      <c r="AB15" s="236"/>
      <c r="AC15" s="236"/>
      <c r="AD15" s="237"/>
      <c r="AE15" s="115"/>
      <c r="AF15" s="197"/>
      <c r="AG15" s="197"/>
      <c r="AH15" s="117"/>
      <c r="AI15" s="235" t="e">
        <f t="shared" si="1"/>
        <v>#DIV/0!</v>
      </c>
      <c r="AJ15" s="236"/>
      <c r="AK15" s="236"/>
      <c r="AL15" s="237"/>
      <c r="AM15" s="244">
        <f t="shared" si="2"/>
        <v>0</v>
      </c>
      <c r="AN15" s="192"/>
      <c r="AO15" s="192"/>
      <c r="AP15" s="217"/>
      <c r="AQ15" s="235" t="e">
        <f t="shared" si="3"/>
        <v>#DIV/0!</v>
      </c>
      <c r="AR15" s="236"/>
      <c r="AS15" s="236"/>
      <c r="AT15" s="237"/>
    </row>
    <row r="16" spans="1:46" ht="10.8" thickBot="1" x14ac:dyDescent="0.35">
      <c r="A16" s="174" t="s">
        <v>785</v>
      </c>
      <c r="B16" s="175"/>
      <c r="C16" s="175"/>
      <c r="D16" s="176"/>
      <c r="E16" s="246" t="s">
        <v>689</v>
      </c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8"/>
      <c r="W16" s="115"/>
      <c r="X16" s="197"/>
      <c r="Y16" s="197"/>
      <c r="Z16" s="117"/>
      <c r="AA16" s="235" t="e">
        <f t="shared" si="0"/>
        <v>#DIV/0!</v>
      </c>
      <c r="AB16" s="236"/>
      <c r="AC16" s="236"/>
      <c r="AD16" s="237"/>
      <c r="AE16" s="115"/>
      <c r="AF16" s="197"/>
      <c r="AG16" s="197"/>
      <c r="AH16" s="117"/>
      <c r="AI16" s="235" t="e">
        <f t="shared" si="1"/>
        <v>#DIV/0!</v>
      </c>
      <c r="AJ16" s="236"/>
      <c r="AK16" s="236"/>
      <c r="AL16" s="237"/>
      <c r="AM16" s="244">
        <f t="shared" si="2"/>
        <v>0</v>
      </c>
      <c r="AN16" s="192"/>
      <c r="AO16" s="192"/>
      <c r="AP16" s="217"/>
      <c r="AQ16" s="235" t="e">
        <f t="shared" si="3"/>
        <v>#DIV/0!</v>
      </c>
      <c r="AR16" s="236"/>
      <c r="AS16" s="236"/>
      <c r="AT16" s="237"/>
    </row>
    <row r="17" spans="1:46" ht="10.8" thickBot="1" x14ac:dyDescent="0.35">
      <c r="A17" s="174" t="s">
        <v>786</v>
      </c>
      <c r="B17" s="175"/>
      <c r="C17" s="175"/>
      <c r="D17" s="176"/>
      <c r="E17" s="246" t="s">
        <v>690</v>
      </c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8"/>
      <c r="W17" s="115"/>
      <c r="X17" s="197"/>
      <c r="Y17" s="197"/>
      <c r="Z17" s="117"/>
      <c r="AA17" s="235" t="e">
        <f t="shared" si="0"/>
        <v>#DIV/0!</v>
      </c>
      <c r="AB17" s="236"/>
      <c r="AC17" s="236"/>
      <c r="AD17" s="237"/>
      <c r="AE17" s="115"/>
      <c r="AF17" s="197"/>
      <c r="AG17" s="197"/>
      <c r="AH17" s="117"/>
      <c r="AI17" s="235" t="e">
        <f t="shared" si="1"/>
        <v>#DIV/0!</v>
      </c>
      <c r="AJ17" s="236"/>
      <c r="AK17" s="236"/>
      <c r="AL17" s="237"/>
      <c r="AM17" s="244">
        <f t="shared" si="2"/>
        <v>0</v>
      </c>
      <c r="AN17" s="192"/>
      <c r="AO17" s="192"/>
      <c r="AP17" s="217"/>
      <c r="AQ17" s="235" t="e">
        <f t="shared" si="3"/>
        <v>#DIV/0!</v>
      </c>
      <c r="AR17" s="236"/>
      <c r="AS17" s="236"/>
      <c r="AT17" s="237"/>
    </row>
    <row r="18" spans="1:46" ht="10.8" thickBot="1" x14ac:dyDescent="0.35">
      <c r="A18" s="174" t="s">
        <v>787</v>
      </c>
      <c r="B18" s="175"/>
      <c r="C18" s="175"/>
      <c r="D18" s="176"/>
      <c r="E18" s="246" t="s">
        <v>691</v>
      </c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8"/>
      <c r="W18" s="115"/>
      <c r="X18" s="197"/>
      <c r="Y18" s="197"/>
      <c r="Z18" s="117"/>
      <c r="AA18" s="235" t="e">
        <f t="shared" si="0"/>
        <v>#DIV/0!</v>
      </c>
      <c r="AB18" s="236"/>
      <c r="AC18" s="236"/>
      <c r="AD18" s="237"/>
      <c r="AE18" s="115"/>
      <c r="AF18" s="197"/>
      <c r="AG18" s="197"/>
      <c r="AH18" s="117"/>
      <c r="AI18" s="235" t="e">
        <f t="shared" si="1"/>
        <v>#DIV/0!</v>
      </c>
      <c r="AJ18" s="236"/>
      <c r="AK18" s="236"/>
      <c r="AL18" s="237"/>
      <c r="AM18" s="244">
        <f t="shared" si="2"/>
        <v>0</v>
      </c>
      <c r="AN18" s="192"/>
      <c r="AO18" s="192"/>
      <c r="AP18" s="217"/>
      <c r="AQ18" s="235" t="e">
        <f t="shared" si="3"/>
        <v>#DIV/0!</v>
      </c>
      <c r="AR18" s="236"/>
      <c r="AS18" s="236"/>
      <c r="AT18" s="237"/>
    </row>
    <row r="19" spans="1:46" ht="10.8" thickBot="1" x14ac:dyDescent="0.35">
      <c r="A19" s="174" t="s">
        <v>788</v>
      </c>
      <c r="B19" s="175"/>
      <c r="C19" s="175"/>
      <c r="D19" s="176"/>
      <c r="E19" s="246" t="s">
        <v>692</v>
      </c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8"/>
      <c r="W19" s="115"/>
      <c r="X19" s="197"/>
      <c r="Y19" s="197"/>
      <c r="Z19" s="117"/>
      <c r="AA19" s="235" t="e">
        <f t="shared" si="0"/>
        <v>#DIV/0!</v>
      </c>
      <c r="AB19" s="236"/>
      <c r="AC19" s="236"/>
      <c r="AD19" s="237"/>
      <c r="AE19" s="115"/>
      <c r="AF19" s="197"/>
      <c r="AG19" s="197"/>
      <c r="AH19" s="117"/>
      <c r="AI19" s="235" t="e">
        <f t="shared" si="1"/>
        <v>#DIV/0!</v>
      </c>
      <c r="AJ19" s="236"/>
      <c r="AK19" s="236"/>
      <c r="AL19" s="237"/>
      <c r="AM19" s="244">
        <f t="shared" si="2"/>
        <v>0</v>
      </c>
      <c r="AN19" s="192"/>
      <c r="AO19" s="192"/>
      <c r="AP19" s="217"/>
      <c r="AQ19" s="235" t="e">
        <f t="shared" si="3"/>
        <v>#DIV/0!</v>
      </c>
      <c r="AR19" s="236"/>
      <c r="AS19" s="236"/>
      <c r="AT19" s="237"/>
    </row>
    <row r="20" spans="1:46" ht="10.8" thickBot="1" x14ac:dyDescent="0.35">
      <c r="A20" s="174" t="s">
        <v>789</v>
      </c>
      <c r="B20" s="175"/>
      <c r="C20" s="175"/>
      <c r="D20" s="176"/>
      <c r="E20" s="246" t="s">
        <v>693</v>
      </c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8"/>
      <c r="W20" s="115"/>
      <c r="X20" s="197"/>
      <c r="Y20" s="197"/>
      <c r="Z20" s="117"/>
      <c r="AA20" s="235" t="e">
        <f t="shared" si="0"/>
        <v>#DIV/0!</v>
      </c>
      <c r="AB20" s="236"/>
      <c r="AC20" s="236"/>
      <c r="AD20" s="237"/>
      <c r="AE20" s="115"/>
      <c r="AF20" s="197"/>
      <c r="AG20" s="197"/>
      <c r="AH20" s="117"/>
      <c r="AI20" s="235" t="e">
        <f t="shared" si="1"/>
        <v>#DIV/0!</v>
      </c>
      <c r="AJ20" s="236"/>
      <c r="AK20" s="236"/>
      <c r="AL20" s="237"/>
      <c r="AM20" s="244">
        <f t="shared" si="2"/>
        <v>0</v>
      </c>
      <c r="AN20" s="192"/>
      <c r="AO20" s="192"/>
      <c r="AP20" s="217"/>
      <c r="AQ20" s="235" t="e">
        <f t="shared" si="3"/>
        <v>#DIV/0!</v>
      </c>
      <c r="AR20" s="236"/>
      <c r="AS20" s="236"/>
      <c r="AT20" s="237"/>
    </row>
    <row r="21" spans="1:46" ht="10.8" thickBot="1" x14ac:dyDescent="0.35">
      <c r="A21" s="174" t="s">
        <v>790</v>
      </c>
      <c r="B21" s="175"/>
      <c r="C21" s="175"/>
      <c r="D21" s="176"/>
      <c r="E21" s="246" t="s">
        <v>694</v>
      </c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8"/>
      <c r="W21" s="115"/>
      <c r="X21" s="197"/>
      <c r="Y21" s="197"/>
      <c r="Z21" s="117"/>
      <c r="AA21" s="235" t="e">
        <f t="shared" si="0"/>
        <v>#DIV/0!</v>
      </c>
      <c r="AB21" s="236"/>
      <c r="AC21" s="236"/>
      <c r="AD21" s="237"/>
      <c r="AE21" s="115"/>
      <c r="AF21" s="197"/>
      <c r="AG21" s="197"/>
      <c r="AH21" s="117"/>
      <c r="AI21" s="235" t="e">
        <f t="shared" si="1"/>
        <v>#DIV/0!</v>
      </c>
      <c r="AJ21" s="236"/>
      <c r="AK21" s="236"/>
      <c r="AL21" s="237"/>
      <c r="AM21" s="244">
        <f t="shared" si="2"/>
        <v>0</v>
      </c>
      <c r="AN21" s="192"/>
      <c r="AO21" s="192"/>
      <c r="AP21" s="217"/>
      <c r="AQ21" s="235" t="e">
        <f t="shared" si="3"/>
        <v>#DIV/0!</v>
      </c>
      <c r="AR21" s="236"/>
      <c r="AS21" s="236"/>
      <c r="AT21" s="237"/>
    </row>
    <row r="22" spans="1:46" ht="10.8" thickBot="1" x14ac:dyDescent="0.35">
      <c r="A22" s="174" t="s">
        <v>791</v>
      </c>
      <c r="B22" s="175"/>
      <c r="C22" s="175"/>
      <c r="D22" s="176"/>
      <c r="E22" s="246" t="s">
        <v>695</v>
      </c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8"/>
      <c r="W22" s="115"/>
      <c r="X22" s="197"/>
      <c r="Y22" s="197"/>
      <c r="Z22" s="117"/>
      <c r="AA22" s="235" t="e">
        <f t="shared" si="0"/>
        <v>#DIV/0!</v>
      </c>
      <c r="AB22" s="236"/>
      <c r="AC22" s="236"/>
      <c r="AD22" s="237"/>
      <c r="AE22" s="115"/>
      <c r="AF22" s="197"/>
      <c r="AG22" s="197"/>
      <c r="AH22" s="117"/>
      <c r="AI22" s="235" t="e">
        <f t="shared" ref="AI22:AI23" si="4">AE22/$W$23</f>
        <v>#DIV/0!</v>
      </c>
      <c r="AJ22" s="236"/>
      <c r="AK22" s="236"/>
      <c r="AL22" s="237"/>
      <c r="AM22" s="244">
        <f t="shared" si="2"/>
        <v>0</v>
      </c>
      <c r="AN22" s="192"/>
      <c r="AO22" s="192"/>
      <c r="AP22" s="217"/>
      <c r="AQ22" s="235" t="e">
        <f t="shared" si="3"/>
        <v>#DIV/0!</v>
      </c>
      <c r="AR22" s="236"/>
      <c r="AS22" s="236"/>
      <c r="AT22" s="237"/>
    </row>
    <row r="23" spans="1:46" ht="15.75" customHeight="1" thickBot="1" x14ac:dyDescent="0.35">
      <c r="A23" s="171" t="s">
        <v>792</v>
      </c>
      <c r="B23" s="172"/>
      <c r="C23" s="172"/>
      <c r="D23" s="173"/>
      <c r="E23" s="181" t="s">
        <v>696</v>
      </c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3"/>
      <c r="W23" s="260">
        <f>SUM(W12:W22)</f>
        <v>0</v>
      </c>
      <c r="X23" s="187"/>
      <c r="Y23" s="187"/>
      <c r="Z23" s="114"/>
      <c r="AA23" s="241" t="e">
        <f t="shared" ref="AA23" si="5">W23/$W$23</f>
        <v>#DIV/0!</v>
      </c>
      <c r="AB23" s="242"/>
      <c r="AC23" s="242"/>
      <c r="AD23" s="243"/>
      <c r="AE23" s="260">
        <f>SUM(AE12:AE22)</f>
        <v>0</v>
      </c>
      <c r="AF23" s="187"/>
      <c r="AG23" s="187"/>
      <c r="AH23" s="114"/>
      <c r="AI23" s="241" t="e">
        <f t="shared" si="4"/>
        <v>#DIV/0!</v>
      </c>
      <c r="AJ23" s="242"/>
      <c r="AK23" s="242"/>
      <c r="AL23" s="243"/>
      <c r="AM23" s="260">
        <f>SUM(AM12:AM22)</f>
        <v>0</v>
      </c>
      <c r="AN23" s="261"/>
      <c r="AO23" s="261"/>
      <c r="AP23" s="262"/>
      <c r="AQ23" s="241" t="e">
        <f t="shared" si="3"/>
        <v>#DIV/0!</v>
      </c>
      <c r="AR23" s="242"/>
      <c r="AS23" s="242"/>
      <c r="AT23" s="243"/>
    </row>
  </sheetData>
  <mergeCells count="116">
    <mergeCell ref="E7:L7"/>
    <mergeCell ref="AE7:AF7"/>
    <mergeCell ref="A1:AT1"/>
    <mergeCell ref="A2:AT2"/>
    <mergeCell ref="D4:I4"/>
    <mergeCell ref="E13:V13"/>
    <mergeCell ref="E14:V14"/>
    <mergeCell ref="AI10:AL10"/>
    <mergeCell ref="W11:Z11"/>
    <mergeCell ref="AA11:AD11"/>
    <mergeCell ref="AE11:AH11"/>
    <mergeCell ref="AI11:AL11"/>
    <mergeCell ref="W10:Z10"/>
    <mergeCell ref="AA10:AD10"/>
    <mergeCell ref="AE10:AH10"/>
    <mergeCell ref="AE13:AH13"/>
    <mergeCell ref="W13:Z13"/>
    <mergeCell ref="AA13:AD13"/>
    <mergeCell ref="AI13:AL13"/>
    <mergeCell ref="AQ11:AT11"/>
    <mergeCell ref="A12:D12"/>
    <mergeCell ref="E12:V12"/>
    <mergeCell ref="W12:Z12"/>
    <mergeCell ref="AA12:AD12"/>
    <mergeCell ref="AE12:AH12"/>
    <mergeCell ref="AI12:AL12"/>
    <mergeCell ref="AQ12:AT12"/>
    <mergeCell ref="A9:D11"/>
    <mergeCell ref="E9:V11"/>
    <mergeCell ref="W9:AD9"/>
    <mergeCell ref="AE9:AL9"/>
    <mergeCell ref="AM9:AT10"/>
    <mergeCell ref="AM21:AP21"/>
    <mergeCell ref="AA15:AD15"/>
    <mergeCell ref="AE15:AH15"/>
    <mergeCell ref="AI15:AL15"/>
    <mergeCell ref="AM15:AP15"/>
    <mergeCell ref="AQ15:AT15"/>
    <mergeCell ref="AM13:AP13"/>
    <mergeCell ref="AQ13:AT13"/>
    <mergeCell ref="W14:Z14"/>
    <mergeCell ref="AA14:AD14"/>
    <mergeCell ref="AE14:AH14"/>
    <mergeCell ref="AI14:AL14"/>
    <mergeCell ref="AM14:AP14"/>
    <mergeCell ref="AQ14:AT14"/>
    <mergeCell ref="AM18:AP18"/>
    <mergeCell ref="AQ18:AT18"/>
    <mergeCell ref="A23:D23"/>
    <mergeCell ref="E23:V23"/>
    <mergeCell ref="W23:Z23"/>
    <mergeCell ref="E15:V15"/>
    <mergeCell ref="E16:V16"/>
    <mergeCell ref="E17:V17"/>
    <mergeCell ref="E19:V19"/>
    <mergeCell ref="E20:V20"/>
    <mergeCell ref="E18:V18"/>
    <mergeCell ref="W15:Z15"/>
    <mergeCell ref="W16:Z16"/>
    <mergeCell ref="W17:Z17"/>
    <mergeCell ref="W18:Z18"/>
    <mergeCell ref="W19:Z19"/>
    <mergeCell ref="W20:Z20"/>
    <mergeCell ref="A22:D22"/>
    <mergeCell ref="AA23:AD23"/>
    <mergeCell ref="AE23:AH23"/>
    <mergeCell ref="AI23:AL23"/>
    <mergeCell ref="E21:V21"/>
    <mergeCell ref="E22:V22"/>
    <mergeCell ref="W21:Z21"/>
    <mergeCell ref="AA21:AD21"/>
    <mergeCell ref="AE21:AH21"/>
    <mergeCell ref="AI21:AL21"/>
    <mergeCell ref="AA17:AD17"/>
    <mergeCell ref="AE17:AH17"/>
    <mergeCell ref="AI17:AL17"/>
    <mergeCell ref="AM17:AP17"/>
    <mergeCell ref="AQ17:AT17"/>
    <mergeCell ref="AA16:AD16"/>
    <mergeCell ref="AE16:AH16"/>
    <mergeCell ref="AI16:AL16"/>
    <mergeCell ref="AM16:AP16"/>
    <mergeCell ref="AQ16:AT16"/>
    <mergeCell ref="AQ23:AT23"/>
    <mergeCell ref="AM11:AP11"/>
    <mergeCell ref="AM12:AP12"/>
    <mergeCell ref="AM23:AP23"/>
    <mergeCell ref="AQ21:AT21"/>
    <mergeCell ref="W22:Z22"/>
    <mergeCell ref="AA22:AD22"/>
    <mergeCell ref="AE22:AH22"/>
    <mergeCell ref="AI22:AL22"/>
    <mergeCell ref="AM22:AP22"/>
    <mergeCell ref="AQ22:AT22"/>
    <mergeCell ref="AA20:AD20"/>
    <mergeCell ref="AE20:AH20"/>
    <mergeCell ref="AI20:AL20"/>
    <mergeCell ref="AM20:AP20"/>
    <mergeCell ref="AQ20:AT20"/>
    <mergeCell ref="AA19:AD19"/>
    <mergeCell ref="AE19:AH19"/>
    <mergeCell ref="AI19:AL19"/>
    <mergeCell ref="AM19:AP19"/>
    <mergeCell ref="AQ19:AT19"/>
    <mergeCell ref="AA18:AD18"/>
    <mergeCell ref="AE18:AH18"/>
    <mergeCell ref="AI18:AL18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L27"/>
  <sheetViews>
    <sheetView showGridLines="0" view="pageBreakPreview" zoomScaleNormal="100" zoomScaleSheetLayoutView="100" workbookViewId="0">
      <selection activeCell="A22" sqref="A22:E26"/>
    </sheetView>
  </sheetViews>
  <sheetFormatPr baseColWidth="10" defaultColWidth="3.44140625" defaultRowHeight="10.199999999999999" x14ac:dyDescent="0.3"/>
  <cols>
    <col min="1" max="22" width="3.44140625" style="1"/>
    <col min="23" max="23" width="1.77734375" style="1" customWidth="1"/>
    <col min="24" max="24" width="3.44140625" style="1" hidden="1" customWidth="1"/>
    <col min="25" max="25" width="3.21875" style="1" customWidth="1"/>
    <col min="26" max="28" width="3.44140625" style="1" hidden="1" customWidth="1"/>
    <col min="29" max="31" width="3.44140625" style="1"/>
    <col min="32" max="32" width="3.44140625" style="1" customWidth="1"/>
    <col min="33" max="33" width="3.77734375" style="1" customWidth="1"/>
    <col min="34" max="34" width="3.44140625" style="1"/>
    <col min="35" max="35" width="3" style="1" customWidth="1"/>
    <col min="36" max="38" width="3.44140625" style="1" hidden="1" customWidth="1"/>
    <col min="39" max="16384" width="3.44140625" style="1"/>
  </cols>
  <sheetData>
    <row r="1" spans="1:38" x14ac:dyDescent="0.3">
      <c r="A1" s="214" t="s">
        <v>134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</row>
    <row r="2" spans="1:38" ht="10.8" thickBot="1" x14ac:dyDescent="0.35">
      <c r="A2" s="120" t="s">
        <v>159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</row>
    <row r="3" spans="1:38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6"/>
      <c r="J4" s="156"/>
      <c r="K4" s="156"/>
      <c r="L4" s="157"/>
      <c r="M4" s="25"/>
      <c r="N4" s="25"/>
      <c r="O4" s="25"/>
      <c r="P4" s="25"/>
      <c r="Q4" s="158" t="s">
        <v>125</v>
      </c>
      <c r="R4" s="158"/>
      <c r="S4" s="158"/>
      <c r="T4" s="158"/>
      <c r="U4" s="158"/>
      <c r="V4" s="155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7"/>
      <c r="AI4" s="25"/>
      <c r="AJ4" s="25"/>
      <c r="AK4" s="25"/>
      <c r="AL4" s="25"/>
    </row>
    <row r="5" spans="1:38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x14ac:dyDescent="0.2">
      <c r="A6" s="24"/>
      <c r="B6" s="25"/>
      <c r="C6" s="25"/>
      <c r="D6" s="25"/>
      <c r="E6" s="27" t="s">
        <v>128</v>
      </c>
      <c r="F6" s="27"/>
      <c r="G6" s="27"/>
      <c r="H6" s="27"/>
      <c r="I6" s="27" t="s">
        <v>128</v>
      </c>
      <c r="J6" s="27" t="s">
        <v>128</v>
      </c>
      <c r="K6" s="27" t="s">
        <v>128</v>
      </c>
      <c r="L6" s="27" t="s">
        <v>127</v>
      </c>
      <c r="M6" s="27" t="s">
        <v>127</v>
      </c>
      <c r="N6" s="27" t="s">
        <v>126</v>
      </c>
      <c r="O6" s="27" t="s">
        <v>126</v>
      </c>
      <c r="P6" s="25"/>
      <c r="Q6" s="25"/>
      <c r="R6" s="25"/>
      <c r="S6" s="25"/>
      <c r="T6" s="27"/>
      <c r="U6" s="27"/>
      <c r="V6" s="27"/>
      <c r="W6" s="27"/>
      <c r="X6" s="27"/>
      <c r="Y6" s="25"/>
      <c r="Z6" s="27"/>
      <c r="AA6" s="25"/>
      <c r="AB6" s="25"/>
      <c r="AC6" s="27" t="s">
        <v>255</v>
      </c>
      <c r="AD6" s="27" t="s">
        <v>256</v>
      </c>
      <c r="AE6" s="27"/>
      <c r="AF6" s="25"/>
      <c r="AG6" s="25"/>
      <c r="AH6" s="25"/>
      <c r="AI6" s="25"/>
      <c r="AJ6" s="25"/>
      <c r="AK6" s="25"/>
      <c r="AL6" s="27">
        <v>0</v>
      </c>
    </row>
    <row r="7" spans="1:38" x14ac:dyDescent="0.2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9"/>
      <c r="Q7" s="25"/>
      <c r="R7" s="25"/>
      <c r="S7" s="25"/>
      <c r="T7" s="25"/>
      <c r="U7" s="25"/>
      <c r="V7" s="33" t="s">
        <v>130</v>
      </c>
      <c r="W7" s="33"/>
      <c r="X7" s="25"/>
      <c r="Y7" s="25"/>
      <c r="Z7" s="25" t="s">
        <v>244</v>
      </c>
      <c r="AA7" s="25"/>
      <c r="AB7" s="25"/>
      <c r="AC7" s="25"/>
      <c r="AD7" s="19" t="s">
        <v>245</v>
      </c>
      <c r="AE7" s="25"/>
      <c r="AF7" s="25"/>
      <c r="AG7" s="25"/>
      <c r="AH7" s="25"/>
      <c r="AI7" s="25"/>
      <c r="AJ7" s="25"/>
      <c r="AK7" s="25"/>
      <c r="AL7" s="33" t="s">
        <v>131</v>
      </c>
    </row>
    <row r="8" spans="1:38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15.75" customHeight="1" thickBot="1" x14ac:dyDescent="0.35">
      <c r="A9" s="122" t="s">
        <v>761</v>
      </c>
      <c r="B9" s="123"/>
      <c r="C9" s="123"/>
      <c r="D9" s="123"/>
      <c r="E9" s="124"/>
      <c r="F9" s="272" t="s">
        <v>485</v>
      </c>
      <c r="G9" s="273"/>
      <c r="H9" s="274"/>
      <c r="I9" s="143" t="s">
        <v>7</v>
      </c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5"/>
      <c r="AC9" s="143" t="s">
        <v>0</v>
      </c>
      <c r="AD9" s="144"/>
      <c r="AE9" s="144"/>
      <c r="AF9" s="144"/>
      <c r="AG9" s="144"/>
      <c r="AH9" s="144"/>
      <c r="AI9" s="144"/>
      <c r="AJ9" s="144"/>
      <c r="AK9" s="144"/>
      <c r="AL9" s="145"/>
    </row>
    <row r="10" spans="1:38" ht="15.75" customHeight="1" thickBot="1" x14ac:dyDescent="0.35">
      <c r="A10" s="125"/>
      <c r="B10" s="126"/>
      <c r="C10" s="126"/>
      <c r="D10" s="126"/>
      <c r="E10" s="127"/>
      <c r="F10" s="275"/>
      <c r="G10" s="276"/>
      <c r="H10" s="277"/>
      <c r="I10" s="146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8"/>
      <c r="AC10" s="152" t="s">
        <v>672</v>
      </c>
      <c r="AD10" s="153"/>
      <c r="AE10" s="153"/>
      <c r="AF10" s="153"/>
      <c r="AG10" s="154"/>
      <c r="AH10" s="152" t="s">
        <v>511</v>
      </c>
      <c r="AI10" s="153"/>
      <c r="AJ10" s="153"/>
      <c r="AK10" s="153"/>
      <c r="AL10" s="154"/>
    </row>
    <row r="11" spans="1:38" ht="15.75" customHeight="1" thickBot="1" x14ac:dyDescent="0.35">
      <c r="A11" s="128"/>
      <c r="B11" s="129"/>
      <c r="C11" s="129"/>
      <c r="D11" s="129"/>
      <c r="E11" s="130"/>
      <c r="F11" s="278"/>
      <c r="G11" s="279"/>
      <c r="H11" s="280"/>
      <c r="I11" s="149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1"/>
      <c r="AC11" s="152">
        <v>1</v>
      </c>
      <c r="AD11" s="153"/>
      <c r="AE11" s="153"/>
      <c r="AF11" s="153"/>
      <c r="AG11" s="154"/>
      <c r="AH11" s="152">
        <v>2</v>
      </c>
      <c r="AI11" s="153"/>
      <c r="AJ11" s="153"/>
      <c r="AK11" s="153"/>
      <c r="AL11" s="154"/>
    </row>
    <row r="12" spans="1:38" ht="14.4" x14ac:dyDescent="0.3">
      <c r="A12" s="188" t="s">
        <v>793</v>
      </c>
      <c r="B12" s="189"/>
      <c r="C12" s="189"/>
      <c r="D12" s="189"/>
      <c r="E12" s="190"/>
      <c r="F12" s="284">
        <v>321</v>
      </c>
      <c r="G12" s="285"/>
      <c r="H12" s="286"/>
      <c r="I12" s="246" t="s">
        <v>451</v>
      </c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8"/>
      <c r="AC12" s="191"/>
      <c r="AD12" s="192"/>
      <c r="AE12" s="192"/>
      <c r="AF12" s="192"/>
      <c r="AG12" s="217"/>
      <c r="AH12" s="191"/>
      <c r="AI12" s="192"/>
      <c r="AJ12" s="192"/>
      <c r="AK12" s="192"/>
      <c r="AL12" s="217"/>
    </row>
    <row r="13" spans="1:38" ht="14.4" x14ac:dyDescent="0.3">
      <c r="A13" s="188" t="s">
        <v>180</v>
      </c>
      <c r="B13" s="189"/>
      <c r="C13" s="189"/>
      <c r="D13" s="189"/>
      <c r="E13" s="190"/>
      <c r="F13" s="287">
        <v>322</v>
      </c>
      <c r="G13" s="288"/>
      <c r="H13" s="289"/>
      <c r="I13" s="246" t="s">
        <v>697</v>
      </c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8"/>
      <c r="AC13" s="191"/>
      <c r="AD13" s="192"/>
      <c r="AE13" s="192"/>
      <c r="AF13" s="192"/>
      <c r="AG13" s="217"/>
      <c r="AH13" s="191"/>
      <c r="AI13" s="192"/>
      <c r="AJ13" s="192"/>
      <c r="AK13" s="192"/>
      <c r="AL13" s="217"/>
    </row>
    <row r="14" spans="1:38" ht="14.4" x14ac:dyDescent="0.3">
      <c r="A14" s="188" t="s">
        <v>794</v>
      </c>
      <c r="B14" s="189"/>
      <c r="C14" s="189"/>
      <c r="D14" s="189"/>
      <c r="E14" s="190"/>
      <c r="F14" s="287">
        <v>323</v>
      </c>
      <c r="G14" s="288"/>
      <c r="H14" s="289"/>
      <c r="I14" s="246" t="s">
        <v>698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8"/>
      <c r="AC14" s="191"/>
      <c r="AD14" s="192"/>
      <c r="AE14" s="192"/>
      <c r="AF14" s="192"/>
      <c r="AG14" s="217"/>
      <c r="AH14" s="191"/>
      <c r="AI14" s="192"/>
      <c r="AJ14" s="192"/>
      <c r="AK14" s="192"/>
      <c r="AL14" s="217"/>
    </row>
    <row r="15" spans="1:38" ht="14.4" x14ac:dyDescent="0.3">
      <c r="A15" s="188" t="s">
        <v>407</v>
      </c>
      <c r="B15" s="189"/>
      <c r="C15" s="189"/>
      <c r="D15" s="189"/>
      <c r="E15" s="190"/>
      <c r="F15" s="287">
        <v>324</v>
      </c>
      <c r="G15" s="288"/>
      <c r="H15" s="289"/>
      <c r="I15" s="246" t="s">
        <v>699</v>
      </c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8"/>
      <c r="AC15" s="191"/>
      <c r="AD15" s="192"/>
      <c r="AE15" s="192"/>
      <c r="AF15" s="192"/>
      <c r="AG15" s="217"/>
      <c r="AH15" s="191"/>
      <c r="AI15" s="192"/>
      <c r="AJ15" s="192"/>
      <c r="AK15" s="192"/>
      <c r="AL15" s="217"/>
    </row>
    <row r="16" spans="1:38" ht="15" thickBot="1" x14ac:dyDescent="0.35">
      <c r="A16" s="188" t="s">
        <v>408</v>
      </c>
      <c r="B16" s="189"/>
      <c r="C16" s="189"/>
      <c r="D16" s="189"/>
      <c r="E16" s="190"/>
      <c r="F16" s="177">
        <v>325</v>
      </c>
      <c r="G16" s="178"/>
      <c r="H16" s="179"/>
      <c r="I16" s="246" t="s">
        <v>513</v>
      </c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8"/>
      <c r="AC16" s="290"/>
      <c r="AD16" s="291"/>
      <c r="AE16" s="291"/>
      <c r="AF16" s="291"/>
      <c r="AG16" s="292"/>
      <c r="AH16" s="290"/>
      <c r="AI16" s="291"/>
      <c r="AJ16" s="291"/>
      <c r="AK16" s="291"/>
      <c r="AL16" s="292"/>
    </row>
    <row r="17" spans="1:38" ht="15.75" customHeight="1" thickBot="1" x14ac:dyDescent="0.35">
      <c r="A17" s="281" t="s">
        <v>179</v>
      </c>
      <c r="B17" s="282"/>
      <c r="C17" s="282"/>
      <c r="D17" s="282"/>
      <c r="E17" s="283"/>
      <c r="F17" s="113">
        <v>32</v>
      </c>
      <c r="G17" s="187"/>
      <c r="H17" s="114"/>
      <c r="I17" s="181" t="s">
        <v>452</v>
      </c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3"/>
      <c r="AC17" s="113">
        <f>SUM(AC12:AG16)</f>
        <v>0</v>
      </c>
      <c r="AD17" s="187"/>
      <c r="AE17" s="187"/>
      <c r="AF17" s="187"/>
      <c r="AG17" s="114"/>
      <c r="AH17" s="113">
        <f>SUM(AH12:AL16)</f>
        <v>0</v>
      </c>
      <c r="AI17" s="187"/>
      <c r="AJ17" s="187"/>
      <c r="AK17" s="187"/>
      <c r="AL17" s="114"/>
    </row>
    <row r="18" spans="1:38" ht="10.8" thickBot="1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</row>
    <row r="19" spans="1:38" ht="15.75" customHeight="1" thickBot="1" x14ac:dyDescent="0.35">
      <c r="A19" s="122" t="s">
        <v>761</v>
      </c>
      <c r="B19" s="123"/>
      <c r="C19" s="123"/>
      <c r="D19" s="123"/>
      <c r="E19" s="124"/>
      <c r="F19" s="272" t="s">
        <v>485</v>
      </c>
      <c r="G19" s="273"/>
      <c r="H19" s="274"/>
      <c r="I19" s="143" t="s">
        <v>7</v>
      </c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5"/>
      <c r="AC19" s="143" t="s">
        <v>0</v>
      </c>
      <c r="AD19" s="144"/>
      <c r="AE19" s="144"/>
      <c r="AF19" s="144"/>
      <c r="AG19" s="144"/>
      <c r="AH19" s="144"/>
      <c r="AI19" s="144"/>
      <c r="AJ19" s="144"/>
      <c r="AK19" s="144"/>
      <c r="AL19" s="145"/>
    </row>
    <row r="20" spans="1:38" ht="15.75" customHeight="1" thickBot="1" x14ac:dyDescent="0.35">
      <c r="A20" s="125"/>
      <c r="B20" s="126"/>
      <c r="C20" s="126"/>
      <c r="D20" s="126"/>
      <c r="E20" s="127"/>
      <c r="F20" s="275"/>
      <c r="G20" s="276"/>
      <c r="H20" s="277"/>
      <c r="I20" s="146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8"/>
      <c r="AC20" s="152" t="s">
        <v>514</v>
      </c>
      <c r="AD20" s="153"/>
      <c r="AE20" s="153"/>
      <c r="AF20" s="153"/>
      <c r="AG20" s="154"/>
      <c r="AH20" s="152" t="s">
        <v>511</v>
      </c>
      <c r="AI20" s="153"/>
      <c r="AJ20" s="153"/>
      <c r="AK20" s="153"/>
      <c r="AL20" s="154"/>
    </row>
    <row r="21" spans="1:38" ht="10.8" thickBot="1" x14ac:dyDescent="0.35">
      <c r="A21" s="128"/>
      <c r="B21" s="129"/>
      <c r="C21" s="129"/>
      <c r="D21" s="129"/>
      <c r="E21" s="130"/>
      <c r="F21" s="278"/>
      <c r="G21" s="279"/>
      <c r="H21" s="280"/>
      <c r="I21" s="149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1"/>
      <c r="AC21" s="152">
        <v>1</v>
      </c>
      <c r="AD21" s="153"/>
      <c r="AE21" s="153"/>
      <c r="AF21" s="153"/>
      <c r="AG21" s="154"/>
      <c r="AH21" s="152">
        <v>2</v>
      </c>
      <c r="AI21" s="153"/>
      <c r="AJ21" s="153"/>
      <c r="AK21" s="153"/>
      <c r="AL21" s="154"/>
    </row>
    <row r="22" spans="1:38" ht="15" customHeight="1" x14ac:dyDescent="0.3">
      <c r="A22" s="188" t="s">
        <v>378</v>
      </c>
      <c r="B22" s="189"/>
      <c r="C22" s="189"/>
      <c r="D22" s="189"/>
      <c r="E22" s="190"/>
      <c r="F22" s="270">
        <v>351</v>
      </c>
      <c r="G22" s="230"/>
      <c r="H22" s="271"/>
      <c r="I22" s="266" t="s">
        <v>453</v>
      </c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267"/>
      <c r="AC22" s="270"/>
      <c r="AD22" s="230"/>
      <c r="AE22" s="230"/>
      <c r="AF22" s="230"/>
      <c r="AG22" s="271"/>
      <c r="AH22" s="270"/>
      <c r="AI22" s="230"/>
      <c r="AJ22" s="230"/>
      <c r="AK22" s="230"/>
      <c r="AL22" s="271"/>
    </row>
    <row r="23" spans="1:38" ht="14.4" x14ac:dyDescent="0.3">
      <c r="A23" s="188" t="s">
        <v>379</v>
      </c>
      <c r="B23" s="189"/>
      <c r="C23" s="189"/>
      <c r="D23" s="189"/>
      <c r="E23" s="190"/>
      <c r="F23" s="191">
        <v>352</v>
      </c>
      <c r="G23" s="192"/>
      <c r="H23" s="217"/>
      <c r="I23" s="268" t="s">
        <v>454</v>
      </c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269"/>
      <c r="AC23" s="191"/>
      <c r="AD23" s="192"/>
      <c r="AE23" s="192"/>
      <c r="AF23" s="192"/>
      <c r="AG23" s="217"/>
      <c r="AH23" s="191"/>
      <c r="AI23" s="192"/>
      <c r="AJ23" s="192"/>
      <c r="AK23" s="192"/>
      <c r="AL23" s="217"/>
    </row>
    <row r="24" spans="1:38" ht="14.4" x14ac:dyDescent="0.3">
      <c r="A24" s="188" t="s">
        <v>371</v>
      </c>
      <c r="B24" s="189"/>
      <c r="C24" s="189"/>
      <c r="D24" s="189"/>
      <c r="E24" s="190"/>
      <c r="F24" s="191">
        <v>353</v>
      </c>
      <c r="G24" s="192"/>
      <c r="H24" s="217"/>
      <c r="I24" s="268" t="s">
        <v>455</v>
      </c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269"/>
      <c r="AC24" s="191"/>
      <c r="AD24" s="192"/>
      <c r="AE24" s="192"/>
      <c r="AF24" s="192"/>
      <c r="AG24" s="217"/>
      <c r="AH24" s="191"/>
      <c r="AI24" s="192"/>
      <c r="AJ24" s="192"/>
      <c r="AK24" s="192"/>
      <c r="AL24" s="217"/>
    </row>
    <row r="25" spans="1:38" ht="15" thickBot="1" x14ac:dyDescent="0.35">
      <c r="A25" s="188" t="s">
        <v>372</v>
      </c>
      <c r="B25" s="189"/>
      <c r="C25" s="189"/>
      <c r="D25" s="189"/>
      <c r="E25" s="190"/>
      <c r="F25" s="177">
        <v>354</v>
      </c>
      <c r="G25" s="178"/>
      <c r="H25" s="179"/>
      <c r="I25" s="268" t="s">
        <v>456</v>
      </c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269"/>
      <c r="AC25" s="191"/>
      <c r="AD25" s="192"/>
      <c r="AE25" s="192"/>
      <c r="AF25" s="192"/>
      <c r="AG25" s="217"/>
      <c r="AH25" s="191"/>
      <c r="AI25" s="192"/>
      <c r="AJ25" s="192"/>
      <c r="AK25" s="192"/>
      <c r="AL25" s="217"/>
    </row>
    <row r="26" spans="1:38" ht="15.75" customHeight="1" thickBot="1" x14ac:dyDescent="0.35">
      <c r="A26" s="281" t="s">
        <v>370</v>
      </c>
      <c r="B26" s="282"/>
      <c r="C26" s="282"/>
      <c r="D26" s="282"/>
      <c r="E26" s="283"/>
      <c r="F26" s="113">
        <v>35</v>
      </c>
      <c r="G26" s="187"/>
      <c r="H26" s="114"/>
      <c r="I26" s="181" t="s">
        <v>457</v>
      </c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  <c r="AA26" s="182"/>
      <c r="AB26" s="183"/>
      <c r="AC26" s="113">
        <f>SUM(AC22:AG25)</f>
        <v>0</v>
      </c>
      <c r="AD26" s="187"/>
      <c r="AE26" s="187"/>
      <c r="AF26" s="187"/>
      <c r="AG26" s="114"/>
      <c r="AH26" s="113">
        <f>SUM(AH22:AL25)</f>
        <v>0</v>
      </c>
      <c r="AI26" s="187"/>
      <c r="AJ26" s="187"/>
      <c r="AK26" s="187"/>
      <c r="AL26" s="114"/>
    </row>
    <row r="27" spans="1:38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</row>
  </sheetData>
  <mergeCells count="77">
    <mergeCell ref="AH14:AL14"/>
    <mergeCell ref="AH15:AL15"/>
    <mergeCell ref="AC14:AG14"/>
    <mergeCell ref="AC15:AG15"/>
    <mergeCell ref="F24:H24"/>
    <mergeCell ref="F25:H25"/>
    <mergeCell ref="F26:H26"/>
    <mergeCell ref="F17:H17"/>
    <mergeCell ref="F19:H21"/>
    <mergeCell ref="A26:E26"/>
    <mergeCell ref="I26:AB26"/>
    <mergeCell ref="AC26:AG26"/>
    <mergeCell ref="AH26:AL26"/>
    <mergeCell ref="A25:E25"/>
    <mergeCell ref="I25:AB25"/>
    <mergeCell ref="AC25:AG25"/>
    <mergeCell ref="AH25:AL25"/>
    <mergeCell ref="AH13:AL13"/>
    <mergeCell ref="AC12:AG12"/>
    <mergeCell ref="AC13:AG13"/>
    <mergeCell ref="AH12:AL12"/>
    <mergeCell ref="A24:E24"/>
    <mergeCell ref="I24:AB24"/>
    <mergeCell ref="AC24:AG24"/>
    <mergeCell ref="AH24:AL24"/>
    <mergeCell ref="A19:E21"/>
    <mergeCell ref="I19:AB21"/>
    <mergeCell ref="AC19:AL19"/>
    <mergeCell ref="AC20:AG20"/>
    <mergeCell ref="AH20:AL20"/>
    <mergeCell ref="AC17:AG17"/>
    <mergeCell ref="AH17:AL17"/>
    <mergeCell ref="A22:E22"/>
    <mergeCell ref="A12:E12"/>
    <mergeCell ref="A13:E13"/>
    <mergeCell ref="A17:E17"/>
    <mergeCell ref="I12:AB12"/>
    <mergeCell ref="I13:AB13"/>
    <mergeCell ref="I17:AB17"/>
    <mergeCell ref="I14:AB14"/>
    <mergeCell ref="I15:AB15"/>
    <mergeCell ref="F12:H12"/>
    <mergeCell ref="F13:H13"/>
    <mergeCell ref="F14:H14"/>
    <mergeCell ref="F15:H15"/>
    <mergeCell ref="F16:H16"/>
    <mergeCell ref="I16:AB16"/>
    <mergeCell ref="A14:E14"/>
    <mergeCell ref="A15:E15"/>
    <mergeCell ref="A9:E11"/>
    <mergeCell ref="E7:O7"/>
    <mergeCell ref="AC11:AG11"/>
    <mergeCell ref="AH11:AL11"/>
    <mergeCell ref="I9:AB11"/>
    <mergeCell ref="AC10:AG10"/>
    <mergeCell ref="AH10:AL10"/>
    <mergeCell ref="AC9:AL9"/>
    <mergeCell ref="F9:H11"/>
    <mergeCell ref="A1:AL1"/>
    <mergeCell ref="A2:AL2"/>
    <mergeCell ref="Q4:U4"/>
    <mergeCell ref="V4:AH4"/>
    <mergeCell ref="D4:L4"/>
    <mergeCell ref="A16:E16"/>
    <mergeCell ref="I22:AB22"/>
    <mergeCell ref="A23:E23"/>
    <mergeCell ref="AC23:AG23"/>
    <mergeCell ref="AH23:AL23"/>
    <mergeCell ref="I23:AB23"/>
    <mergeCell ref="F22:H22"/>
    <mergeCell ref="F23:H23"/>
    <mergeCell ref="AC22:AG22"/>
    <mergeCell ref="AH22:AL22"/>
    <mergeCell ref="AC21:AG21"/>
    <mergeCell ref="AH21:AL21"/>
    <mergeCell ref="AC16:AG16"/>
    <mergeCell ref="AH16:AL16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AV40"/>
  <sheetViews>
    <sheetView showGridLines="0" view="pageBreakPreview" zoomScale="106" zoomScaleNormal="100" zoomScaleSheetLayoutView="106" workbookViewId="0">
      <selection activeCell="A36" sqref="A36:E40"/>
    </sheetView>
  </sheetViews>
  <sheetFormatPr baseColWidth="10" defaultColWidth="3.44140625" defaultRowHeight="10.199999999999999" x14ac:dyDescent="0.2"/>
  <cols>
    <col min="1" max="4" width="3.44140625" style="2"/>
    <col min="5" max="5" width="0.21875" style="2" customWidth="1"/>
    <col min="6" max="32" width="3.44140625" style="2"/>
    <col min="33" max="33" width="0.77734375" style="2" customWidth="1"/>
    <col min="34" max="34" width="3.44140625" style="2"/>
    <col min="35" max="35" width="2.5546875" style="2" customWidth="1"/>
    <col min="36" max="36" width="3.44140625" style="2" hidden="1" customWidth="1"/>
    <col min="37" max="37" width="1.77734375" style="2" hidden="1" customWidth="1"/>
    <col min="38" max="39" width="3.44140625" style="2" hidden="1" customWidth="1"/>
    <col min="40" max="16384" width="3.44140625" style="2"/>
  </cols>
  <sheetData>
    <row r="1" spans="1:39" x14ac:dyDescent="0.2">
      <c r="A1" s="214" t="s">
        <v>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6"/>
    </row>
    <row r="2" spans="1:39" ht="10.8" thickBot="1" x14ac:dyDescent="0.25">
      <c r="A2" s="120" t="s">
        <v>164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215"/>
    </row>
    <row r="3" spans="1:39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3"/>
    </row>
    <row r="4" spans="1:39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6"/>
      <c r="J4" s="156"/>
      <c r="K4" s="156"/>
      <c r="L4" s="157"/>
      <c r="M4" s="25"/>
      <c r="N4" s="25"/>
      <c r="O4" s="25"/>
      <c r="P4" s="25"/>
      <c r="Q4" s="158" t="s">
        <v>478</v>
      </c>
      <c r="R4" s="158"/>
      <c r="S4" s="158"/>
      <c r="T4" s="158"/>
      <c r="U4" s="158"/>
      <c r="V4" s="155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7"/>
      <c r="AI4" s="25"/>
      <c r="AJ4" s="25"/>
      <c r="AK4" s="25"/>
      <c r="AL4" s="25"/>
      <c r="AM4" s="26"/>
    </row>
    <row r="5" spans="1:39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6"/>
    </row>
    <row r="6" spans="1:39" x14ac:dyDescent="0.2">
      <c r="A6" s="24"/>
      <c r="B6" s="25"/>
      <c r="C6" s="25"/>
      <c r="D6" s="25"/>
      <c r="E6" s="27" t="s">
        <v>128</v>
      </c>
      <c r="F6" s="27"/>
      <c r="G6" s="27"/>
      <c r="H6" s="27"/>
      <c r="I6" s="27" t="s">
        <v>128</v>
      </c>
      <c r="J6" s="27" t="s">
        <v>128</v>
      </c>
      <c r="K6" s="27" t="s">
        <v>128</v>
      </c>
      <c r="L6" s="27" t="s">
        <v>127</v>
      </c>
      <c r="M6" s="27" t="s">
        <v>127</v>
      </c>
      <c r="N6" s="27" t="s">
        <v>126</v>
      </c>
      <c r="O6" s="27" t="s">
        <v>126</v>
      </c>
      <c r="P6" s="25"/>
      <c r="Q6" s="25"/>
      <c r="R6" s="25"/>
      <c r="S6" s="25"/>
      <c r="T6" s="27"/>
      <c r="U6" s="27"/>
      <c r="V6" s="27"/>
      <c r="W6" s="27"/>
      <c r="X6" s="27"/>
      <c r="Y6" s="25"/>
      <c r="Z6" s="27"/>
      <c r="AA6" s="25"/>
      <c r="AB6" s="25"/>
      <c r="AC6" s="27" t="s">
        <v>255</v>
      </c>
      <c r="AD6" s="27" t="s">
        <v>131</v>
      </c>
      <c r="AE6" s="27"/>
      <c r="AF6" s="25"/>
      <c r="AG6" s="25"/>
      <c r="AH6" s="25"/>
      <c r="AI6" s="25"/>
      <c r="AJ6" s="25"/>
      <c r="AK6" s="25"/>
      <c r="AL6" s="27">
        <v>0</v>
      </c>
      <c r="AM6" s="26"/>
    </row>
    <row r="7" spans="1:39" x14ac:dyDescent="0.2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9"/>
      <c r="Q7" s="25"/>
      <c r="R7" s="25"/>
      <c r="S7" s="25"/>
      <c r="T7" s="25"/>
      <c r="U7" s="25"/>
      <c r="V7" s="33" t="s">
        <v>130</v>
      </c>
      <c r="W7" s="33"/>
      <c r="X7" s="25"/>
      <c r="Y7" s="25"/>
      <c r="Z7" s="25" t="s">
        <v>244</v>
      </c>
      <c r="AA7" s="25"/>
      <c r="AB7" s="25"/>
      <c r="AC7" s="25"/>
      <c r="AD7" s="19" t="s">
        <v>245</v>
      </c>
      <c r="AE7" s="25"/>
      <c r="AF7" s="25"/>
      <c r="AG7" s="25"/>
      <c r="AH7" s="25"/>
      <c r="AI7" s="25"/>
      <c r="AJ7" s="25"/>
      <c r="AK7" s="25"/>
      <c r="AL7" s="33" t="s">
        <v>131</v>
      </c>
      <c r="AM7" s="26"/>
    </row>
    <row r="8" spans="1:39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30"/>
    </row>
    <row r="9" spans="1:39" ht="15.75" customHeight="1" thickBot="1" x14ac:dyDescent="0.25">
      <c r="A9" s="122" t="s">
        <v>761</v>
      </c>
      <c r="B9" s="123"/>
      <c r="C9" s="123"/>
      <c r="D9" s="123"/>
      <c r="E9" s="124"/>
      <c r="F9" s="143" t="s">
        <v>485</v>
      </c>
      <c r="G9" s="144"/>
      <c r="H9" s="145"/>
      <c r="I9" s="144" t="s">
        <v>136</v>
      </c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5"/>
      <c r="AC9" s="152" t="s">
        <v>0</v>
      </c>
      <c r="AD9" s="153"/>
      <c r="AE9" s="153"/>
      <c r="AF9" s="153"/>
      <c r="AG9" s="153"/>
      <c r="AH9" s="153"/>
      <c r="AI9" s="153"/>
      <c r="AJ9" s="153"/>
      <c r="AK9" s="153"/>
      <c r="AL9" s="154"/>
      <c r="AM9" s="145"/>
    </row>
    <row r="10" spans="1:39" ht="15.75" customHeight="1" thickBot="1" x14ac:dyDescent="0.25">
      <c r="A10" s="125"/>
      <c r="B10" s="126"/>
      <c r="C10" s="126"/>
      <c r="D10" s="126"/>
      <c r="E10" s="127"/>
      <c r="F10" s="146"/>
      <c r="G10" s="147"/>
      <c r="H10" s="148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8"/>
      <c r="AC10" s="152" t="s">
        <v>672</v>
      </c>
      <c r="AD10" s="153"/>
      <c r="AE10" s="153"/>
      <c r="AF10" s="153"/>
      <c r="AG10" s="154"/>
      <c r="AH10" s="152" t="s">
        <v>511</v>
      </c>
      <c r="AI10" s="153"/>
      <c r="AJ10" s="153"/>
      <c r="AK10" s="153"/>
      <c r="AL10" s="154"/>
      <c r="AM10" s="151"/>
    </row>
    <row r="11" spans="1:39" ht="15.75" customHeight="1" thickBot="1" x14ac:dyDescent="0.25">
      <c r="A11" s="128"/>
      <c r="B11" s="129"/>
      <c r="C11" s="129"/>
      <c r="D11" s="129"/>
      <c r="E11" s="130"/>
      <c r="F11" s="149"/>
      <c r="G11" s="150"/>
      <c r="H11" s="151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1"/>
      <c r="AC11" s="152">
        <v>1</v>
      </c>
      <c r="AD11" s="153"/>
      <c r="AE11" s="153"/>
      <c r="AF11" s="153"/>
      <c r="AG11" s="154"/>
      <c r="AH11" s="152">
        <v>2</v>
      </c>
      <c r="AI11" s="153"/>
      <c r="AJ11" s="153"/>
      <c r="AK11" s="153"/>
      <c r="AL11" s="154"/>
      <c r="AM11" s="75"/>
    </row>
    <row r="12" spans="1:39" ht="15" hidden="1" customHeight="1" thickBot="1" x14ac:dyDescent="0.25">
      <c r="A12" s="293" t="s">
        <v>175</v>
      </c>
      <c r="B12" s="294"/>
      <c r="C12" s="294"/>
      <c r="D12" s="294"/>
      <c r="E12" s="295"/>
      <c r="F12" s="214"/>
      <c r="G12" s="195"/>
      <c r="H12" s="196"/>
      <c r="I12" s="296" t="s">
        <v>224</v>
      </c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7"/>
      <c r="AC12" s="270"/>
      <c r="AD12" s="230"/>
      <c r="AE12" s="230"/>
      <c r="AF12" s="230"/>
      <c r="AG12" s="271"/>
      <c r="AH12" s="270" t="e">
        <f>AC12/$AC$12</f>
        <v>#DIV/0!</v>
      </c>
      <c r="AI12" s="230"/>
      <c r="AJ12" s="230"/>
      <c r="AK12" s="230"/>
      <c r="AL12" s="271"/>
      <c r="AM12" s="81"/>
    </row>
    <row r="13" spans="1:39" hidden="1" x14ac:dyDescent="0.2">
      <c r="A13" s="300" t="s">
        <v>176</v>
      </c>
      <c r="B13" s="301"/>
      <c r="C13" s="301"/>
      <c r="D13" s="301"/>
      <c r="E13" s="302"/>
      <c r="F13" s="34"/>
      <c r="G13" s="35"/>
      <c r="H13" s="36"/>
      <c r="I13" s="303" t="s">
        <v>226</v>
      </c>
      <c r="J13" s="303"/>
      <c r="K13" s="303"/>
      <c r="L13" s="303"/>
      <c r="M13" s="303"/>
      <c r="N13" s="303"/>
      <c r="O13" s="303"/>
      <c r="P13" s="303"/>
      <c r="Q13" s="303"/>
      <c r="R13" s="303"/>
      <c r="S13" s="303"/>
      <c r="T13" s="303"/>
      <c r="U13" s="303"/>
      <c r="V13" s="303"/>
      <c r="W13" s="303"/>
      <c r="X13" s="303"/>
      <c r="Y13" s="303"/>
      <c r="Z13" s="303"/>
      <c r="AA13" s="303"/>
      <c r="AB13" s="304"/>
      <c r="AC13" s="191"/>
      <c r="AD13" s="192"/>
      <c r="AE13" s="192"/>
      <c r="AF13" s="192"/>
      <c r="AG13" s="217"/>
      <c r="AH13" s="191" t="e">
        <f t="shared" ref="AH13:AH19" si="0">AC13/$AC$12</f>
        <v>#DIV/0!</v>
      </c>
      <c r="AI13" s="192"/>
      <c r="AJ13" s="192"/>
      <c r="AK13" s="192"/>
      <c r="AL13" s="217"/>
      <c r="AM13" s="14"/>
    </row>
    <row r="14" spans="1:39" hidden="1" x14ac:dyDescent="0.2">
      <c r="A14" s="300" t="s">
        <v>177</v>
      </c>
      <c r="B14" s="301"/>
      <c r="C14" s="301"/>
      <c r="D14" s="301"/>
      <c r="E14" s="302"/>
      <c r="F14" s="34"/>
      <c r="G14" s="35"/>
      <c r="H14" s="36"/>
      <c r="I14" s="303" t="s">
        <v>227</v>
      </c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4"/>
      <c r="AC14" s="268"/>
      <c r="AD14" s="170"/>
      <c r="AE14" s="170"/>
      <c r="AF14" s="170"/>
      <c r="AG14" s="269"/>
      <c r="AH14" s="191" t="e">
        <f t="shared" si="0"/>
        <v>#DIV/0!</v>
      </c>
      <c r="AI14" s="192"/>
      <c r="AJ14" s="192"/>
      <c r="AK14" s="192"/>
      <c r="AL14" s="217"/>
      <c r="AM14" s="36"/>
    </row>
    <row r="15" spans="1:39" hidden="1" x14ac:dyDescent="0.2">
      <c r="A15" s="300" t="s">
        <v>178</v>
      </c>
      <c r="B15" s="301"/>
      <c r="C15" s="301"/>
      <c r="D15" s="301"/>
      <c r="E15" s="302"/>
      <c r="F15" s="34"/>
      <c r="G15" s="35"/>
      <c r="H15" s="36"/>
      <c r="I15" s="303" t="s">
        <v>228</v>
      </c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4"/>
      <c r="AC15" s="268"/>
      <c r="AD15" s="170"/>
      <c r="AE15" s="170"/>
      <c r="AF15" s="170"/>
      <c r="AG15" s="269"/>
      <c r="AH15" s="191" t="e">
        <f t="shared" si="0"/>
        <v>#DIV/0!</v>
      </c>
      <c r="AI15" s="192"/>
      <c r="AJ15" s="192"/>
      <c r="AK15" s="192"/>
      <c r="AL15" s="217"/>
      <c r="AM15" s="36"/>
    </row>
    <row r="16" spans="1:39" hidden="1" x14ac:dyDescent="0.2">
      <c r="A16" s="300" t="s">
        <v>403</v>
      </c>
      <c r="B16" s="301"/>
      <c r="C16" s="301"/>
      <c r="D16" s="301"/>
      <c r="E16" s="302"/>
      <c r="F16" s="34"/>
      <c r="G16" s="35"/>
      <c r="H16" s="36"/>
      <c r="I16" s="303" t="s">
        <v>229</v>
      </c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4"/>
      <c r="AC16" s="268"/>
      <c r="AD16" s="170"/>
      <c r="AE16" s="170"/>
      <c r="AF16" s="170"/>
      <c r="AG16" s="269"/>
      <c r="AH16" s="191" t="e">
        <f t="shared" si="0"/>
        <v>#DIV/0!</v>
      </c>
      <c r="AI16" s="192"/>
      <c r="AJ16" s="192"/>
      <c r="AK16" s="192"/>
      <c r="AL16" s="217"/>
      <c r="AM16" s="36"/>
    </row>
    <row r="17" spans="1:48" hidden="1" x14ac:dyDescent="0.2">
      <c r="A17" s="300" t="s">
        <v>404</v>
      </c>
      <c r="B17" s="301"/>
      <c r="C17" s="301"/>
      <c r="D17" s="301"/>
      <c r="E17" s="302"/>
      <c r="F17" s="34"/>
      <c r="G17" s="35"/>
      <c r="H17" s="36"/>
      <c r="I17" s="303" t="s">
        <v>230</v>
      </c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3"/>
      <c r="AA17" s="303"/>
      <c r="AB17" s="304"/>
      <c r="AC17" s="268"/>
      <c r="AD17" s="170"/>
      <c r="AE17" s="170"/>
      <c r="AF17" s="170"/>
      <c r="AG17" s="269"/>
      <c r="AH17" s="191" t="e">
        <f t="shared" si="0"/>
        <v>#DIV/0!</v>
      </c>
      <c r="AI17" s="192"/>
      <c r="AJ17" s="192"/>
      <c r="AK17" s="192"/>
      <c r="AL17" s="217"/>
      <c r="AM17" s="36"/>
    </row>
    <row r="18" spans="1:48" hidden="1" x14ac:dyDescent="0.2">
      <c r="A18" s="300" t="s">
        <v>405</v>
      </c>
      <c r="B18" s="301"/>
      <c r="C18" s="301"/>
      <c r="D18" s="301"/>
      <c r="E18" s="302"/>
      <c r="F18" s="34"/>
      <c r="G18" s="35"/>
      <c r="H18" s="36"/>
      <c r="I18" s="303" t="s">
        <v>311</v>
      </c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4"/>
      <c r="AC18" s="268"/>
      <c r="AD18" s="170"/>
      <c r="AE18" s="170"/>
      <c r="AF18" s="170"/>
      <c r="AG18" s="269"/>
      <c r="AH18" s="191" t="e">
        <f t="shared" si="0"/>
        <v>#DIV/0!</v>
      </c>
      <c r="AI18" s="192"/>
      <c r="AJ18" s="192"/>
      <c r="AK18" s="192"/>
      <c r="AL18" s="217"/>
      <c r="AM18" s="36"/>
    </row>
    <row r="19" spans="1:48" hidden="1" x14ac:dyDescent="0.2">
      <c r="A19" s="300" t="s">
        <v>406</v>
      </c>
      <c r="B19" s="301"/>
      <c r="C19" s="301"/>
      <c r="D19" s="301"/>
      <c r="E19" s="302"/>
      <c r="F19" s="34"/>
      <c r="G19" s="35"/>
      <c r="H19" s="36"/>
      <c r="I19" s="303" t="s">
        <v>314</v>
      </c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4"/>
      <c r="AC19" s="268"/>
      <c r="AD19" s="170"/>
      <c r="AE19" s="170"/>
      <c r="AF19" s="170"/>
      <c r="AG19" s="269"/>
      <c r="AH19" s="191" t="e">
        <f t="shared" si="0"/>
        <v>#DIV/0!</v>
      </c>
      <c r="AI19" s="192"/>
      <c r="AJ19" s="192"/>
      <c r="AK19" s="192"/>
      <c r="AL19" s="217"/>
      <c r="AM19" s="36"/>
    </row>
    <row r="20" spans="1:48" ht="15" thickBot="1" x14ac:dyDescent="0.35">
      <c r="A20" s="281" t="s">
        <v>407</v>
      </c>
      <c r="B20" s="282"/>
      <c r="C20" s="282"/>
      <c r="D20" s="282"/>
      <c r="E20" s="283"/>
      <c r="F20" s="118">
        <v>33</v>
      </c>
      <c r="G20" s="119"/>
      <c r="H20" s="325"/>
      <c r="I20" s="219" t="s">
        <v>602</v>
      </c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305"/>
      <c r="AC20" s="268"/>
      <c r="AD20" s="170"/>
      <c r="AE20" s="170"/>
      <c r="AF20" s="170"/>
      <c r="AG20" s="269"/>
      <c r="AH20" s="191" t="e">
        <f>AC20/$AC$20</f>
        <v>#DIV/0!</v>
      </c>
      <c r="AI20" s="192"/>
      <c r="AJ20" s="192"/>
      <c r="AK20" s="192"/>
      <c r="AL20" s="217"/>
      <c r="AM20" s="36"/>
    </row>
    <row r="21" spans="1:48" ht="14.4" x14ac:dyDescent="0.3">
      <c r="A21" s="188" t="s">
        <v>408</v>
      </c>
      <c r="B21" s="189"/>
      <c r="C21" s="189"/>
      <c r="D21" s="189"/>
      <c r="E21" s="190"/>
      <c r="F21" s="191">
        <v>331</v>
      </c>
      <c r="G21" s="192"/>
      <c r="H21" s="217"/>
      <c r="I21" s="303" t="s">
        <v>603</v>
      </c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4"/>
      <c r="AC21" s="268"/>
      <c r="AD21" s="170"/>
      <c r="AE21" s="170"/>
      <c r="AF21" s="170"/>
      <c r="AG21" s="269"/>
      <c r="AH21" s="191" t="e">
        <f t="shared" ref="AH21:AH24" si="1">AC21/$AC$20</f>
        <v>#DIV/0!</v>
      </c>
      <c r="AI21" s="192"/>
      <c r="AJ21" s="192"/>
      <c r="AK21" s="192"/>
      <c r="AL21" s="217"/>
      <c r="AM21" s="36"/>
    </row>
    <row r="22" spans="1:48" ht="14.4" x14ac:dyDescent="0.3">
      <c r="A22" s="188" t="s">
        <v>409</v>
      </c>
      <c r="B22" s="189"/>
      <c r="C22" s="189"/>
      <c r="D22" s="189"/>
      <c r="E22" s="190"/>
      <c r="F22" s="191">
        <v>332</v>
      </c>
      <c r="G22" s="192"/>
      <c r="H22" s="217"/>
      <c r="I22" s="303" t="s">
        <v>604</v>
      </c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4"/>
      <c r="AC22" s="268"/>
      <c r="AD22" s="170"/>
      <c r="AE22" s="170"/>
      <c r="AF22" s="170"/>
      <c r="AG22" s="269"/>
      <c r="AH22" s="191" t="e">
        <f t="shared" si="1"/>
        <v>#DIV/0!</v>
      </c>
      <c r="AI22" s="192"/>
      <c r="AJ22" s="192"/>
      <c r="AK22" s="192"/>
      <c r="AL22" s="217"/>
      <c r="AM22" s="36"/>
    </row>
    <row r="23" spans="1:48" ht="14.4" x14ac:dyDescent="0.3">
      <c r="A23" s="188" t="s">
        <v>410</v>
      </c>
      <c r="B23" s="189"/>
      <c r="C23" s="189"/>
      <c r="D23" s="189"/>
      <c r="E23" s="190"/>
      <c r="F23" s="191">
        <v>333</v>
      </c>
      <c r="G23" s="192"/>
      <c r="H23" s="217"/>
      <c r="I23" s="303" t="s">
        <v>605</v>
      </c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4"/>
      <c r="AC23" s="268"/>
      <c r="AD23" s="170"/>
      <c r="AE23" s="170"/>
      <c r="AF23" s="170"/>
      <c r="AG23" s="269"/>
      <c r="AH23" s="191" t="e">
        <f t="shared" si="1"/>
        <v>#DIV/0!</v>
      </c>
      <c r="AI23" s="192"/>
      <c r="AJ23" s="192"/>
      <c r="AK23" s="192"/>
      <c r="AL23" s="217"/>
      <c r="AM23" s="36"/>
    </row>
    <row r="24" spans="1:48" s="7" customFormat="1" ht="9" customHeight="1" thickBot="1" x14ac:dyDescent="0.35">
      <c r="A24" s="188" t="s">
        <v>795</v>
      </c>
      <c r="B24" s="189"/>
      <c r="C24" s="189"/>
      <c r="D24" s="189"/>
      <c r="E24" s="190"/>
      <c r="F24" s="322">
        <v>336</v>
      </c>
      <c r="G24" s="323"/>
      <c r="H24" s="324"/>
      <c r="I24" s="298" t="s">
        <v>606</v>
      </c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  <c r="AA24" s="298"/>
      <c r="AB24" s="299"/>
      <c r="AC24" s="88"/>
      <c r="AD24" s="89"/>
      <c r="AE24" s="89"/>
      <c r="AF24" s="89"/>
      <c r="AG24" s="90"/>
      <c r="AH24" s="290" t="e">
        <f t="shared" si="1"/>
        <v>#DIV/0!</v>
      </c>
      <c r="AI24" s="291"/>
      <c r="AJ24" s="291"/>
      <c r="AK24" s="291"/>
      <c r="AL24" s="292"/>
      <c r="AM24" s="90"/>
    </row>
    <row r="25" spans="1:48" ht="10.8" thickBo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</row>
    <row r="26" spans="1:48" ht="15.75" customHeight="1" thickBot="1" x14ac:dyDescent="0.25">
      <c r="A26" s="122" t="s">
        <v>761</v>
      </c>
      <c r="B26" s="123"/>
      <c r="C26" s="123"/>
      <c r="D26" s="123"/>
      <c r="E26" s="124"/>
      <c r="F26" s="143" t="s">
        <v>485</v>
      </c>
      <c r="G26" s="144"/>
      <c r="H26" s="145"/>
      <c r="I26" s="143" t="s">
        <v>115</v>
      </c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5"/>
      <c r="AC26" s="143" t="s">
        <v>0</v>
      </c>
      <c r="AD26" s="144"/>
      <c r="AE26" s="144"/>
      <c r="AF26" s="144"/>
      <c r="AG26" s="144"/>
      <c r="AH26" s="144"/>
      <c r="AI26" s="144"/>
      <c r="AJ26" s="144"/>
      <c r="AK26" s="144"/>
      <c r="AL26" s="145"/>
      <c r="AM26" s="145"/>
    </row>
    <row r="27" spans="1:48" ht="15.75" customHeight="1" thickBot="1" x14ac:dyDescent="0.25">
      <c r="A27" s="125"/>
      <c r="B27" s="126"/>
      <c r="C27" s="126"/>
      <c r="D27" s="126"/>
      <c r="E27" s="127"/>
      <c r="F27" s="146"/>
      <c r="G27" s="147"/>
      <c r="H27" s="148"/>
      <c r="I27" s="146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8"/>
      <c r="AC27" s="153" t="s">
        <v>514</v>
      </c>
      <c r="AD27" s="153"/>
      <c r="AE27" s="153"/>
      <c r="AF27" s="153"/>
      <c r="AG27" s="154"/>
      <c r="AH27" s="152" t="s">
        <v>511</v>
      </c>
      <c r="AI27" s="153"/>
      <c r="AJ27" s="153"/>
      <c r="AK27" s="153"/>
      <c r="AL27" s="154"/>
      <c r="AM27" s="151"/>
    </row>
    <row r="28" spans="1:48" ht="10.8" thickBot="1" x14ac:dyDescent="0.25">
      <c r="A28" s="128"/>
      <c r="B28" s="129"/>
      <c r="C28" s="129"/>
      <c r="D28" s="129"/>
      <c r="E28" s="130"/>
      <c r="F28" s="149"/>
      <c r="G28" s="150"/>
      <c r="H28" s="151"/>
      <c r="I28" s="149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1"/>
      <c r="AC28" s="153">
        <v>1</v>
      </c>
      <c r="AD28" s="153"/>
      <c r="AE28" s="153"/>
      <c r="AF28" s="153"/>
      <c r="AG28" s="154"/>
      <c r="AH28" s="152">
        <v>2</v>
      </c>
      <c r="AI28" s="153"/>
      <c r="AJ28" s="153"/>
      <c r="AK28" s="153"/>
      <c r="AL28" s="154"/>
      <c r="AM28" s="75"/>
      <c r="AV28" s="2">
        <v>0</v>
      </c>
    </row>
    <row r="29" spans="1:48" ht="10.8" hidden="1" thickBot="1" x14ac:dyDescent="0.25">
      <c r="A29" s="306" t="s">
        <v>373</v>
      </c>
      <c r="B29" s="307"/>
      <c r="C29" s="307"/>
      <c r="D29" s="307"/>
      <c r="E29" s="308"/>
      <c r="F29" s="84"/>
      <c r="G29" s="85"/>
      <c r="H29" s="86"/>
      <c r="I29" s="316" t="s">
        <v>225</v>
      </c>
      <c r="J29" s="316"/>
      <c r="K29" s="316"/>
      <c r="L29" s="316"/>
      <c r="M29" s="316"/>
      <c r="N29" s="316"/>
      <c r="O29" s="316"/>
      <c r="P29" s="316"/>
      <c r="Q29" s="316"/>
      <c r="R29" s="316"/>
      <c r="S29" s="316"/>
      <c r="T29" s="316"/>
      <c r="U29" s="316"/>
      <c r="V29" s="316"/>
      <c r="W29" s="316"/>
      <c r="X29" s="316"/>
      <c r="Y29" s="316"/>
      <c r="Z29" s="316"/>
      <c r="AA29" s="316"/>
      <c r="AB29" s="316"/>
      <c r="AC29" s="313"/>
      <c r="AD29" s="314"/>
      <c r="AE29" s="314"/>
      <c r="AF29" s="314"/>
      <c r="AG29" s="315"/>
      <c r="AH29" s="270" t="e">
        <f>AC29/$AC$12</f>
        <v>#DIV/0!</v>
      </c>
      <c r="AI29" s="230"/>
      <c r="AJ29" s="230"/>
      <c r="AK29" s="230"/>
      <c r="AL29" s="271"/>
      <c r="AM29" s="82"/>
    </row>
    <row r="30" spans="1:48" ht="10.8" hidden="1" thickBot="1" x14ac:dyDescent="0.25">
      <c r="A30" s="309" t="s">
        <v>374</v>
      </c>
      <c r="B30" s="310"/>
      <c r="C30" s="310"/>
      <c r="D30" s="310"/>
      <c r="E30" s="311"/>
      <c r="F30" s="79"/>
      <c r="G30" s="80"/>
      <c r="H30" s="91"/>
      <c r="I30" s="312" t="s">
        <v>231</v>
      </c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168"/>
      <c r="AD30" s="158"/>
      <c r="AE30" s="158"/>
      <c r="AF30" s="158"/>
      <c r="AG30" s="169"/>
      <c r="AH30" s="191" t="e">
        <f t="shared" ref="AH30:AH35" si="2">AC30/$AC$12</f>
        <v>#DIV/0!</v>
      </c>
      <c r="AI30" s="192"/>
      <c r="AJ30" s="192"/>
      <c r="AK30" s="192"/>
      <c r="AL30" s="217"/>
      <c r="AM30" s="20"/>
    </row>
    <row r="31" spans="1:48" ht="10.8" hidden="1" thickBot="1" x14ac:dyDescent="0.25">
      <c r="A31" s="309" t="s">
        <v>375</v>
      </c>
      <c r="B31" s="310"/>
      <c r="C31" s="310"/>
      <c r="D31" s="310"/>
      <c r="E31" s="311"/>
      <c r="F31" s="79"/>
      <c r="G31" s="80"/>
      <c r="H31" s="91"/>
      <c r="I31" s="312" t="s">
        <v>232</v>
      </c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  <c r="AA31" s="312"/>
      <c r="AB31" s="312"/>
      <c r="AC31" s="168"/>
      <c r="AD31" s="158"/>
      <c r="AE31" s="158"/>
      <c r="AF31" s="158"/>
      <c r="AG31" s="169"/>
      <c r="AH31" s="191" t="e">
        <f t="shared" si="2"/>
        <v>#DIV/0!</v>
      </c>
      <c r="AI31" s="192"/>
      <c r="AJ31" s="192"/>
      <c r="AK31" s="192"/>
      <c r="AL31" s="217"/>
      <c r="AM31" s="20"/>
    </row>
    <row r="32" spans="1:48" ht="10.8" hidden="1" thickBot="1" x14ac:dyDescent="0.25">
      <c r="A32" s="309" t="s">
        <v>376</v>
      </c>
      <c r="B32" s="310"/>
      <c r="C32" s="310"/>
      <c r="D32" s="310"/>
      <c r="E32" s="311"/>
      <c r="F32" s="79"/>
      <c r="G32" s="80"/>
      <c r="H32" s="91"/>
      <c r="I32" s="312" t="s">
        <v>233</v>
      </c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  <c r="AA32" s="312"/>
      <c r="AB32" s="312"/>
      <c r="AC32" s="168"/>
      <c r="AD32" s="158"/>
      <c r="AE32" s="158"/>
      <c r="AF32" s="158"/>
      <c r="AG32" s="169"/>
      <c r="AH32" s="191" t="e">
        <f t="shared" si="2"/>
        <v>#DIV/0!</v>
      </c>
      <c r="AI32" s="192"/>
      <c r="AJ32" s="192"/>
      <c r="AK32" s="192"/>
      <c r="AL32" s="217"/>
      <c r="AM32" s="20"/>
    </row>
    <row r="33" spans="1:39" ht="10.8" hidden="1" thickBot="1" x14ac:dyDescent="0.25">
      <c r="A33" s="309" t="s">
        <v>377</v>
      </c>
      <c r="B33" s="310"/>
      <c r="C33" s="310"/>
      <c r="D33" s="310"/>
      <c r="E33" s="311"/>
      <c r="F33" s="79"/>
      <c r="G33" s="80"/>
      <c r="H33" s="91"/>
      <c r="I33" s="312" t="s">
        <v>234</v>
      </c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  <c r="AA33" s="312"/>
      <c r="AB33" s="312"/>
      <c r="AC33" s="168"/>
      <c r="AD33" s="158"/>
      <c r="AE33" s="158"/>
      <c r="AF33" s="158"/>
      <c r="AG33" s="169"/>
      <c r="AH33" s="191" t="e">
        <f t="shared" si="2"/>
        <v>#DIV/0!</v>
      </c>
      <c r="AI33" s="192"/>
      <c r="AJ33" s="192"/>
      <c r="AK33" s="192"/>
      <c r="AL33" s="217"/>
      <c r="AM33" s="20"/>
    </row>
    <row r="34" spans="1:39" ht="10.8" hidden="1" thickBot="1" x14ac:dyDescent="0.25">
      <c r="A34" s="309" t="s">
        <v>378</v>
      </c>
      <c r="B34" s="310"/>
      <c r="C34" s="310"/>
      <c r="D34" s="310"/>
      <c r="E34" s="311"/>
      <c r="F34" s="79"/>
      <c r="G34" s="80"/>
      <c r="H34" s="91"/>
      <c r="I34" s="312" t="s">
        <v>313</v>
      </c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  <c r="Z34" s="312"/>
      <c r="AA34" s="312"/>
      <c r="AB34" s="312"/>
      <c r="AC34" s="168"/>
      <c r="AD34" s="158"/>
      <c r="AE34" s="158"/>
      <c r="AF34" s="158"/>
      <c r="AG34" s="169"/>
      <c r="AH34" s="191" t="e">
        <f t="shared" si="2"/>
        <v>#DIV/0!</v>
      </c>
      <c r="AI34" s="192"/>
      <c r="AJ34" s="192"/>
      <c r="AK34" s="192"/>
      <c r="AL34" s="217"/>
      <c r="AM34" s="20"/>
    </row>
    <row r="35" spans="1:39" ht="10.8" hidden="1" thickBot="1" x14ac:dyDescent="0.25">
      <c r="A35" s="309" t="s">
        <v>379</v>
      </c>
      <c r="B35" s="310"/>
      <c r="C35" s="310"/>
      <c r="D35" s="310"/>
      <c r="E35" s="311"/>
      <c r="F35" s="79"/>
      <c r="G35" s="80"/>
      <c r="H35" s="91"/>
      <c r="I35" s="312" t="s">
        <v>312</v>
      </c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168"/>
      <c r="AD35" s="158"/>
      <c r="AE35" s="158"/>
      <c r="AF35" s="158"/>
      <c r="AG35" s="169"/>
      <c r="AH35" s="191" t="e">
        <f t="shared" si="2"/>
        <v>#DIV/0!</v>
      </c>
      <c r="AI35" s="192"/>
      <c r="AJ35" s="192"/>
      <c r="AK35" s="192"/>
      <c r="AL35" s="217"/>
      <c r="AM35" s="20"/>
    </row>
    <row r="36" spans="1:39" ht="15" thickBot="1" x14ac:dyDescent="0.35">
      <c r="A36" s="281" t="s">
        <v>380</v>
      </c>
      <c r="B36" s="282"/>
      <c r="C36" s="282"/>
      <c r="D36" s="282"/>
      <c r="E36" s="283"/>
      <c r="F36" s="318">
        <v>36</v>
      </c>
      <c r="G36" s="319"/>
      <c r="H36" s="320"/>
      <c r="I36" s="321" t="s">
        <v>597</v>
      </c>
      <c r="J36" s="321"/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21"/>
      <c r="AA36" s="321"/>
      <c r="AB36" s="321"/>
      <c r="AC36" s="168"/>
      <c r="AD36" s="158"/>
      <c r="AE36" s="158"/>
      <c r="AF36" s="158"/>
      <c r="AG36" s="169"/>
      <c r="AH36" s="270" t="e">
        <f>AC36/$AC$12</f>
        <v>#DIV/0!</v>
      </c>
      <c r="AI36" s="230"/>
      <c r="AJ36" s="230"/>
      <c r="AK36" s="230"/>
      <c r="AL36" s="271"/>
      <c r="AM36" s="82"/>
    </row>
    <row r="37" spans="1:39" ht="14.4" x14ac:dyDescent="0.3">
      <c r="A37" s="188" t="s">
        <v>381</v>
      </c>
      <c r="B37" s="189"/>
      <c r="C37" s="189"/>
      <c r="D37" s="189"/>
      <c r="E37" s="190"/>
      <c r="F37" s="168">
        <v>361</v>
      </c>
      <c r="G37" s="158"/>
      <c r="H37" s="169"/>
      <c r="I37" s="312" t="s">
        <v>598</v>
      </c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312"/>
      <c r="AB37" s="312"/>
      <c r="AC37" s="168"/>
      <c r="AD37" s="158"/>
      <c r="AE37" s="158"/>
      <c r="AF37" s="158"/>
      <c r="AG37" s="169"/>
      <c r="AH37" s="191" t="e">
        <f>AC37/$AC$20</f>
        <v>#DIV/0!</v>
      </c>
      <c r="AI37" s="192"/>
      <c r="AJ37" s="192"/>
      <c r="AK37" s="192"/>
      <c r="AL37" s="217"/>
      <c r="AM37" s="20"/>
    </row>
    <row r="38" spans="1:39" ht="14.4" x14ac:dyDescent="0.3">
      <c r="A38" s="188" t="s">
        <v>382</v>
      </c>
      <c r="B38" s="189"/>
      <c r="C38" s="189"/>
      <c r="D38" s="189"/>
      <c r="E38" s="190"/>
      <c r="F38" s="168">
        <v>362</v>
      </c>
      <c r="G38" s="158"/>
      <c r="H38" s="169"/>
      <c r="I38" s="312" t="s">
        <v>599</v>
      </c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168"/>
      <c r="AD38" s="158"/>
      <c r="AE38" s="158"/>
      <c r="AF38" s="158"/>
      <c r="AG38" s="169"/>
      <c r="AH38" s="191" t="e">
        <f t="shared" ref="AH38:AH40" si="3">AC38/$AC$20</f>
        <v>#DIV/0!</v>
      </c>
      <c r="AI38" s="192"/>
      <c r="AJ38" s="192"/>
      <c r="AK38" s="192"/>
      <c r="AL38" s="217"/>
      <c r="AM38" s="20"/>
    </row>
    <row r="39" spans="1:39" ht="14.4" x14ac:dyDescent="0.3">
      <c r="A39" s="188" t="s">
        <v>796</v>
      </c>
      <c r="B39" s="189"/>
      <c r="C39" s="189"/>
      <c r="D39" s="189"/>
      <c r="E39" s="190"/>
      <c r="F39" s="168">
        <v>363</v>
      </c>
      <c r="G39" s="158"/>
      <c r="H39" s="169"/>
      <c r="I39" s="312" t="s">
        <v>600</v>
      </c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18"/>
      <c r="AD39" s="19"/>
      <c r="AE39" s="19"/>
      <c r="AF39" s="19"/>
      <c r="AG39" s="20"/>
      <c r="AH39" s="191" t="e">
        <f t="shared" ref="AH39" si="4">AC39/$AC$20</f>
        <v>#DIV/0!</v>
      </c>
      <c r="AI39" s="192"/>
      <c r="AJ39" s="192"/>
      <c r="AK39" s="192"/>
      <c r="AL39" s="217"/>
      <c r="AM39" s="20"/>
    </row>
    <row r="40" spans="1:39" ht="15" thickBot="1" x14ac:dyDescent="0.35">
      <c r="A40" s="188" t="s">
        <v>797</v>
      </c>
      <c r="B40" s="189"/>
      <c r="C40" s="189"/>
      <c r="D40" s="189"/>
      <c r="E40" s="190"/>
      <c r="F40" s="168">
        <v>366</v>
      </c>
      <c r="G40" s="158"/>
      <c r="H40" s="169"/>
      <c r="I40" s="317" t="s">
        <v>601</v>
      </c>
      <c r="J40" s="317"/>
      <c r="K40" s="317"/>
      <c r="L40" s="317"/>
      <c r="M40" s="317"/>
      <c r="N40" s="317"/>
      <c r="O40" s="317"/>
      <c r="P40" s="317"/>
      <c r="Q40" s="317"/>
      <c r="R40" s="317"/>
      <c r="S40" s="317"/>
      <c r="T40" s="317"/>
      <c r="U40" s="317"/>
      <c r="V40" s="317"/>
      <c r="W40" s="317"/>
      <c r="X40" s="317"/>
      <c r="Y40" s="317"/>
      <c r="Z40" s="317"/>
      <c r="AA40" s="317"/>
      <c r="AB40" s="317"/>
      <c r="AC40" s="18"/>
      <c r="AD40" s="19"/>
      <c r="AE40" s="19"/>
      <c r="AF40" s="19"/>
      <c r="AG40" s="20"/>
      <c r="AH40" s="290" t="e">
        <f t="shared" si="3"/>
        <v>#DIV/0!</v>
      </c>
      <c r="AI40" s="291"/>
      <c r="AJ40" s="291"/>
      <c r="AK40" s="291"/>
      <c r="AL40" s="292"/>
      <c r="AM40" s="83"/>
    </row>
  </sheetData>
  <mergeCells count="132">
    <mergeCell ref="AC35:AG35"/>
    <mergeCell ref="AC36:AG36"/>
    <mergeCell ref="AC33:AG33"/>
    <mergeCell ref="AH33:AL33"/>
    <mergeCell ref="AH34:AL34"/>
    <mergeCell ref="AC34:AG34"/>
    <mergeCell ref="AC37:AG37"/>
    <mergeCell ref="AC38:AG38"/>
    <mergeCell ref="AH35:AL35"/>
    <mergeCell ref="AH36:AL36"/>
    <mergeCell ref="AH37:AL37"/>
    <mergeCell ref="AH38:AL38"/>
    <mergeCell ref="F12:H12"/>
    <mergeCell ref="F21:H21"/>
    <mergeCell ref="F22:H22"/>
    <mergeCell ref="F23:H23"/>
    <mergeCell ref="F24:H24"/>
    <mergeCell ref="F20:H20"/>
    <mergeCell ref="I19:AB19"/>
    <mergeCell ref="AH15:AL15"/>
    <mergeCell ref="AH16:AL16"/>
    <mergeCell ref="AH21:AL21"/>
    <mergeCell ref="AH17:AL17"/>
    <mergeCell ref="AH18:AL18"/>
    <mergeCell ref="AH19:AL19"/>
    <mergeCell ref="I16:AB16"/>
    <mergeCell ref="AH24:AL24"/>
    <mergeCell ref="AH23:AL23"/>
    <mergeCell ref="AH32:AL32"/>
    <mergeCell ref="AC32:AG32"/>
    <mergeCell ref="I40:AB40"/>
    <mergeCell ref="F36:H36"/>
    <mergeCell ref="F37:H37"/>
    <mergeCell ref="F38:H38"/>
    <mergeCell ref="F40:H40"/>
    <mergeCell ref="F39:H39"/>
    <mergeCell ref="I39:AB39"/>
    <mergeCell ref="A32:E32"/>
    <mergeCell ref="A33:E33"/>
    <mergeCell ref="A34:E34"/>
    <mergeCell ref="A37:E37"/>
    <mergeCell ref="A38:E38"/>
    <mergeCell ref="I37:AB37"/>
    <mergeCell ref="I38:AB38"/>
    <mergeCell ref="I35:AB35"/>
    <mergeCell ref="I36:AB36"/>
    <mergeCell ref="A35:E35"/>
    <mergeCell ref="A36:E36"/>
    <mergeCell ref="I32:AB32"/>
    <mergeCell ref="I33:AB33"/>
    <mergeCell ref="I34:AB34"/>
    <mergeCell ref="A29:E29"/>
    <mergeCell ref="A30:E30"/>
    <mergeCell ref="F26:H28"/>
    <mergeCell ref="A31:E31"/>
    <mergeCell ref="AH29:AL29"/>
    <mergeCell ref="AH30:AL30"/>
    <mergeCell ref="I31:AB31"/>
    <mergeCell ref="AH31:AL31"/>
    <mergeCell ref="AC29:AG29"/>
    <mergeCell ref="AC30:AG30"/>
    <mergeCell ref="AC31:AG31"/>
    <mergeCell ref="I29:AB29"/>
    <mergeCell ref="I30:AB30"/>
    <mergeCell ref="A14:E14"/>
    <mergeCell ref="A15:E15"/>
    <mergeCell ref="A16:E16"/>
    <mergeCell ref="A17:E17"/>
    <mergeCell ref="A18:E18"/>
    <mergeCell ref="A19:E19"/>
    <mergeCell ref="A26:E28"/>
    <mergeCell ref="I26:AB28"/>
    <mergeCell ref="AC26:AL26"/>
    <mergeCell ref="AC27:AG27"/>
    <mergeCell ref="AH27:AL27"/>
    <mergeCell ref="AC28:AG28"/>
    <mergeCell ref="AH28:AL28"/>
    <mergeCell ref="AH22:AL22"/>
    <mergeCell ref="AC14:AG14"/>
    <mergeCell ref="AC15:AG15"/>
    <mergeCell ref="AC16:AG16"/>
    <mergeCell ref="AC17:AG17"/>
    <mergeCell ref="AC18:AG18"/>
    <mergeCell ref="AC19:AG19"/>
    <mergeCell ref="I18:AB18"/>
    <mergeCell ref="AC22:AG22"/>
    <mergeCell ref="AC23:AG23"/>
    <mergeCell ref="A1:AM1"/>
    <mergeCell ref="A2:AM2"/>
    <mergeCell ref="Q4:U4"/>
    <mergeCell ref="V4:AH4"/>
    <mergeCell ref="AC11:AG11"/>
    <mergeCell ref="AH11:AL11"/>
    <mergeCell ref="D4:L4"/>
    <mergeCell ref="E7:O7"/>
    <mergeCell ref="I9:AB11"/>
    <mergeCell ref="A9:E11"/>
    <mergeCell ref="AC9:AL9"/>
    <mergeCell ref="AC10:AG10"/>
    <mergeCell ref="AH10:AL10"/>
    <mergeCell ref="F9:H11"/>
    <mergeCell ref="A20:E20"/>
    <mergeCell ref="A21:E21"/>
    <mergeCell ref="AC20:AG20"/>
    <mergeCell ref="I20:AB20"/>
    <mergeCell ref="I21:AB21"/>
    <mergeCell ref="A22:E22"/>
    <mergeCell ref="A23:E23"/>
    <mergeCell ref="A24:E24"/>
    <mergeCell ref="A39:E39"/>
    <mergeCell ref="A40:E40"/>
    <mergeCell ref="AH39:AL39"/>
    <mergeCell ref="AM9:AM10"/>
    <mergeCell ref="AM26:AM27"/>
    <mergeCell ref="AH40:AL40"/>
    <mergeCell ref="A12:E12"/>
    <mergeCell ref="I12:AB12"/>
    <mergeCell ref="AC12:AG12"/>
    <mergeCell ref="AH12:AL12"/>
    <mergeCell ref="I24:AB24"/>
    <mergeCell ref="A13:E13"/>
    <mergeCell ref="I13:AB13"/>
    <mergeCell ref="I14:AB14"/>
    <mergeCell ref="I15:AB15"/>
    <mergeCell ref="I22:AB22"/>
    <mergeCell ref="I23:AB23"/>
    <mergeCell ref="AH20:AL20"/>
    <mergeCell ref="AC21:AG21"/>
    <mergeCell ref="AC13:AG13"/>
    <mergeCell ref="AH13:AL13"/>
    <mergeCell ref="AH14:AL14"/>
    <mergeCell ref="I17:AB17"/>
  </mergeCells>
  <pageMargins left="0.70866141732283472" right="0.70866141732283472" top="0.39370078740157483" bottom="0.27559055118110237" header="0.23622047244094491" footer="0.15748031496062992"/>
  <pageSetup paperSize="9" scale="7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X98"/>
  <sheetViews>
    <sheetView showGridLines="0" view="pageBreakPreview" topLeftCell="A26" zoomScale="106" zoomScaleNormal="100" zoomScaleSheetLayoutView="106" workbookViewId="0">
      <selection activeCell="A9" sqref="A9:C11"/>
    </sheetView>
  </sheetViews>
  <sheetFormatPr baseColWidth="10" defaultColWidth="3.44140625" defaultRowHeight="10.199999999999999" x14ac:dyDescent="0.3"/>
  <cols>
    <col min="1" max="16384" width="3.44140625" style="1"/>
  </cols>
  <sheetData>
    <row r="1" spans="1:50" ht="14.25" customHeight="1" thickBot="1" x14ac:dyDescent="0.35">
      <c r="A1" s="113" t="s">
        <v>416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</row>
    <row r="2" spans="1:50" ht="13.5" customHeight="1" thickBot="1" x14ac:dyDescent="0.35">
      <c r="A2" s="113" t="s">
        <v>161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</row>
    <row r="3" spans="1:50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spans="1:50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25"/>
      <c r="M4" s="25"/>
      <c r="N4" s="158" t="s">
        <v>125</v>
      </c>
      <c r="O4" s="158"/>
      <c r="P4" s="158"/>
      <c r="Q4" s="158"/>
      <c r="R4" s="158"/>
      <c r="S4" s="155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7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x14ac:dyDescent="0.2">
      <c r="A6" s="24"/>
      <c r="B6" s="25"/>
      <c r="C6" s="25"/>
      <c r="D6" s="25"/>
      <c r="E6" s="27" t="s">
        <v>128</v>
      </c>
      <c r="F6" s="27" t="s">
        <v>128</v>
      </c>
      <c r="G6" s="27" t="s">
        <v>128</v>
      </c>
      <c r="H6" s="27" t="s">
        <v>128</v>
      </c>
      <c r="I6" s="27" t="s">
        <v>127</v>
      </c>
      <c r="J6" s="27" t="s">
        <v>127</v>
      </c>
      <c r="K6" s="27" t="s">
        <v>126</v>
      </c>
      <c r="L6" s="27" t="s">
        <v>126</v>
      </c>
      <c r="M6" s="25"/>
      <c r="N6" s="25"/>
      <c r="O6" s="25"/>
      <c r="P6" s="25"/>
      <c r="Q6" s="27"/>
      <c r="R6" s="27"/>
      <c r="S6" s="27"/>
      <c r="T6" s="27"/>
      <c r="U6" s="27"/>
      <c r="V6" s="25"/>
      <c r="W6" s="27"/>
      <c r="X6" s="25"/>
      <c r="Y6" s="25"/>
      <c r="Z6" s="27" t="s">
        <v>255</v>
      </c>
      <c r="AA6" s="27" t="s">
        <v>257</v>
      </c>
      <c r="AB6" s="27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7">
        <v>0</v>
      </c>
      <c r="AN6" s="27">
        <v>9</v>
      </c>
      <c r="AO6" s="25"/>
      <c r="AP6" s="25"/>
      <c r="AQ6" s="25"/>
      <c r="AR6" s="25"/>
      <c r="AS6" s="27" t="s">
        <v>127</v>
      </c>
      <c r="AT6" s="25"/>
      <c r="AU6" s="25"/>
      <c r="AV6" s="25"/>
      <c r="AW6" s="27"/>
      <c r="AX6" s="25"/>
    </row>
    <row r="7" spans="1:50" x14ac:dyDescent="0.2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9"/>
      <c r="N7" s="25"/>
      <c r="O7" s="25"/>
      <c r="P7" s="25"/>
      <c r="Q7" s="25"/>
      <c r="R7" s="25"/>
      <c r="S7" s="33" t="s">
        <v>130</v>
      </c>
      <c r="T7" s="33"/>
      <c r="U7" s="25"/>
      <c r="V7" s="25"/>
      <c r="W7" s="25" t="s">
        <v>244</v>
      </c>
      <c r="X7" s="25"/>
      <c r="Y7" s="25"/>
      <c r="Z7" s="25"/>
      <c r="AA7" s="19" t="s">
        <v>245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159" t="s">
        <v>131</v>
      </c>
      <c r="AN7" s="159"/>
      <c r="AO7" s="25"/>
      <c r="AP7" s="25"/>
      <c r="AQ7" s="25"/>
      <c r="AR7" s="25"/>
      <c r="AS7" s="19" t="s">
        <v>246</v>
      </c>
      <c r="AT7" s="25"/>
      <c r="AU7" s="25"/>
      <c r="AV7" s="25"/>
      <c r="AW7" s="19" t="s">
        <v>263</v>
      </c>
      <c r="AX7" s="19"/>
    </row>
    <row r="8" spans="1:50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</row>
    <row r="9" spans="1:50" x14ac:dyDescent="0.3">
      <c r="A9" s="354" t="s">
        <v>761</v>
      </c>
      <c r="B9" s="355"/>
      <c r="C9" s="356"/>
      <c r="D9" s="363" t="s">
        <v>7</v>
      </c>
      <c r="E9" s="364"/>
      <c r="F9" s="364"/>
      <c r="G9" s="364"/>
      <c r="H9" s="364"/>
      <c r="I9" s="364"/>
      <c r="J9" s="364"/>
      <c r="K9" s="364"/>
      <c r="L9" s="364"/>
      <c r="M9" s="364"/>
      <c r="N9" s="365"/>
      <c r="O9" s="372" t="s">
        <v>304</v>
      </c>
      <c r="P9" s="373"/>
      <c r="Q9" s="373"/>
      <c r="R9" s="374"/>
      <c r="S9" s="372" t="s">
        <v>305</v>
      </c>
      <c r="T9" s="373"/>
      <c r="U9" s="373"/>
      <c r="V9" s="374"/>
      <c r="W9" s="372" t="s">
        <v>306</v>
      </c>
      <c r="X9" s="373"/>
      <c r="Y9" s="373"/>
      <c r="Z9" s="374"/>
      <c r="AA9" s="372" t="s">
        <v>310</v>
      </c>
      <c r="AB9" s="373"/>
      <c r="AC9" s="373"/>
      <c r="AD9" s="374"/>
      <c r="AE9" s="372" t="s">
        <v>308</v>
      </c>
      <c r="AF9" s="373"/>
      <c r="AG9" s="373"/>
      <c r="AH9" s="374"/>
      <c r="AI9" s="372" t="s">
        <v>350</v>
      </c>
      <c r="AJ9" s="373"/>
      <c r="AK9" s="373"/>
      <c r="AL9" s="374"/>
      <c r="AM9" s="372" t="s">
        <v>307</v>
      </c>
      <c r="AN9" s="373"/>
      <c r="AO9" s="373"/>
      <c r="AP9" s="374"/>
      <c r="AQ9" s="372" t="s">
        <v>351</v>
      </c>
      <c r="AR9" s="373"/>
      <c r="AS9" s="373"/>
      <c r="AT9" s="374"/>
      <c r="AU9" s="372" t="s">
        <v>1</v>
      </c>
      <c r="AV9" s="373"/>
      <c r="AW9" s="373"/>
      <c r="AX9" s="374"/>
    </row>
    <row r="10" spans="1:50" ht="29.25" customHeight="1" thickBot="1" x14ac:dyDescent="0.35">
      <c r="A10" s="357"/>
      <c r="B10" s="358"/>
      <c r="C10" s="359"/>
      <c r="D10" s="366"/>
      <c r="E10" s="367"/>
      <c r="F10" s="367"/>
      <c r="G10" s="367"/>
      <c r="H10" s="367"/>
      <c r="I10" s="367"/>
      <c r="J10" s="367"/>
      <c r="K10" s="367"/>
      <c r="L10" s="367"/>
      <c r="M10" s="367"/>
      <c r="N10" s="368"/>
      <c r="O10" s="378"/>
      <c r="P10" s="379"/>
      <c r="Q10" s="379"/>
      <c r="R10" s="380"/>
      <c r="S10" s="378"/>
      <c r="T10" s="379"/>
      <c r="U10" s="379"/>
      <c r="V10" s="380"/>
      <c r="W10" s="378"/>
      <c r="X10" s="379"/>
      <c r="Y10" s="379"/>
      <c r="Z10" s="380"/>
      <c r="AA10" s="378"/>
      <c r="AB10" s="379"/>
      <c r="AC10" s="379"/>
      <c r="AD10" s="380"/>
      <c r="AE10" s="378"/>
      <c r="AF10" s="379"/>
      <c r="AG10" s="379"/>
      <c r="AH10" s="380"/>
      <c r="AI10" s="378"/>
      <c r="AJ10" s="379"/>
      <c r="AK10" s="379"/>
      <c r="AL10" s="380"/>
      <c r="AM10" s="378"/>
      <c r="AN10" s="379"/>
      <c r="AO10" s="379"/>
      <c r="AP10" s="380"/>
      <c r="AQ10" s="378"/>
      <c r="AR10" s="379"/>
      <c r="AS10" s="379"/>
      <c r="AT10" s="380"/>
      <c r="AU10" s="378"/>
      <c r="AV10" s="379"/>
      <c r="AW10" s="379"/>
      <c r="AX10" s="380"/>
    </row>
    <row r="11" spans="1:50" ht="10.8" thickBot="1" x14ac:dyDescent="0.35">
      <c r="A11" s="360"/>
      <c r="B11" s="361"/>
      <c r="C11" s="362"/>
      <c r="D11" s="369"/>
      <c r="E11" s="370"/>
      <c r="F11" s="370"/>
      <c r="G11" s="370"/>
      <c r="H11" s="370"/>
      <c r="I11" s="370"/>
      <c r="J11" s="370"/>
      <c r="K11" s="370"/>
      <c r="L11" s="370"/>
      <c r="M11" s="370"/>
      <c r="N11" s="371"/>
      <c r="O11" s="351">
        <v>1</v>
      </c>
      <c r="P11" s="352"/>
      <c r="Q11" s="352"/>
      <c r="R11" s="353"/>
      <c r="S11" s="351">
        <v>2</v>
      </c>
      <c r="T11" s="352"/>
      <c r="U11" s="352"/>
      <c r="V11" s="353"/>
      <c r="W11" s="351">
        <v>3</v>
      </c>
      <c r="X11" s="352"/>
      <c r="Y11" s="352"/>
      <c r="Z11" s="353"/>
      <c r="AA11" s="351">
        <v>4</v>
      </c>
      <c r="AB11" s="352"/>
      <c r="AC11" s="352"/>
      <c r="AD11" s="353"/>
      <c r="AE11" s="351">
        <v>5</v>
      </c>
      <c r="AF11" s="352"/>
      <c r="AG11" s="352"/>
      <c r="AH11" s="353"/>
      <c r="AI11" s="351">
        <v>6</v>
      </c>
      <c r="AJ11" s="352"/>
      <c r="AK11" s="352"/>
      <c r="AL11" s="353"/>
      <c r="AM11" s="351">
        <v>7</v>
      </c>
      <c r="AN11" s="352"/>
      <c r="AO11" s="352"/>
      <c r="AP11" s="353"/>
      <c r="AQ11" s="351">
        <v>8</v>
      </c>
      <c r="AR11" s="352"/>
      <c r="AS11" s="352"/>
      <c r="AT11" s="353"/>
      <c r="AU11" s="351">
        <v>9</v>
      </c>
      <c r="AV11" s="352"/>
      <c r="AW11" s="352"/>
      <c r="AX11" s="353"/>
    </row>
    <row r="12" spans="1:50" x14ac:dyDescent="0.3">
      <c r="A12" s="300" t="s">
        <v>187</v>
      </c>
      <c r="B12" s="301"/>
      <c r="C12" s="302"/>
      <c r="D12" s="218" t="s">
        <v>315</v>
      </c>
      <c r="E12" s="219"/>
      <c r="F12" s="219"/>
      <c r="G12" s="219"/>
      <c r="H12" s="219"/>
      <c r="I12" s="219"/>
      <c r="J12" s="219"/>
      <c r="K12" s="219"/>
      <c r="L12" s="219"/>
      <c r="M12" s="219"/>
      <c r="N12" s="305"/>
      <c r="O12" s="118"/>
      <c r="P12" s="119"/>
      <c r="Q12" s="119"/>
      <c r="R12" s="325"/>
      <c r="S12" s="118"/>
      <c r="T12" s="119"/>
      <c r="U12" s="119"/>
      <c r="V12" s="325"/>
      <c r="W12" s="118"/>
      <c r="X12" s="119"/>
      <c r="Y12" s="119"/>
      <c r="Z12" s="325"/>
      <c r="AA12" s="118"/>
      <c r="AB12" s="119"/>
      <c r="AC12" s="119"/>
      <c r="AD12" s="325"/>
      <c r="AE12" s="118"/>
      <c r="AF12" s="119"/>
      <c r="AG12" s="119"/>
      <c r="AH12" s="325"/>
      <c r="AI12" s="118"/>
      <c r="AJ12" s="119"/>
      <c r="AK12" s="119"/>
      <c r="AL12" s="325"/>
      <c r="AM12" s="118"/>
      <c r="AN12" s="119"/>
      <c r="AO12" s="119"/>
      <c r="AP12" s="325"/>
      <c r="AQ12" s="118"/>
      <c r="AR12" s="119"/>
      <c r="AS12" s="119"/>
      <c r="AT12" s="325"/>
      <c r="AU12" s="118"/>
      <c r="AV12" s="119"/>
      <c r="AW12" s="119"/>
      <c r="AX12" s="325"/>
    </row>
    <row r="13" spans="1:50" x14ac:dyDescent="0.3">
      <c r="A13" s="300" t="s">
        <v>188</v>
      </c>
      <c r="B13" s="301"/>
      <c r="C13" s="302"/>
      <c r="D13" s="338" t="s">
        <v>316</v>
      </c>
      <c r="E13" s="339"/>
      <c r="F13" s="339"/>
      <c r="G13" s="339"/>
      <c r="H13" s="339"/>
      <c r="I13" s="339"/>
      <c r="J13" s="339"/>
      <c r="K13" s="339"/>
      <c r="L13" s="339"/>
      <c r="M13" s="339"/>
      <c r="N13" s="340"/>
      <c r="O13" s="118"/>
      <c r="P13" s="119"/>
      <c r="Q13" s="119"/>
      <c r="R13" s="325"/>
      <c r="S13" s="118"/>
      <c r="T13" s="119"/>
      <c r="U13" s="119"/>
      <c r="V13" s="325"/>
      <c r="W13" s="118"/>
      <c r="X13" s="119"/>
      <c r="Y13" s="119"/>
      <c r="Z13" s="325"/>
      <c r="AA13" s="118"/>
      <c r="AB13" s="119"/>
      <c r="AC13" s="119"/>
      <c r="AD13" s="325"/>
      <c r="AE13" s="118"/>
      <c r="AF13" s="119"/>
      <c r="AG13" s="119"/>
      <c r="AH13" s="325"/>
      <c r="AI13" s="118"/>
      <c r="AJ13" s="119"/>
      <c r="AK13" s="119"/>
      <c r="AL13" s="325"/>
      <c r="AM13" s="118"/>
      <c r="AN13" s="119"/>
      <c r="AO13" s="119"/>
      <c r="AP13" s="325"/>
      <c r="AQ13" s="118"/>
      <c r="AR13" s="119"/>
      <c r="AS13" s="119"/>
      <c r="AT13" s="325"/>
      <c r="AU13" s="118"/>
      <c r="AV13" s="119"/>
      <c r="AW13" s="119"/>
      <c r="AX13" s="325"/>
    </row>
    <row r="14" spans="1:50" x14ac:dyDescent="0.3">
      <c r="A14" s="300" t="s">
        <v>189</v>
      </c>
      <c r="B14" s="301"/>
      <c r="C14" s="302"/>
      <c r="D14" s="332" t="s">
        <v>317</v>
      </c>
      <c r="E14" s="303"/>
      <c r="F14" s="303"/>
      <c r="G14" s="303"/>
      <c r="H14" s="303"/>
      <c r="I14" s="303"/>
      <c r="J14" s="303"/>
      <c r="K14" s="303"/>
      <c r="L14" s="303"/>
      <c r="M14" s="303"/>
      <c r="N14" s="304"/>
      <c r="O14" s="118"/>
      <c r="P14" s="119"/>
      <c r="Q14" s="119"/>
      <c r="R14" s="325"/>
      <c r="S14" s="118"/>
      <c r="T14" s="119"/>
      <c r="U14" s="119"/>
      <c r="V14" s="325"/>
      <c r="W14" s="118"/>
      <c r="X14" s="119"/>
      <c r="Y14" s="119"/>
      <c r="Z14" s="325"/>
      <c r="AA14" s="118"/>
      <c r="AB14" s="119"/>
      <c r="AC14" s="119"/>
      <c r="AD14" s="325"/>
      <c r="AE14" s="118"/>
      <c r="AF14" s="119"/>
      <c r="AG14" s="119"/>
      <c r="AH14" s="325"/>
      <c r="AI14" s="118"/>
      <c r="AJ14" s="119"/>
      <c r="AK14" s="119"/>
      <c r="AL14" s="325"/>
      <c r="AM14" s="118"/>
      <c r="AN14" s="119"/>
      <c r="AO14" s="119"/>
      <c r="AP14" s="325"/>
      <c r="AQ14" s="118"/>
      <c r="AR14" s="119"/>
      <c r="AS14" s="119"/>
      <c r="AT14" s="325"/>
      <c r="AU14" s="118"/>
      <c r="AV14" s="119"/>
      <c r="AW14" s="119"/>
      <c r="AX14" s="325"/>
    </row>
    <row r="15" spans="1:50" x14ac:dyDescent="0.3">
      <c r="A15" s="300" t="s">
        <v>190</v>
      </c>
      <c r="B15" s="301"/>
      <c r="C15" s="302"/>
      <c r="D15" s="332" t="s">
        <v>318</v>
      </c>
      <c r="E15" s="303"/>
      <c r="F15" s="303"/>
      <c r="G15" s="303"/>
      <c r="H15" s="303"/>
      <c r="I15" s="303"/>
      <c r="J15" s="303"/>
      <c r="K15" s="303"/>
      <c r="L15" s="303"/>
      <c r="M15" s="303"/>
      <c r="N15" s="304"/>
      <c r="O15" s="118"/>
      <c r="P15" s="119"/>
      <c r="Q15" s="119"/>
      <c r="R15" s="325"/>
      <c r="S15" s="118"/>
      <c r="T15" s="119"/>
      <c r="U15" s="119"/>
      <c r="V15" s="325"/>
      <c r="W15" s="118"/>
      <c r="X15" s="119"/>
      <c r="Y15" s="119"/>
      <c r="Z15" s="325"/>
      <c r="AA15" s="118"/>
      <c r="AB15" s="119"/>
      <c r="AC15" s="119"/>
      <c r="AD15" s="325"/>
      <c r="AE15" s="118"/>
      <c r="AF15" s="119"/>
      <c r="AG15" s="119"/>
      <c r="AH15" s="325"/>
      <c r="AI15" s="118"/>
      <c r="AJ15" s="119"/>
      <c r="AK15" s="119"/>
      <c r="AL15" s="325"/>
      <c r="AM15" s="118"/>
      <c r="AN15" s="119"/>
      <c r="AO15" s="119"/>
      <c r="AP15" s="325"/>
      <c r="AQ15" s="118"/>
      <c r="AR15" s="119"/>
      <c r="AS15" s="119"/>
      <c r="AT15" s="325"/>
      <c r="AU15" s="118"/>
      <c r="AV15" s="119"/>
      <c r="AW15" s="119"/>
      <c r="AX15" s="325"/>
    </row>
    <row r="16" spans="1:50" x14ac:dyDescent="0.3">
      <c r="A16" s="300" t="s">
        <v>191</v>
      </c>
      <c r="B16" s="301"/>
      <c r="C16" s="302"/>
      <c r="D16" s="332" t="s">
        <v>319</v>
      </c>
      <c r="E16" s="303"/>
      <c r="F16" s="303"/>
      <c r="G16" s="303"/>
      <c r="H16" s="303"/>
      <c r="I16" s="303"/>
      <c r="J16" s="303"/>
      <c r="K16" s="303"/>
      <c r="L16" s="303"/>
      <c r="M16" s="303"/>
      <c r="N16" s="304"/>
      <c r="O16" s="118"/>
      <c r="P16" s="119"/>
      <c r="Q16" s="119"/>
      <c r="R16" s="325"/>
      <c r="S16" s="118"/>
      <c r="T16" s="119"/>
      <c r="U16" s="119"/>
      <c r="V16" s="325"/>
      <c r="W16" s="118"/>
      <c r="X16" s="119"/>
      <c r="Y16" s="119"/>
      <c r="Z16" s="325"/>
      <c r="AA16" s="118"/>
      <c r="AB16" s="119"/>
      <c r="AC16" s="119"/>
      <c r="AD16" s="325"/>
      <c r="AE16" s="118"/>
      <c r="AF16" s="119"/>
      <c r="AG16" s="119"/>
      <c r="AH16" s="325"/>
      <c r="AI16" s="118"/>
      <c r="AJ16" s="119"/>
      <c r="AK16" s="119"/>
      <c r="AL16" s="325"/>
      <c r="AM16" s="118"/>
      <c r="AN16" s="119"/>
      <c r="AO16" s="119"/>
      <c r="AP16" s="325"/>
      <c r="AQ16" s="118"/>
      <c r="AR16" s="119"/>
      <c r="AS16" s="119"/>
      <c r="AT16" s="325"/>
      <c r="AU16" s="118"/>
      <c r="AV16" s="119"/>
      <c r="AW16" s="119"/>
      <c r="AX16" s="325"/>
    </row>
    <row r="17" spans="1:50" x14ac:dyDescent="0.3">
      <c r="A17" s="300" t="s">
        <v>192</v>
      </c>
      <c r="B17" s="301"/>
      <c r="C17" s="302"/>
      <c r="D17" s="341" t="s">
        <v>320</v>
      </c>
      <c r="E17" s="342"/>
      <c r="F17" s="342"/>
      <c r="G17" s="342"/>
      <c r="H17" s="342"/>
      <c r="I17" s="342"/>
      <c r="J17" s="342"/>
      <c r="K17" s="342"/>
      <c r="L17" s="342"/>
      <c r="M17" s="342"/>
      <c r="N17" s="343"/>
      <c r="O17" s="118"/>
      <c r="P17" s="119"/>
      <c r="Q17" s="119"/>
      <c r="R17" s="325"/>
      <c r="S17" s="118"/>
      <c r="T17" s="119"/>
      <c r="U17" s="119"/>
      <c r="V17" s="325"/>
      <c r="W17" s="118"/>
      <c r="X17" s="119"/>
      <c r="Y17" s="119"/>
      <c r="Z17" s="325"/>
      <c r="AA17" s="118"/>
      <c r="AB17" s="119"/>
      <c r="AC17" s="119"/>
      <c r="AD17" s="325"/>
      <c r="AE17" s="118"/>
      <c r="AF17" s="119"/>
      <c r="AG17" s="119"/>
      <c r="AH17" s="325"/>
      <c r="AI17" s="118"/>
      <c r="AJ17" s="119"/>
      <c r="AK17" s="119"/>
      <c r="AL17" s="325"/>
      <c r="AM17" s="118"/>
      <c r="AN17" s="119"/>
      <c r="AO17" s="119"/>
      <c r="AP17" s="325"/>
      <c r="AQ17" s="118"/>
      <c r="AR17" s="119"/>
      <c r="AS17" s="119"/>
      <c r="AT17" s="325"/>
      <c r="AU17" s="118"/>
      <c r="AV17" s="119"/>
      <c r="AW17" s="119"/>
      <c r="AX17" s="325"/>
    </row>
    <row r="18" spans="1:50" x14ac:dyDescent="0.3">
      <c r="A18" s="300" t="s">
        <v>193</v>
      </c>
      <c r="B18" s="301"/>
      <c r="C18" s="302"/>
      <c r="D18" s="332" t="s">
        <v>321</v>
      </c>
      <c r="E18" s="303"/>
      <c r="F18" s="303"/>
      <c r="G18" s="303"/>
      <c r="H18" s="303"/>
      <c r="I18" s="303"/>
      <c r="J18" s="303"/>
      <c r="K18" s="303"/>
      <c r="L18" s="303"/>
      <c r="M18" s="303"/>
      <c r="N18" s="304"/>
      <c r="O18" s="118"/>
      <c r="P18" s="119"/>
      <c r="Q18" s="119"/>
      <c r="R18" s="325"/>
      <c r="S18" s="118"/>
      <c r="T18" s="119"/>
      <c r="U18" s="119"/>
      <c r="V18" s="325"/>
      <c r="W18" s="118"/>
      <c r="X18" s="119"/>
      <c r="Y18" s="119"/>
      <c r="Z18" s="325"/>
      <c r="AA18" s="118"/>
      <c r="AB18" s="119"/>
      <c r="AC18" s="119"/>
      <c r="AD18" s="325"/>
      <c r="AE18" s="118"/>
      <c r="AF18" s="119"/>
      <c r="AG18" s="119"/>
      <c r="AH18" s="325"/>
      <c r="AI18" s="118"/>
      <c r="AJ18" s="119"/>
      <c r="AK18" s="119"/>
      <c r="AL18" s="325"/>
      <c r="AM18" s="118"/>
      <c r="AN18" s="119"/>
      <c r="AO18" s="119"/>
      <c r="AP18" s="325"/>
      <c r="AQ18" s="118"/>
      <c r="AR18" s="119"/>
      <c r="AS18" s="119"/>
      <c r="AT18" s="325"/>
      <c r="AU18" s="118"/>
      <c r="AV18" s="119"/>
      <c r="AW18" s="119"/>
      <c r="AX18" s="325"/>
    </row>
    <row r="19" spans="1:50" x14ac:dyDescent="0.3">
      <c r="A19" s="300" t="s">
        <v>194</v>
      </c>
      <c r="B19" s="301"/>
      <c r="C19" s="302"/>
      <c r="D19" s="338" t="s">
        <v>322</v>
      </c>
      <c r="E19" s="339"/>
      <c r="F19" s="339"/>
      <c r="G19" s="339"/>
      <c r="H19" s="339"/>
      <c r="I19" s="339"/>
      <c r="J19" s="339"/>
      <c r="K19" s="339"/>
      <c r="L19" s="339"/>
      <c r="M19" s="339"/>
      <c r="N19" s="340"/>
      <c r="O19" s="118"/>
      <c r="P19" s="119"/>
      <c r="Q19" s="119"/>
      <c r="R19" s="325"/>
      <c r="S19" s="118"/>
      <c r="T19" s="119"/>
      <c r="U19" s="119"/>
      <c r="V19" s="325"/>
      <c r="W19" s="118"/>
      <c r="X19" s="119"/>
      <c r="Y19" s="119"/>
      <c r="Z19" s="325"/>
      <c r="AA19" s="118"/>
      <c r="AB19" s="119"/>
      <c r="AC19" s="119"/>
      <c r="AD19" s="325"/>
      <c r="AE19" s="118"/>
      <c r="AF19" s="119"/>
      <c r="AG19" s="119"/>
      <c r="AH19" s="325"/>
      <c r="AI19" s="118"/>
      <c r="AJ19" s="119"/>
      <c r="AK19" s="119"/>
      <c r="AL19" s="325"/>
      <c r="AM19" s="118"/>
      <c r="AN19" s="119"/>
      <c r="AO19" s="119"/>
      <c r="AP19" s="325"/>
      <c r="AQ19" s="118"/>
      <c r="AR19" s="119"/>
      <c r="AS19" s="119"/>
      <c r="AT19" s="325"/>
      <c r="AU19" s="118"/>
      <c r="AV19" s="119"/>
      <c r="AW19" s="119"/>
      <c r="AX19" s="325"/>
    </row>
    <row r="20" spans="1:50" x14ac:dyDescent="0.3">
      <c r="A20" s="300" t="s">
        <v>195</v>
      </c>
      <c r="B20" s="301"/>
      <c r="C20" s="302"/>
      <c r="D20" s="332" t="s">
        <v>323</v>
      </c>
      <c r="E20" s="303"/>
      <c r="F20" s="303"/>
      <c r="G20" s="303"/>
      <c r="H20" s="303"/>
      <c r="I20" s="303"/>
      <c r="J20" s="303"/>
      <c r="K20" s="303"/>
      <c r="L20" s="303"/>
      <c r="M20" s="303"/>
      <c r="N20" s="304"/>
      <c r="O20" s="118"/>
      <c r="P20" s="119"/>
      <c r="Q20" s="119"/>
      <c r="R20" s="325"/>
      <c r="S20" s="118"/>
      <c r="T20" s="119"/>
      <c r="U20" s="119"/>
      <c r="V20" s="325"/>
      <c r="W20" s="118"/>
      <c r="X20" s="119"/>
      <c r="Y20" s="119"/>
      <c r="Z20" s="325"/>
      <c r="AA20" s="118"/>
      <c r="AB20" s="119"/>
      <c r="AC20" s="119"/>
      <c r="AD20" s="325"/>
      <c r="AE20" s="118"/>
      <c r="AF20" s="119"/>
      <c r="AG20" s="119"/>
      <c r="AH20" s="325"/>
      <c r="AI20" s="118"/>
      <c r="AJ20" s="119"/>
      <c r="AK20" s="119"/>
      <c r="AL20" s="325"/>
      <c r="AM20" s="118"/>
      <c r="AN20" s="119"/>
      <c r="AO20" s="119"/>
      <c r="AP20" s="325"/>
      <c r="AQ20" s="118"/>
      <c r="AR20" s="119"/>
      <c r="AS20" s="119"/>
      <c r="AT20" s="325"/>
      <c r="AU20" s="118"/>
      <c r="AV20" s="119"/>
      <c r="AW20" s="119"/>
      <c r="AX20" s="325"/>
    </row>
    <row r="21" spans="1:50" x14ac:dyDescent="0.3">
      <c r="A21" s="300" t="s">
        <v>196</v>
      </c>
      <c r="B21" s="301"/>
      <c r="C21" s="302"/>
      <c r="D21" s="332" t="s">
        <v>324</v>
      </c>
      <c r="E21" s="303"/>
      <c r="F21" s="303"/>
      <c r="G21" s="303"/>
      <c r="H21" s="303"/>
      <c r="I21" s="303"/>
      <c r="J21" s="303"/>
      <c r="K21" s="303"/>
      <c r="L21" s="303"/>
      <c r="M21" s="303"/>
      <c r="N21" s="304"/>
      <c r="O21" s="118"/>
      <c r="P21" s="119"/>
      <c r="Q21" s="119"/>
      <c r="R21" s="325"/>
      <c r="S21" s="118"/>
      <c r="T21" s="119"/>
      <c r="U21" s="119"/>
      <c r="V21" s="325"/>
      <c r="W21" s="118"/>
      <c r="X21" s="119"/>
      <c r="Y21" s="119"/>
      <c r="Z21" s="325"/>
      <c r="AA21" s="118"/>
      <c r="AB21" s="119"/>
      <c r="AC21" s="119"/>
      <c r="AD21" s="325"/>
      <c r="AE21" s="118"/>
      <c r="AF21" s="119"/>
      <c r="AG21" s="119"/>
      <c r="AH21" s="325"/>
      <c r="AI21" s="118"/>
      <c r="AJ21" s="119"/>
      <c r="AK21" s="119"/>
      <c r="AL21" s="325"/>
      <c r="AM21" s="118"/>
      <c r="AN21" s="119"/>
      <c r="AO21" s="119"/>
      <c r="AP21" s="325"/>
      <c r="AQ21" s="118"/>
      <c r="AR21" s="119"/>
      <c r="AS21" s="119"/>
      <c r="AT21" s="325"/>
      <c r="AU21" s="118"/>
      <c r="AV21" s="119"/>
      <c r="AW21" s="119"/>
      <c r="AX21" s="325"/>
    </row>
    <row r="22" spans="1:50" x14ac:dyDescent="0.3">
      <c r="A22" s="300" t="s">
        <v>197</v>
      </c>
      <c r="B22" s="301"/>
      <c r="C22" s="302"/>
      <c r="D22" s="332" t="s">
        <v>325</v>
      </c>
      <c r="E22" s="303"/>
      <c r="F22" s="303"/>
      <c r="G22" s="303"/>
      <c r="H22" s="303"/>
      <c r="I22" s="303"/>
      <c r="J22" s="303"/>
      <c r="K22" s="303"/>
      <c r="L22" s="303"/>
      <c r="M22" s="303"/>
      <c r="N22" s="304"/>
      <c r="O22" s="118"/>
      <c r="P22" s="119"/>
      <c r="Q22" s="119"/>
      <c r="R22" s="325"/>
      <c r="S22" s="118"/>
      <c r="T22" s="119"/>
      <c r="U22" s="119"/>
      <c r="V22" s="325"/>
      <c r="W22" s="118"/>
      <c r="X22" s="119"/>
      <c r="Y22" s="119"/>
      <c r="Z22" s="325"/>
      <c r="AA22" s="118"/>
      <c r="AB22" s="119"/>
      <c r="AC22" s="119"/>
      <c r="AD22" s="325"/>
      <c r="AE22" s="118"/>
      <c r="AF22" s="119"/>
      <c r="AG22" s="119"/>
      <c r="AH22" s="325"/>
      <c r="AI22" s="118"/>
      <c r="AJ22" s="119"/>
      <c r="AK22" s="119"/>
      <c r="AL22" s="325"/>
      <c r="AM22" s="118"/>
      <c r="AN22" s="119"/>
      <c r="AO22" s="119"/>
      <c r="AP22" s="325"/>
      <c r="AQ22" s="118"/>
      <c r="AR22" s="119"/>
      <c r="AS22" s="119"/>
      <c r="AT22" s="325"/>
      <c r="AU22" s="118"/>
      <c r="AV22" s="119"/>
      <c r="AW22" s="119"/>
      <c r="AX22" s="325"/>
    </row>
    <row r="23" spans="1:50" x14ac:dyDescent="0.3">
      <c r="A23" s="300" t="s">
        <v>198</v>
      </c>
      <c r="B23" s="301"/>
      <c r="C23" s="302"/>
      <c r="D23" s="332" t="s">
        <v>326</v>
      </c>
      <c r="E23" s="303"/>
      <c r="F23" s="303"/>
      <c r="G23" s="303"/>
      <c r="H23" s="303"/>
      <c r="I23" s="303"/>
      <c r="J23" s="303"/>
      <c r="K23" s="303"/>
      <c r="L23" s="303"/>
      <c r="M23" s="303"/>
      <c r="N23" s="304"/>
      <c r="O23" s="118"/>
      <c r="P23" s="119"/>
      <c r="Q23" s="119"/>
      <c r="R23" s="325"/>
      <c r="S23" s="118"/>
      <c r="T23" s="119"/>
      <c r="U23" s="119"/>
      <c r="V23" s="325"/>
      <c r="W23" s="118"/>
      <c r="X23" s="119"/>
      <c r="Y23" s="119"/>
      <c r="Z23" s="325"/>
      <c r="AA23" s="118"/>
      <c r="AB23" s="119"/>
      <c r="AC23" s="119"/>
      <c r="AD23" s="325"/>
      <c r="AE23" s="118"/>
      <c r="AF23" s="119"/>
      <c r="AG23" s="119"/>
      <c r="AH23" s="325"/>
      <c r="AI23" s="118"/>
      <c r="AJ23" s="119"/>
      <c r="AK23" s="119"/>
      <c r="AL23" s="325"/>
      <c r="AM23" s="118"/>
      <c r="AN23" s="119"/>
      <c r="AO23" s="119"/>
      <c r="AP23" s="325"/>
      <c r="AQ23" s="118"/>
      <c r="AR23" s="119"/>
      <c r="AS23" s="119"/>
      <c r="AT23" s="325"/>
      <c r="AU23" s="118"/>
      <c r="AV23" s="119"/>
      <c r="AW23" s="119"/>
      <c r="AX23" s="325"/>
    </row>
    <row r="24" spans="1:50" x14ac:dyDescent="0.3">
      <c r="A24" s="300" t="s">
        <v>199</v>
      </c>
      <c r="B24" s="301"/>
      <c r="C24" s="302"/>
      <c r="D24" s="332" t="s">
        <v>327</v>
      </c>
      <c r="E24" s="303"/>
      <c r="F24" s="303"/>
      <c r="G24" s="303"/>
      <c r="H24" s="303"/>
      <c r="I24" s="303"/>
      <c r="J24" s="303"/>
      <c r="K24" s="303"/>
      <c r="L24" s="303"/>
      <c r="M24" s="303"/>
      <c r="N24" s="304"/>
      <c r="O24" s="118"/>
      <c r="P24" s="119"/>
      <c r="Q24" s="119"/>
      <c r="R24" s="325"/>
      <c r="S24" s="118"/>
      <c r="T24" s="119"/>
      <c r="U24" s="119"/>
      <c r="V24" s="325"/>
      <c r="W24" s="118"/>
      <c r="X24" s="119"/>
      <c r="Y24" s="119"/>
      <c r="Z24" s="325"/>
      <c r="AA24" s="118"/>
      <c r="AB24" s="119"/>
      <c r="AC24" s="119"/>
      <c r="AD24" s="325"/>
      <c r="AE24" s="118"/>
      <c r="AF24" s="119"/>
      <c r="AG24" s="119"/>
      <c r="AH24" s="325"/>
      <c r="AI24" s="118"/>
      <c r="AJ24" s="119"/>
      <c r="AK24" s="119"/>
      <c r="AL24" s="325"/>
      <c r="AM24" s="118"/>
      <c r="AN24" s="119"/>
      <c r="AO24" s="119"/>
      <c r="AP24" s="325"/>
      <c r="AQ24" s="118"/>
      <c r="AR24" s="119"/>
      <c r="AS24" s="119"/>
      <c r="AT24" s="325"/>
      <c r="AU24" s="118"/>
      <c r="AV24" s="119"/>
      <c r="AW24" s="119"/>
      <c r="AX24" s="325"/>
    </row>
    <row r="25" spans="1:50" x14ac:dyDescent="0.3">
      <c r="A25" s="300" t="s">
        <v>200</v>
      </c>
      <c r="B25" s="301"/>
      <c r="C25" s="302"/>
      <c r="D25" s="332" t="s">
        <v>328</v>
      </c>
      <c r="E25" s="303"/>
      <c r="F25" s="303"/>
      <c r="G25" s="303"/>
      <c r="H25" s="303"/>
      <c r="I25" s="303"/>
      <c r="J25" s="303"/>
      <c r="K25" s="303"/>
      <c r="L25" s="303"/>
      <c r="M25" s="303"/>
      <c r="N25" s="304"/>
      <c r="O25" s="118"/>
      <c r="P25" s="119"/>
      <c r="Q25" s="119"/>
      <c r="R25" s="325"/>
      <c r="S25" s="118"/>
      <c r="T25" s="119"/>
      <c r="U25" s="119"/>
      <c r="V25" s="325"/>
      <c r="W25" s="118"/>
      <c r="X25" s="119"/>
      <c r="Y25" s="119"/>
      <c r="Z25" s="325"/>
      <c r="AA25" s="118"/>
      <c r="AB25" s="119"/>
      <c r="AC25" s="119"/>
      <c r="AD25" s="325"/>
      <c r="AE25" s="118"/>
      <c r="AF25" s="119"/>
      <c r="AG25" s="119"/>
      <c r="AH25" s="325"/>
      <c r="AI25" s="118"/>
      <c r="AJ25" s="119"/>
      <c r="AK25" s="119"/>
      <c r="AL25" s="325"/>
      <c r="AM25" s="118"/>
      <c r="AN25" s="119"/>
      <c r="AO25" s="119"/>
      <c r="AP25" s="325"/>
      <c r="AQ25" s="118"/>
      <c r="AR25" s="119"/>
      <c r="AS25" s="119"/>
      <c r="AT25" s="325"/>
      <c r="AU25" s="118"/>
      <c r="AV25" s="119"/>
      <c r="AW25" s="119"/>
      <c r="AX25" s="325"/>
    </row>
    <row r="26" spans="1:50" x14ac:dyDescent="0.3">
      <c r="A26" s="300" t="s">
        <v>201</v>
      </c>
      <c r="B26" s="301"/>
      <c r="C26" s="302"/>
      <c r="D26" s="338" t="s">
        <v>329</v>
      </c>
      <c r="E26" s="339"/>
      <c r="F26" s="339"/>
      <c r="G26" s="339"/>
      <c r="H26" s="339"/>
      <c r="I26" s="339"/>
      <c r="J26" s="339"/>
      <c r="K26" s="339"/>
      <c r="L26" s="339"/>
      <c r="M26" s="339"/>
      <c r="N26" s="340"/>
      <c r="O26" s="118"/>
      <c r="P26" s="119"/>
      <c r="Q26" s="119"/>
      <c r="R26" s="325"/>
      <c r="S26" s="118"/>
      <c r="T26" s="119"/>
      <c r="U26" s="119"/>
      <c r="V26" s="325"/>
      <c r="W26" s="118"/>
      <c r="X26" s="119"/>
      <c r="Y26" s="119"/>
      <c r="Z26" s="325"/>
      <c r="AA26" s="118"/>
      <c r="AB26" s="119"/>
      <c r="AC26" s="119"/>
      <c r="AD26" s="325"/>
      <c r="AE26" s="118"/>
      <c r="AF26" s="119"/>
      <c r="AG26" s="119"/>
      <c r="AH26" s="325"/>
      <c r="AI26" s="118"/>
      <c r="AJ26" s="119"/>
      <c r="AK26" s="119"/>
      <c r="AL26" s="325"/>
      <c r="AM26" s="118"/>
      <c r="AN26" s="119"/>
      <c r="AO26" s="119"/>
      <c r="AP26" s="325"/>
      <c r="AQ26" s="118"/>
      <c r="AR26" s="119"/>
      <c r="AS26" s="119"/>
      <c r="AT26" s="325"/>
      <c r="AU26" s="118"/>
      <c r="AV26" s="119"/>
      <c r="AW26" s="119"/>
      <c r="AX26" s="325"/>
    </row>
    <row r="27" spans="1:50" x14ac:dyDescent="0.3">
      <c r="A27" s="300" t="s">
        <v>202</v>
      </c>
      <c r="B27" s="301"/>
      <c r="C27" s="302"/>
      <c r="D27" s="332" t="s">
        <v>330</v>
      </c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118"/>
      <c r="P27" s="119"/>
      <c r="Q27" s="119"/>
      <c r="R27" s="325"/>
      <c r="S27" s="118"/>
      <c r="T27" s="119"/>
      <c r="U27" s="119"/>
      <c r="V27" s="325"/>
      <c r="W27" s="118"/>
      <c r="X27" s="119"/>
      <c r="Y27" s="119"/>
      <c r="Z27" s="325"/>
      <c r="AA27" s="118"/>
      <c r="AB27" s="119"/>
      <c r="AC27" s="119"/>
      <c r="AD27" s="325"/>
      <c r="AE27" s="118"/>
      <c r="AF27" s="119"/>
      <c r="AG27" s="119"/>
      <c r="AH27" s="325"/>
      <c r="AI27" s="118"/>
      <c r="AJ27" s="119"/>
      <c r="AK27" s="119"/>
      <c r="AL27" s="325"/>
      <c r="AM27" s="118"/>
      <c r="AN27" s="119"/>
      <c r="AO27" s="119"/>
      <c r="AP27" s="325"/>
      <c r="AQ27" s="118"/>
      <c r="AR27" s="119"/>
      <c r="AS27" s="119"/>
      <c r="AT27" s="325"/>
      <c r="AU27" s="118"/>
      <c r="AV27" s="119"/>
      <c r="AW27" s="119"/>
      <c r="AX27" s="325"/>
    </row>
    <row r="28" spans="1:50" x14ac:dyDescent="0.3">
      <c r="A28" s="300" t="s">
        <v>203</v>
      </c>
      <c r="B28" s="301"/>
      <c r="C28" s="302"/>
      <c r="D28" s="332" t="s">
        <v>331</v>
      </c>
      <c r="E28" s="303"/>
      <c r="F28" s="303"/>
      <c r="G28" s="303"/>
      <c r="H28" s="303"/>
      <c r="I28" s="303"/>
      <c r="J28" s="303"/>
      <c r="K28" s="303"/>
      <c r="L28" s="303"/>
      <c r="M28" s="303"/>
      <c r="N28" s="304"/>
      <c r="O28" s="118"/>
      <c r="P28" s="119"/>
      <c r="Q28" s="119"/>
      <c r="R28" s="325"/>
      <c r="S28" s="118"/>
      <c r="T28" s="119"/>
      <c r="U28" s="119"/>
      <c r="V28" s="325"/>
      <c r="W28" s="118"/>
      <c r="X28" s="119"/>
      <c r="Y28" s="119"/>
      <c r="Z28" s="325"/>
      <c r="AA28" s="118"/>
      <c r="AB28" s="119"/>
      <c r="AC28" s="119"/>
      <c r="AD28" s="325"/>
      <c r="AE28" s="118"/>
      <c r="AF28" s="119"/>
      <c r="AG28" s="119"/>
      <c r="AH28" s="325"/>
      <c r="AI28" s="118"/>
      <c r="AJ28" s="119"/>
      <c r="AK28" s="119"/>
      <c r="AL28" s="325"/>
      <c r="AM28" s="118"/>
      <c r="AN28" s="119"/>
      <c r="AO28" s="119"/>
      <c r="AP28" s="325"/>
      <c r="AQ28" s="118"/>
      <c r="AR28" s="119"/>
      <c r="AS28" s="119"/>
      <c r="AT28" s="325"/>
      <c r="AU28" s="118"/>
      <c r="AV28" s="119"/>
      <c r="AW28" s="119"/>
      <c r="AX28" s="325"/>
    </row>
    <row r="29" spans="1:50" x14ac:dyDescent="0.3">
      <c r="A29" s="300" t="s">
        <v>204</v>
      </c>
      <c r="B29" s="301"/>
      <c r="C29" s="302"/>
      <c r="D29" s="332" t="s">
        <v>332</v>
      </c>
      <c r="E29" s="303"/>
      <c r="F29" s="303"/>
      <c r="G29" s="303"/>
      <c r="H29" s="303"/>
      <c r="I29" s="303"/>
      <c r="J29" s="303"/>
      <c r="K29" s="303"/>
      <c r="L29" s="303"/>
      <c r="M29" s="303"/>
      <c r="N29" s="304"/>
      <c r="O29" s="118"/>
      <c r="P29" s="119"/>
      <c r="Q29" s="119"/>
      <c r="R29" s="325"/>
      <c r="S29" s="118"/>
      <c r="T29" s="119"/>
      <c r="U29" s="119"/>
      <c r="V29" s="325"/>
      <c r="W29" s="118"/>
      <c r="X29" s="119"/>
      <c r="Y29" s="119"/>
      <c r="Z29" s="325"/>
      <c r="AA29" s="118"/>
      <c r="AB29" s="119"/>
      <c r="AC29" s="119"/>
      <c r="AD29" s="325"/>
      <c r="AE29" s="118"/>
      <c r="AF29" s="119"/>
      <c r="AG29" s="119"/>
      <c r="AH29" s="325"/>
      <c r="AI29" s="118"/>
      <c r="AJ29" s="119"/>
      <c r="AK29" s="119"/>
      <c r="AL29" s="325"/>
      <c r="AM29" s="118"/>
      <c r="AN29" s="119"/>
      <c r="AO29" s="119"/>
      <c r="AP29" s="325"/>
      <c r="AQ29" s="118"/>
      <c r="AR29" s="119"/>
      <c r="AS29" s="119"/>
      <c r="AT29" s="325"/>
      <c r="AU29" s="118"/>
      <c r="AV29" s="119"/>
      <c r="AW29" s="119"/>
      <c r="AX29" s="325"/>
    </row>
    <row r="30" spans="1:50" x14ac:dyDescent="0.3">
      <c r="A30" s="300" t="s">
        <v>205</v>
      </c>
      <c r="B30" s="301"/>
      <c r="C30" s="302"/>
      <c r="D30" s="332" t="s">
        <v>333</v>
      </c>
      <c r="E30" s="303"/>
      <c r="F30" s="303"/>
      <c r="G30" s="303"/>
      <c r="H30" s="303"/>
      <c r="I30" s="303"/>
      <c r="J30" s="303"/>
      <c r="K30" s="303"/>
      <c r="L30" s="303"/>
      <c r="M30" s="303"/>
      <c r="N30" s="304"/>
      <c r="O30" s="118"/>
      <c r="P30" s="119"/>
      <c r="Q30" s="119"/>
      <c r="R30" s="325"/>
      <c r="S30" s="118"/>
      <c r="T30" s="119"/>
      <c r="U30" s="119"/>
      <c r="V30" s="325"/>
      <c r="W30" s="118"/>
      <c r="X30" s="119"/>
      <c r="Y30" s="119"/>
      <c r="Z30" s="325"/>
      <c r="AA30" s="118"/>
      <c r="AB30" s="119"/>
      <c r="AC30" s="119"/>
      <c r="AD30" s="325"/>
      <c r="AE30" s="118"/>
      <c r="AF30" s="119"/>
      <c r="AG30" s="119"/>
      <c r="AH30" s="325"/>
      <c r="AI30" s="118"/>
      <c r="AJ30" s="119"/>
      <c r="AK30" s="119"/>
      <c r="AL30" s="325"/>
      <c r="AM30" s="118"/>
      <c r="AN30" s="119"/>
      <c r="AO30" s="119"/>
      <c r="AP30" s="325"/>
      <c r="AQ30" s="118"/>
      <c r="AR30" s="119"/>
      <c r="AS30" s="119"/>
      <c r="AT30" s="325"/>
      <c r="AU30" s="118"/>
      <c r="AV30" s="119"/>
      <c r="AW30" s="119"/>
      <c r="AX30" s="325"/>
    </row>
    <row r="31" spans="1:50" x14ac:dyDescent="0.3">
      <c r="A31" s="300" t="s">
        <v>206</v>
      </c>
      <c r="B31" s="301"/>
      <c r="C31" s="302"/>
      <c r="D31" s="332" t="s">
        <v>334</v>
      </c>
      <c r="E31" s="303"/>
      <c r="F31" s="303"/>
      <c r="G31" s="303"/>
      <c r="H31" s="303"/>
      <c r="I31" s="303"/>
      <c r="J31" s="303"/>
      <c r="K31" s="303"/>
      <c r="L31" s="303"/>
      <c r="M31" s="303"/>
      <c r="N31" s="304"/>
      <c r="O31" s="118"/>
      <c r="P31" s="119"/>
      <c r="Q31" s="119"/>
      <c r="R31" s="325"/>
      <c r="S31" s="118"/>
      <c r="T31" s="119"/>
      <c r="U31" s="119"/>
      <c r="V31" s="325"/>
      <c r="W31" s="118"/>
      <c r="X31" s="119"/>
      <c r="Y31" s="119"/>
      <c r="Z31" s="325"/>
      <c r="AA31" s="118"/>
      <c r="AB31" s="119"/>
      <c r="AC31" s="119"/>
      <c r="AD31" s="325"/>
      <c r="AE31" s="118"/>
      <c r="AF31" s="119"/>
      <c r="AG31" s="119"/>
      <c r="AH31" s="325"/>
      <c r="AI31" s="118"/>
      <c r="AJ31" s="119"/>
      <c r="AK31" s="119"/>
      <c r="AL31" s="325"/>
      <c r="AM31" s="118"/>
      <c r="AN31" s="119"/>
      <c r="AO31" s="119"/>
      <c r="AP31" s="325"/>
      <c r="AQ31" s="118"/>
      <c r="AR31" s="119"/>
      <c r="AS31" s="119"/>
      <c r="AT31" s="325"/>
      <c r="AU31" s="118"/>
      <c r="AV31" s="119"/>
      <c r="AW31" s="119"/>
      <c r="AX31" s="325"/>
    </row>
    <row r="32" spans="1:50" x14ac:dyDescent="0.3">
      <c r="A32" s="300" t="s">
        <v>207</v>
      </c>
      <c r="B32" s="301"/>
      <c r="C32" s="302"/>
      <c r="D32" s="332" t="s">
        <v>335</v>
      </c>
      <c r="E32" s="303"/>
      <c r="F32" s="303"/>
      <c r="G32" s="303"/>
      <c r="H32" s="303"/>
      <c r="I32" s="303"/>
      <c r="J32" s="303"/>
      <c r="K32" s="303"/>
      <c r="L32" s="303"/>
      <c r="M32" s="303"/>
      <c r="N32" s="304"/>
      <c r="O32" s="118"/>
      <c r="P32" s="119"/>
      <c r="Q32" s="119"/>
      <c r="R32" s="325"/>
      <c r="S32" s="118"/>
      <c r="T32" s="119"/>
      <c r="U32" s="119"/>
      <c r="V32" s="325"/>
      <c r="W32" s="118"/>
      <c r="X32" s="119"/>
      <c r="Y32" s="119"/>
      <c r="Z32" s="325"/>
      <c r="AA32" s="118"/>
      <c r="AB32" s="119"/>
      <c r="AC32" s="119"/>
      <c r="AD32" s="325"/>
      <c r="AE32" s="118"/>
      <c r="AF32" s="119"/>
      <c r="AG32" s="119"/>
      <c r="AH32" s="325"/>
      <c r="AI32" s="118"/>
      <c r="AJ32" s="119"/>
      <c r="AK32" s="119"/>
      <c r="AL32" s="325"/>
      <c r="AM32" s="118"/>
      <c r="AN32" s="119"/>
      <c r="AO32" s="119"/>
      <c r="AP32" s="325"/>
      <c r="AQ32" s="118"/>
      <c r="AR32" s="119"/>
      <c r="AS32" s="119"/>
      <c r="AT32" s="325"/>
      <c r="AU32" s="118"/>
      <c r="AV32" s="119"/>
      <c r="AW32" s="119"/>
      <c r="AX32" s="325"/>
    </row>
    <row r="33" spans="1:50" x14ac:dyDescent="0.3">
      <c r="A33" s="300" t="s">
        <v>208</v>
      </c>
      <c r="B33" s="301"/>
      <c r="C33" s="302"/>
      <c r="D33" s="218" t="s">
        <v>336</v>
      </c>
      <c r="E33" s="219"/>
      <c r="F33" s="219"/>
      <c r="G33" s="219"/>
      <c r="H33" s="219"/>
      <c r="I33" s="219"/>
      <c r="J33" s="219"/>
      <c r="K33" s="219"/>
      <c r="L33" s="219"/>
      <c r="M33" s="219"/>
      <c r="N33" s="305"/>
      <c r="O33" s="118"/>
      <c r="P33" s="119"/>
      <c r="Q33" s="119"/>
      <c r="R33" s="325"/>
      <c r="S33" s="118"/>
      <c r="T33" s="119"/>
      <c r="U33" s="119"/>
      <c r="V33" s="325"/>
      <c r="W33" s="118"/>
      <c r="X33" s="119"/>
      <c r="Y33" s="119"/>
      <c r="Z33" s="325"/>
      <c r="AA33" s="118"/>
      <c r="AB33" s="119"/>
      <c r="AC33" s="119"/>
      <c r="AD33" s="325"/>
      <c r="AE33" s="118"/>
      <c r="AF33" s="119"/>
      <c r="AG33" s="119"/>
      <c r="AH33" s="325"/>
      <c r="AI33" s="118"/>
      <c r="AJ33" s="119"/>
      <c r="AK33" s="119"/>
      <c r="AL33" s="325"/>
      <c r="AM33" s="118"/>
      <c r="AN33" s="119"/>
      <c r="AO33" s="119"/>
      <c r="AP33" s="325"/>
      <c r="AQ33" s="118"/>
      <c r="AR33" s="119"/>
      <c r="AS33" s="119"/>
      <c r="AT33" s="325"/>
      <c r="AU33" s="118"/>
      <c r="AV33" s="119"/>
      <c r="AW33" s="119"/>
      <c r="AX33" s="325"/>
    </row>
    <row r="34" spans="1:50" x14ac:dyDescent="0.3">
      <c r="A34" s="300" t="s">
        <v>209</v>
      </c>
      <c r="B34" s="301"/>
      <c r="C34" s="302"/>
      <c r="D34" s="338" t="s">
        <v>337</v>
      </c>
      <c r="E34" s="339"/>
      <c r="F34" s="339"/>
      <c r="G34" s="339"/>
      <c r="H34" s="339"/>
      <c r="I34" s="339"/>
      <c r="J34" s="339"/>
      <c r="K34" s="339"/>
      <c r="L34" s="339"/>
      <c r="M34" s="339"/>
      <c r="N34" s="340"/>
      <c r="O34" s="118"/>
      <c r="P34" s="119"/>
      <c r="Q34" s="119"/>
      <c r="R34" s="325"/>
      <c r="S34" s="118"/>
      <c r="T34" s="119"/>
      <c r="U34" s="119"/>
      <c r="V34" s="325"/>
      <c r="W34" s="118"/>
      <c r="X34" s="119"/>
      <c r="Y34" s="119"/>
      <c r="Z34" s="325"/>
      <c r="AA34" s="118"/>
      <c r="AB34" s="119"/>
      <c r="AC34" s="119"/>
      <c r="AD34" s="325"/>
      <c r="AE34" s="118"/>
      <c r="AF34" s="119"/>
      <c r="AG34" s="119"/>
      <c r="AH34" s="325"/>
      <c r="AI34" s="118"/>
      <c r="AJ34" s="119"/>
      <c r="AK34" s="119"/>
      <c r="AL34" s="325"/>
      <c r="AM34" s="118"/>
      <c r="AN34" s="119"/>
      <c r="AO34" s="119"/>
      <c r="AP34" s="325"/>
      <c r="AQ34" s="118"/>
      <c r="AR34" s="119"/>
      <c r="AS34" s="119"/>
      <c r="AT34" s="325"/>
      <c r="AU34" s="118"/>
      <c r="AV34" s="119"/>
      <c r="AW34" s="119"/>
      <c r="AX34" s="325"/>
    </row>
    <row r="35" spans="1:50" x14ac:dyDescent="0.3">
      <c r="A35" s="300" t="s">
        <v>210</v>
      </c>
      <c r="B35" s="301"/>
      <c r="C35" s="302"/>
      <c r="D35" s="332" t="s">
        <v>338</v>
      </c>
      <c r="E35" s="303"/>
      <c r="F35" s="303"/>
      <c r="G35" s="303"/>
      <c r="H35" s="303"/>
      <c r="I35" s="303"/>
      <c r="J35" s="303"/>
      <c r="K35" s="303"/>
      <c r="L35" s="303"/>
      <c r="M35" s="303"/>
      <c r="N35" s="304"/>
      <c r="O35" s="118"/>
      <c r="P35" s="119"/>
      <c r="Q35" s="119"/>
      <c r="R35" s="325"/>
      <c r="S35" s="118"/>
      <c r="T35" s="119"/>
      <c r="U35" s="119"/>
      <c r="V35" s="325"/>
      <c r="W35" s="118"/>
      <c r="X35" s="119"/>
      <c r="Y35" s="119"/>
      <c r="Z35" s="325"/>
      <c r="AA35" s="118"/>
      <c r="AB35" s="119"/>
      <c r="AC35" s="119"/>
      <c r="AD35" s="325"/>
      <c r="AE35" s="118"/>
      <c r="AF35" s="119"/>
      <c r="AG35" s="119"/>
      <c r="AH35" s="325"/>
      <c r="AI35" s="118"/>
      <c r="AJ35" s="119"/>
      <c r="AK35" s="119"/>
      <c r="AL35" s="325"/>
      <c r="AM35" s="118"/>
      <c r="AN35" s="119"/>
      <c r="AO35" s="119"/>
      <c r="AP35" s="325"/>
      <c r="AQ35" s="118"/>
      <c r="AR35" s="119"/>
      <c r="AS35" s="119"/>
      <c r="AT35" s="325"/>
      <c r="AU35" s="118"/>
      <c r="AV35" s="119"/>
      <c r="AW35" s="119"/>
      <c r="AX35" s="325"/>
    </row>
    <row r="36" spans="1:50" x14ac:dyDescent="0.3">
      <c r="A36" s="300" t="s">
        <v>211</v>
      </c>
      <c r="B36" s="301"/>
      <c r="C36" s="302"/>
      <c r="D36" s="332" t="s">
        <v>339</v>
      </c>
      <c r="E36" s="303"/>
      <c r="F36" s="303"/>
      <c r="G36" s="303"/>
      <c r="H36" s="303"/>
      <c r="I36" s="303"/>
      <c r="J36" s="303"/>
      <c r="K36" s="303"/>
      <c r="L36" s="303"/>
      <c r="M36" s="303"/>
      <c r="N36" s="304"/>
      <c r="O36" s="118"/>
      <c r="P36" s="119"/>
      <c r="Q36" s="119"/>
      <c r="R36" s="325"/>
      <c r="S36" s="118"/>
      <c r="T36" s="119"/>
      <c r="U36" s="119"/>
      <c r="V36" s="325"/>
      <c r="W36" s="118"/>
      <c r="X36" s="119"/>
      <c r="Y36" s="119"/>
      <c r="Z36" s="325"/>
      <c r="AA36" s="118"/>
      <c r="AB36" s="119"/>
      <c r="AC36" s="119"/>
      <c r="AD36" s="325"/>
      <c r="AE36" s="118"/>
      <c r="AF36" s="119"/>
      <c r="AG36" s="119"/>
      <c r="AH36" s="325"/>
      <c r="AI36" s="118"/>
      <c r="AJ36" s="119"/>
      <c r="AK36" s="119"/>
      <c r="AL36" s="325"/>
      <c r="AM36" s="118"/>
      <c r="AN36" s="119"/>
      <c r="AO36" s="119"/>
      <c r="AP36" s="325"/>
      <c r="AQ36" s="118"/>
      <c r="AR36" s="119"/>
      <c r="AS36" s="119"/>
      <c r="AT36" s="325"/>
      <c r="AU36" s="118"/>
      <c r="AV36" s="119"/>
      <c r="AW36" s="119"/>
      <c r="AX36" s="325"/>
    </row>
    <row r="37" spans="1:50" x14ac:dyDescent="0.3">
      <c r="A37" s="300" t="s">
        <v>212</v>
      </c>
      <c r="B37" s="301"/>
      <c r="C37" s="302"/>
      <c r="D37" s="332" t="s">
        <v>340</v>
      </c>
      <c r="E37" s="303"/>
      <c r="F37" s="303"/>
      <c r="G37" s="303"/>
      <c r="H37" s="303"/>
      <c r="I37" s="303"/>
      <c r="J37" s="303"/>
      <c r="K37" s="303"/>
      <c r="L37" s="303"/>
      <c r="M37" s="303"/>
      <c r="N37" s="304"/>
      <c r="O37" s="118"/>
      <c r="P37" s="119"/>
      <c r="Q37" s="119"/>
      <c r="R37" s="325"/>
      <c r="S37" s="118"/>
      <c r="T37" s="119"/>
      <c r="U37" s="119"/>
      <c r="V37" s="325"/>
      <c r="W37" s="118"/>
      <c r="X37" s="119"/>
      <c r="Y37" s="119"/>
      <c r="Z37" s="325"/>
      <c r="AA37" s="118"/>
      <c r="AB37" s="119"/>
      <c r="AC37" s="119"/>
      <c r="AD37" s="325"/>
      <c r="AE37" s="118"/>
      <c r="AF37" s="119"/>
      <c r="AG37" s="119"/>
      <c r="AH37" s="325"/>
      <c r="AI37" s="118"/>
      <c r="AJ37" s="119"/>
      <c r="AK37" s="119"/>
      <c r="AL37" s="325"/>
      <c r="AM37" s="118"/>
      <c r="AN37" s="119"/>
      <c r="AO37" s="119"/>
      <c r="AP37" s="325"/>
      <c r="AQ37" s="118"/>
      <c r="AR37" s="119"/>
      <c r="AS37" s="119"/>
      <c r="AT37" s="325"/>
      <c r="AU37" s="118"/>
      <c r="AV37" s="119"/>
      <c r="AW37" s="119"/>
      <c r="AX37" s="325"/>
    </row>
    <row r="38" spans="1:50" x14ac:dyDescent="0.3">
      <c r="A38" s="300" t="s">
        <v>213</v>
      </c>
      <c r="B38" s="301"/>
      <c r="C38" s="302"/>
      <c r="D38" s="338" t="s">
        <v>341</v>
      </c>
      <c r="E38" s="339"/>
      <c r="F38" s="339"/>
      <c r="G38" s="339"/>
      <c r="H38" s="339"/>
      <c r="I38" s="339"/>
      <c r="J38" s="339"/>
      <c r="K38" s="339"/>
      <c r="L38" s="339"/>
      <c r="M38" s="339"/>
      <c r="N38" s="340"/>
      <c r="O38" s="118"/>
      <c r="P38" s="119"/>
      <c r="Q38" s="119"/>
      <c r="R38" s="325"/>
      <c r="S38" s="118"/>
      <c r="T38" s="119"/>
      <c r="U38" s="119"/>
      <c r="V38" s="325"/>
      <c r="W38" s="118"/>
      <c r="X38" s="119"/>
      <c r="Y38" s="119"/>
      <c r="Z38" s="325"/>
      <c r="AA38" s="118"/>
      <c r="AB38" s="119"/>
      <c r="AC38" s="119"/>
      <c r="AD38" s="325"/>
      <c r="AE38" s="118"/>
      <c r="AF38" s="119"/>
      <c r="AG38" s="119"/>
      <c r="AH38" s="325"/>
      <c r="AI38" s="118"/>
      <c r="AJ38" s="119"/>
      <c r="AK38" s="119"/>
      <c r="AL38" s="325"/>
      <c r="AM38" s="118"/>
      <c r="AN38" s="119"/>
      <c r="AO38" s="119"/>
      <c r="AP38" s="325"/>
      <c r="AQ38" s="118"/>
      <c r="AR38" s="119"/>
      <c r="AS38" s="119"/>
      <c r="AT38" s="325"/>
      <c r="AU38" s="118"/>
      <c r="AV38" s="119"/>
      <c r="AW38" s="119"/>
      <c r="AX38" s="325"/>
    </row>
    <row r="39" spans="1:50" x14ac:dyDescent="0.3">
      <c r="A39" s="300" t="s">
        <v>219</v>
      </c>
      <c r="B39" s="301"/>
      <c r="C39" s="302"/>
      <c r="D39" s="332" t="s">
        <v>342</v>
      </c>
      <c r="E39" s="303"/>
      <c r="F39" s="303"/>
      <c r="G39" s="303"/>
      <c r="H39" s="303"/>
      <c r="I39" s="303"/>
      <c r="J39" s="303"/>
      <c r="K39" s="303"/>
      <c r="L39" s="303"/>
      <c r="M39" s="303"/>
      <c r="N39" s="304"/>
      <c r="O39" s="118"/>
      <c r="P39" s="119"/>
      <c r="Q39" s="119"/>
      <c r="R39" s="325"/>
      <c r="S39" s="118"/>
      <c r="T39" s="119"/>
      <c r="U39" s="119"/>
      <c r="V39" s="325"/>
      <c r="W39" s="118"/>
      <c r="X39" s="119"/>
      <c r="Y39" s="119"/>
      <c r="Z39" s="325"/>
      <c r="AA39" s="118"/>
      <c r="AB39" s="119"/>
      <c r="AC39" s="119"/>
      <c r="AD39" s="325"/>
      <c r="AE39" s="118"/>
      <c r="AF39" s="119"/>
      <c r="AG39" s="119"/>
      <c r="AH39" s="325"/>
      <c r="AI39" s="118"/>
      <c r="AJ39" s="119"/>
      <c r="AK39" s="119"/>
      <c r="AL39" s="325"/>
      <c r="AM39" s="118"/>
      <c r="AN39" s="119"/>
      <c r="AO39" s="119"/>
      <c r="AP39" s="325"/>
      <c r="AQ39" s="118"/>
      <c r="AR39" s="119"/>
      <c r="AS39" s="119"/>
      <c r="AT39" s="325"/>
      <c r="AU39" s="118"/>
      <c r="AV39" s="119"/>
      <c r="AW39" s="119"/>
      <c r="AX39" s="325"/>
    </row>
    <row r="40" spans="1:50" x14ac:dyDescent="0.3">
      <c r="A40" s="300" t="s">
        <v>220</v>
      </c>
      <c r="B40" s="301"/>
      <c r="C40" s="302"/>
      <c r="D40" s="332" t="s">
        <v>343</v>
      </c>
      <c r="E40" s="303"/>
      <c r="F40" s="303"/>
      <c r="G40" s="303"/>
      <c r="H40" s="303"/>
      <c r="I40" s="303"/>
      <c r="J40" s="303"/>
      <c r="K40" s="303"/>
      <c r="L40" s="303"/>
      <c r="M40" s="303"/>
      <c r="N40" s="304"/>
      <c r="O40" s="118"/>
      <c r="P40" s="119"/>
      <c r="Q40" s="119"/>
      <c r="R40" s="325"/>
      <c r="S40" s="118"/>
      <c r="T40" s="119"/>
      <c r="U40" s="119"/>
      <c r="V40" s="325"/>
      <c r="W40" s="118"/>
      <c r="X40" s="119"/>
      <c r="Y40" s="119"/>
      <c r="Z40" s="325"/>
      <c r="AA40" s="118"/>
      <c r="AB40" s="119"/>
      <c r="AC40" s="119"/>
      <c r="AD40" s="325"/>
      <c r="AE40" s="118"/>
      <c r="AF40" s="119"/>
      <c r="AG40" s="119"/>
      <c r="AH40" s="325"/>
      <c r="AI40" s="118"/>
      <c r="AJ40" s="119"/>
      <c r="AK40" s="119"/>
      <c r="AL40" s="325"/>
      <c r="AM40" s="118"/>
      <c r="AN40" s="119"/>
      <c r="AO40" s="119"/>
      <c r="AP40" s="325"/>
      <c r="AQ40" s="118"/>
      <c r="AR40" s="119"/>
      <c r="AS40" s="119"/>
      <c r="AT40" s="325"/>
      <c r="AU40" s="118"/>
      <c r="AV40" s="119"/>
      <c r="AW40" s="119"/>
      <c r="AX40" s="325"/>
    </row>
    <row r="41" spans="1:50" x14ac:dyDescent="0.3">
      <c r="A41" s="300" t="s">
        <v>221</v>
      </c>
      <c r="B41" s="301"/>
      <c r="C41" s="302"/>
      <c r="D41" s="332" t="s">
        <v>344</v>
      </c>
      <c r="E41" s="303"/>
      <c r="F41" s="303"/>
      <c r="G41" s="303"/>
      <c r="H41" s="303"/>
      <c r="I41" s="303"/>
      <c r="J41" s="303"/>
      <c r="K41" s="303"/>
      <c r="L41" s="303"/>
      <c r="M41" s="303"/>
      <c r="N41" s="304"/>
      <c r="O41" s="118"/>
      <c r="P41" s="119"/>
      <c r="Q41" s="119"/>
      <c r="R41" s="325"/>
      <c r="S41" s="118"/>
      <c r="T41" s="119"/>
      <c r="U41" s="119"/>
      <c r="V41" s="325"/>
      <c r="W41" s="118"/>
      <c r="X41" s="119"/>
      <c r="Y41" s="119"/>
      <c r="Z41" s="325"/>
      <c r="AA41" s="118"/>
      <c r="AB41" s="119"/>
      <c r="AC41" s="119"/>
      <c r="AD41" s="325"/>
      <c r="AE41" s="118"/>
      <c r="AF41" s="119"/>
      <c r="AG41" s="119"/>
      <c r="AH41" s="325"/>
      <c r="AI41" s="118"/>
      <c r="AJ41" s="119"/>
      <c r="AK41" s="119"/>
      <c r="AL41" s="325"/>
      <c r="AM41" s="118"/>
      <c r="AN41" s="119"/>
      <c r="AO41" s="119"/>
      <c r="AP41" s="325"/>
      <c r="AQ41" s="118"/>
      <c r="AR41" s="119"/>
      <c r="AS41" s="119"/>
      <c r="AT41" s="325"/>
      <c r="AU41" s="118"/>
      <c r="AV41" s="119"/>
      <c r="AW41" s="119"/>
      <c r="AX41" s="325"/>
    </row>
    <row r="42" spans="1:50" x14ac:dyDescent="0.3">
      <c r="A42" s="336" t="s">
        <v>214</v>
      </c>
      <c r="B42" s="337"/>
      <c r="C42" s="381"/>
      <c r="D42" s="338" t="s">
        <v>345</v>
      </c>
      <c r="E42" s="339"/>
      <c r="F42" s="339"/>
      <c r="G42" s="339"/>
      <c r="H42" s="339"/>
      <c r="I42" s="339"/>
      <c r="J42" s="339"/>
      <c r="K42" s="339"/>
      <c r="L42" s="339"/>
      <c r="M42" s="339"/>
      <c r="N42" s="340"/>
      <c r="O42" s="118"/>
      <c r="P42" s="119"/>
      <c r="Q42" s="119"/>
      <c r="R42" s="325"/>
      <c r="S42" s="118"/>
      <c r="T42" s="119"/>
      <c r="U42" s="119"/>
      <c r="V42" s="325"/>
      <c r="W42" s="118"/>
      <c r="X42" s="119"/>
      <c r="Y42" s="119"/>
      <c r="Z42" s="325"/>
      <c r="AA42" s="118"/>
      <c r="AB42" s="119"/>
      <c r="AC42" s="119"/>
      <c r="AD42" s="325"/>
      <c r="AE42" s="118"/>
      <c r="AF42" s="119"/>
      <c r="AG42" s="119"/>
      <c r="AH42" s="325"/>
      <c r="AI42" s="118"/>
      <c r="AJ42" s="119"/>
      <c r="AK42" s="119"/>
      <c r="AL42" s="325"/>
      <c r="AM42" s="118"/>
      <c r="AN42" s="119"/>
      <c r="AO42" s="119"/>
      <c r="AP42" s="325"/>
      <c r="AQ42" s="118"/>
      <c r="AR42" s="119"/>
      <c r="AS42" s="119"/>
      <c r="AT42" s="325"/>
      <c r="AU42" s="118"/>
      <c r="AV42" s="119"/>
      <c r="AW42" s="119"/>
      <c r="AX42" s="325"/>
    </row>
    <row r="43" spans="1:50" x14ac:dyDescent="0.3">
      <c r="A43" s="300" t="s">
        <v>215</v>
      </c>
      <c r="B43" s="301"/>
      <c r="C43" s="302"/>
      <c r="D43" s="332" t="s">
        <v>346</v>
      </c>
      <c r="E43" s="303"/>
      <c r="F43" s="303"/>
      <c r="G43" s="303"/>
      <c r="H43" s="303"/>
      <c r="I43" s="303"/>
      <c r="J43" s="303"/>
      <c r="K43" s="303"/>
      <c r="L43" s="303"/>
      <c r="M43" s="303"/>
      <c r="N43" s="304"/>
      <c r="O43" s="118"/>
      <c r="P43" s="119"/>
      <c r="Q43" s="119"/>
      <c r="R43" s="325"/>
      <c r="S43" s="118"/>
      <c r="T43" s="119"/>
      <c r="U43" s="119"/>
      <c r="V43" s="325"/>
      <c r="W43" s="118"/>
      <c r="X43" s="119"/>
      <c r="Y43" s="119"/>
      <c r="Z43" s="325"/>
      <c r="AA43" s="118"/>
      <c r="AB43" s="119"/>
      <c r="AC43" s="119"/>
      <c r="AD43" s="325"/>
      <c r="AE43" s="118"/>
      <c r="AF43" s="119"/>
      <c r="AG43" s="119"/>
      <c r="AH43" s="325"/>
      <c r="AI43" s="118"/>
      <c r="AJ43" s="119"/>
      <c r="AK43" s="119"/>
      <c r="AL43" s="325"/>
      <c r="AM43" s="118"/>
      <c r="AN43" s="119"/>
      <c r="AO43" s="119"/>
      <c r="AP43" s="325"/>
      <c r="AQ43" s="118"/>
      <c r="AR43" s="119"/>
      <c r="AS43" s="119"/>
      <c r="AT43" s="325"/>
      <c r="AU43" s="118"/>
      <c r="AV43" s="119"/>
      <c r="AW43" s="119"/>
      <c r="AX43" s="325"/>
    </row>
    <row r="44" spans="1:50" x14ac:dyDescent="0.3">
      <c r="A44" s="300" t="s">
        <v>216</v>
      </c>
      <c r="B44" s="301"/>
      <c r="C44" s="302"/>
      <c r="D44" s="332" t="s">
        <v>347</v>
      </c>
      <c r="E44" s="303"/>
      <c r="F44" s="303"/>
      <c r="G44" s="303"/>
      <c r="H44" s="303"/>
      <c r="I44" s="303"/>
      <c r="J44" s="303"/>
      <c r="K44" s="303"/>
      <c r="L44" s="303"/>
      <c r="M44" s="303"/>
      <c r="N44" s="304"/>
      <c r="O44" s="118"/>
      <c r="P44" s="119"/>
      <c r="Q44" s="119"/>
      <c r="R44" s="325"/>
      <c r="S44" s="118"/>
      <c r="T44" s="119"/>
      <c r="U44" s="119"/>
      <c r="V44" s="325"/>
      <c r="W44" s="118"/>
      <c r="X44" s="119"/>
      <c r="Y44" s="119"/>
      <c r="Z44" s="325"/>
      <c r="AA44" s="118"/>
      <c r="AB44" s="119"/>
      <c r="AC44" s="119"/>
      <c r="AD44" s="325"/>
      <c r="AE44" s="118"/>
      <c r="AF44" s="119"/>
      <c r="AG44" s="119"/>
      <c r="AH44" s="325"/>
      <c r="AI44" s="118"/>
      <c r="AJ44" s="119"/>
      <c r="AK44" s="119"/>
      <c r="AL44" s="325"/>
      <c r="AM44" s="118"/>
      <c r="AN44" s="119"/>
      <c r="AO44" s="119"/>
      <c r="AP44" s="325"/>
      <c r="AQ44" s="118"/>
      <c r="AR44" s="119"/>
      <c r="AS44" s="119"/>
      <c r="AT44" s="325"/>
      <c r="AU44" s="118"/>
      <c r="AV44" s="119"/>
      <c r="AW44" s="119"/>
      <c r="AX44" s="325"/>
    </row>
    <row r="45" spans="1:50" x14ac:dyDescent="0.3">
      <c r="A45" s="300" t="s">
        <v>217</v>
      </c>
      <c r="B45" s="301"/>
      <c r="C45" s="302"/>
      <c r="D45" s="329" t="s">
        <v>348</v>
      </c>
      <c r="E45" s="330"/>
      <c r="F45" s="330"/>
      <c r="G45" s="330"/>
      <c r="H45" s="330"/>
      <c r="I45" s="330"/>
      <c r="J45" s="330"/>
      <c r="K45" s="330"/>
      <c r="L45" s="330"/>
      <c r="M45" s="330"/>
      <c r="N45" s="331"/>
      <c r="O45" s="118"/>
      <c r="P45" s="119"/>
      <c r="Q45" s="119"/>
      <c r="R45" s="325"/>
      <c r="S45" s="118"/>
      <c r="T45" s="119"/>
      <c r="U45" s="119"/>
      <c r="V45" s="325"/>
      <c r="W45" s="118"/>
      <c r="X45" s="119"/>
      <c r="Y45" s="119"/>
      <c r="Z45" s="325"/>
      <c r="AA45" s="118"/>
      <c r="AB45" s="119"/>
      <c r="AC45" s="119"/>
      <c r="AD45" s="325"/>
      <c r="AE45" s="118"/>
      <c r="AF45" s="119"/>
      <c r="AG45" s="119"/>
      <c r="AH45" s="325"/>
      <c r="AI45" s="118"/>
      <c r="AJ45" s="119"/>
      <c r="AK45" s="119"/>
      <c r="AL45" s="325"/>
      <c r="AM45" s="118"/>
      <c r="AN45" s="119"/>
      <c r="AO45" s="119"/>
      <c r="AP45" s="325"/>
      <c r="AQ45" s="118"/>
      <c r="AR45" s="119"/>
      <c r="AS45" s="119"/>
      <c r="AT45" s="325"/>
      <c r="AU45" s="118"/>
      <c r="AV45" s="119"/>
      <c r="AW45" s="119"/>
      <c r="AX45" s="325"/>
    </row>
    <row r="46" spans="1:50" ht="10.8" thickBot="1" x14ac:dyDescent="0.35">
      <c r="A46" s="300" t="s">
        <v>218</v>
      </c>
      <c r="B46" s="301"/>
      <c r="C46" s="302"/>
      <c r="D46" s="332" t="s">
        <v>349</v>
      </c>
      <c r="E46" s="303"/>
      <c r="F46" s="303"/>
      <c r="G46" s="303"/>
      <c r="H46" s="303"/>
      <c r="I46" s="303"/>
      <c r="J46" s="303"/>
      <c r="K46" s="303"/>
      <c r="L46" s="303"/>
      <c r="M46" s="303"/>
      <c r="N46" s="304"/>
      <c r="O46" s="118"/>
      <c r="P46" s="119"/>
      <c r="Q46" s="119"/>
      <c r="R46" s="325"/>
      <c r="S46" s="118"/>
      <c r="T46" s="119"/>
      <c r="U46" s="119"/>
      <c r="V46" s="325"/>
      <c r="W46" s="118"/>
      <c r="X46" s="119"/>
      <c r="Y46" s="119"/>
      <c r="Z46" s="325"/>
      <c r="AA46" s="118"/>
      <c r="AB46" s="119"/>
      <c r="AC46" s="119"/>
      <c r="AD46" s="325"/>
      <c r="AE46" s="118"/>
      <c r="AF46" s="119"/>
      <c r="AG46" s="119"/>
      <c r="AH46" s="325"/>
      <c r="AI46" s="118"/>
      <c r="AJ46" s="119"/>
      <c r="AK46" s="119"/>
      <c r="AL46" s="325"/>
      <c r="AM46" s="118"/>
      <c r="AN46" s="119"/>
      <c r="AO46" s="119"/>
      <c r="AP46" s="325"/>
      <c r="AQ46" s="118"/>
      <c r="AR46" s="119"/>
      <c r="AS46" s="119"/>
      <c r="AT46" s="325"/>
      <c r="AU46" s="118"/>
      <c r="AV46" s="119"/>
      <c r="AW46" s="119"/>
      <c r="AX46" s="325"/>
    </row>
    <row r="47" spans="1:50" ht="10.8" thickBot="1" x14ac:dyDescent="0.35">
      <c r="A47" s="171" t="s">
        <v>135</v>
      </c>
      <c r="B47" s="172"/>
      <c r="C47" s="173"/>
      <c r="D47" s="181" t="s">
        <v>223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3"/>
      <c r="O47" s="113"/>
      <c r="P47" s="187"/>
      <c r="Q47" s="187"/>
      <c r="R47" s="114"/>
      <c r="S47" s="113"/>
      <c r="T47" s="187"/>
      <c r="U47" s="187"/>
      <c r="V47" s="114"/>
      <c r="W47" s="113"/>
      <c r="X47" s="187"/>
      <c r="Y47" s="187"/>
      <c r="Z47" s="114"/>
      <c r="AA47" s="113"/>
      <c r="AB47" s="187"/>
      <c r="AC47" s="187"/>
      <c r="AD47" s="114"/>
      <c r="AE47" s="113"/>
      <c r="AF47" s="187"/>
      <c r="AG47" s="187"/>
      <c r="AH47" s="114"/>
      <c r="AI47" s="113"/>
      <c r="AJ47" s="187"/>
      <c r="AK47" s="187"/>
      <c r="AL47" s="114"/>
      <c r="AM47" s="113"/>
      <c r="AN47" s="187"/>
      <c r="AO47" s="187"/>
      <c r="AP47" s="114"/>
      <c r="AQ47" s="113"/>
      <c r="AR47" s="187"/>
      <c r="AS47" s="187"/>
      <c r="AT47" s="114"/>
      <c r="AU47" s="113"/>
      <c r="AV47" s="187"/>
      <c r="AW47" s="187"/>
      <c r="AX47" s="114"/>
    </row>
    <row r="48" spans="1:50" ht="10.8" thickBot="1" x14ac:dyDescent="0.35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</row>
    <row r="49" spans="1:50" x14ac:dyDescent="0.3">
      <c r="A49" s="214" t="s">
        <v>417</v>
      </c>
      <c r="B49" s="195"/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  <c r="AU49" s="195"/>
      <c r="AV49" s="195"/>
      <c r="AW49" s="195"/>
      <c r="AX49" s="196"/>
    </row>
    <row r="50" spans="1:50" ht="10.8" thickBot="1" x14ac:dyDescent="0.35">
      <c r="A50" s="120" t="s">
        <v>161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215"/>
    </row>
    <row r="51" spans="1:50" x14ac:dyDescent="0.2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3"/>
    </row>
    <row r="52" spans="1:50" x14ac:dyDescent="0.2">
      <c r="A52" s="24"/>
      <c r="B52" s="25" t="s">
        <v>243</v>
      </c>
      <c r="C52" s="25"/>
      <c r="D52" s="155"/>
      <c r="E52" s="156"/>
      <c r="F52" s="156"/>
      <c r="G52" s="156"/>
      <c r="H52" s="156"/>
      <c r="I52" s="157"/>
      <c r="J52" s="25"/>
      <c r="K52" s="25"/>
      <c r="L52" s="25"/>
      <c r="M52" s="25"/>
      <c r="N52" s="158" t="s">
        <v>125</v>
      </c>
      <c r="O52" s="158"/>
      <c r="P52" s="158"/>
      <c r="Q52" s="158"/>
      <c r="R52" s="158"/>
      <c r="S52" s="155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7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6"/>
    </row>
    <row r="53" spans="1:50" x14ac:dyDescent="0.2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6"/>
    </row>
    <row r="54" spans="1:50" x14ac:dyDescent="0.2">
      <c r="A54" s="24"/>
      <c r="B54" s="25"/>
      <c r="C54" s="25"/>
      <c r="D54" s="25"/>
      <c r="E54" s="27" t="s">
        <v>128</v>
      </c>
      <c r="F54" s="27" t="s">
        <v>128</v>
      </c>
      <c r="G54" s="27" t="s">
        <v>128</v>
      </c>
      <c r="H54" s="27" t="s">
        <v>128</v>
      </c>
      <c r="I54" s="27" t="s">
        <v>127</v>
      </c>
      <c r="J54" s="27" t="s">
        <v>127</v>
      </c>
      <c r="K54" s="27" t="s">
        <v>126</v>
      </c>
      <c r="L54" s="27" t="s">
        <v>126</v>
      </c>
      <c r="M54" s="49"/>
      <c r="N54" s="25"/>
      <c r="O54" s="25"/>
      <c r="P54" s="25"/>
      <c r="Q54" s="27"/>
      <c r="R54" s="27"/>
      <c r="S54" s="27"/>
      <c r="T54" s="27"/>
      <c r="U54" s="27"/>
      <c r="V54" s="25"/>
      <c r="W54" s="27"/>
      <c r="X54" s="25"/>
      <c r="Y54" s="25"/>
      <c r="Z54" s="27" t="s">
        <v>255</v>
      </c>
      <c r="AA54" s="27" t="s">
        <v>257</v>
      </c>
      <c r="AB54" s="27"/>
      <c r="AC54" s="25"/>
      <c r="AD54" s="25"/>
      <c r="AE54" s="25"/>
      <c r="AF54" s="25"/>
      <c r="AG54" s="25"/>
      <c r="AH54" s="25"/>
      <c r="AI54" s="27">
        <v>0</v>
      </c>
      <c r="AJ54" s="27">
        <v>9</v>
      </c>
      <c r="AK54" s="25"/>
      <c r="AL54" s="25"/>
      <c r="AM54" s="25"/>
      <c r="AN54" s="25"/>
      <c r="AO54" s="27" t="s">
        <v>127</v>
      </c>
      <c r="AP54" s="25"/>
      <c r="AQ54" s="25"/>
      <c r="AR54" s="25"/>
      <c r="AS54" s="27"/>
      <c r="AT54" s="25"/>
      <c r="AU54" s="25"/>
      <c r="AV54" s="25"/>
      <c r="AW54" s="25"/>
      <c r="AX54" s="26"/>
    </row>
    <row r="55" spans="1:50" x14ac:dyDescent="0.2">
      <c r="A55" s="24"/>
      <c r="B55" s="25"/>
      <c r="C55" s="25"/>
      <c r="D55" s="25"/>
      <c r="E55" s="159" t="s">
        <v>129</v>
      </c>
      <c r="F55" s="159"/>
      <c r="G55" s="159"/>
      <c r="H55" s="159"/>
      <c r="I55" s="159"/>
      <c r="J55" s="159"/>
      <c r="K55" s="159"/>
      <c r="L55" s="159"/>
      <c r="M55" s="19"/>
      <c r="N55" s="25"/>
      <c r="O55" s="25"/>
      <c r="P55" s="25"/>
      <c r="Q55" s="25"/>
      <c r="R55" s="25"/>
      <c r="S55" s="33" t="s">
        <v>130</v>
      </c>
      <c r="T55" s="33"/>
      <c r="U55" s="25"/>
      <c r="V55" s="25"/>
      <c r="W55" s="25" t="s">
        <v>244</v>
      </c>
      <c r="X55" s="25"/>
      <c r="Y55" s="25"/>
      <c r="Z55" s="25"/>
      <c r="AA55" s="19" t="s">
        <v>245</v>
      </c>
      <c r="AB55" s="25"/>
      <c r="AC55" s="25"/>
      <c r="AD55" s="25"/>
      <c r="AE55" s="25"/>
      <c r="AF55" s="25"/>
      <c r="AG55" s="25"/>
      <c r="AH55" s="25"/>
      <c r="AI55" s="159" t="s">
        <v>131</v>
      </c>
      <c r="AJ55" s="159"/>
      <c r="AK55" s="25"/>
      <c r="AL55" s="25"/>
      <c r="AM55" s="25"/>
      <c r="AN55" s="25"/>
      <c r="AO55" s="19" t="s">
        <v>246</v>
      </c>
      <c r="AP55" s="25"/>
      <c r="AQ55" s="25"/>
      <c r="AR55" s="25"/>
      <c r="AS55" s="19" t="s">
        <v>263</v>
      </c>
      <c r="AT55" s="25"/>
      <c r="AU55" s="25"/>
      <c r="AV55" s="25"/>
      <c r="AW55" s="25"/>
      <c r="AX55" s="26"/>
    </row>
    <row r="56" spans="1:50" ht="10.8" thickBot="1" x14ac:dyDescent="0.25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30"/>
    </row>
    <row r="57" spans="1:50" ht="10.8" thickBot="1" x14ac:dyDescent="0.35">
      <c r="A57" s="354" t="s">
        <v>3</v>
      </c>
      <c r="B57" s="355"/>
      <c r="C57" s="356"/>
      <c r="D57" s="363" t="s">
        <v>7</v>
      </c>
      <c r="E57" s="364"/>
      <c r="F57" s="364"/>
      <c r="G57" s="364"/>
      <c r="H57" s="364"/>
      <c r="I57" s="364"/>
      <c r="J57" s="364"/>
      <c r="K57" s="364"/>
      <c r="L57" s="364"/>
      <c r="M57" s="364"/>
      <c r="N57" s="365"/>
      <c r="O57" s="344" t="s">
        <v>2</v>
      </c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5"/>
      <c r="AB57" s="345"/>
      <c r="AC57" s="345"/>
      <c r="AD57" s="345"/>
      <c r="AE57" s="345"/>
      <c r="AF57" s="345"/>
      <c r="AG57" s="345"/>
      <c r="AH57" s="345"/>
      <c r="AI57" s="345"/>
      <c r="AJ57" s="345"/>
      <c r="AK57" s="345"/>
      <c r="AL57" s="345"/>
      <c r="AM57" s="345"/>
      <c r="AN57" s="345"/>
      <c r="AO57" s="345"/>
      <c r="AP57" s="345"/>
      <c r="AQ57" s="345"/>
      <c r="AR57" s="346"/>
      <c r="AS57" s="372" t="s">
        <v>8</v>
      </c>
      <c r="AT57" s="373"/>
      <c r="AU57" s="374"/>
      <c r="AV57" s="363" t="s">
        <v>1</v>
      </c>
      <c r="AW57" s="364"/>
      <c r="AX57" s="365"/>
    </row>
    <row r="58" spans="1:50" ht="10.8" thickBot="1" x14ac:dyDescent="0.35">
      <c r="A58" s="357"/>
      <c r="B58" s="358"/>
      <c r="C58" s="359"/>
      <c r="D58" s="366"/>
      <c r="E58" s="367"/>
      <c r="F58" s="367"/>
      <c r="G58" s="367"/>
      <c r="H58" s="367"/>
      <c r="I58" s="367"/>
      <c r="J58" s="367"/>
      <c r="K58" s="367"/>
      <c r="L58" s="367"/>
      <c r="M58" s="367"/>
      <c r="N58" s="368"/>
      <c r="O58" s="363" t="s">
        <v>296</v>
      </c>
      <c r="P58" s="364"/>
      <c r="Q58" s="364"/>
      <c r="R58" s="364"/>
      <c r="S58" s="364"/>
      <c r="T58" s="364"/>
      <c r="U58" s="364"/>
      <c r="V58" s="364"/>
      <c r="W58" s="365"/>
      <c r="X58" s="344" t="s">
        <v>300</v>
      </c>
      <c r="Y58" s="345"/>
      <c r="Z58" s="345"/>
      <c r="AA58" s="345"/>
      <c r="AB58" s="345"/>
      <c r="AC58" s="345"/>
      <c r="AD58" s="345"/>
      <c r="AE58" s="345"/>
      <c r="AF58" s="345"/>
      <c r="AG58" s="345"/>
      <c r="AH58" s="345"/>
      <c r="AI58" s="345"/>
      <c r="AJ58" s="345"/>
      <c r="AK58" s="345"/>
      <c r="AL58" s="346"/>
      <c r="AM58" s="372" t="s">
        <v>302</v>
      </c>
      <c r="AN58" s="373"/>
      <c r="AO58" s="373"/>
      <c r="AP58" s="373"/>
      <c r="AQ58" s="373"/>
      <c r="AR58" s="374"/>
      <c r="AS58" s="375"/>
      <c r="AT58" s="376"/>
      <c r="AU58" s="377"/>
      <c r="AV58" s="366"/>
      <c r="AW58" s="367"/>
      <c r="AX58" s="368"/>
    </row>
    <row r="59" spans="1:50" ht="24" customHeight="1" thickBot="1" x14ac:dyDescent="0.35">
      <c r="A59" s="357"/>
      <c r="B59" s="358"/>
      <c r="C59" s="359"/>
      <c r="D59" s="366"/>
      <c r="E59" s="367"/>
      <c r="F59" s="367"/>
      <c r="G59" s="367"/>
      <c r="H59" s="367"/>
      <c r="I59" s="367"/>
      <c r="J59" s="367"/>
      <c r="K59" s="367"/>
      <c r="L59" s="367"/>
      <c r="M59" s="367"/>
      <c r="N59" s="368"/>
      <c r="O59" s="369"/>
      <c r="P59" s="370"/>
      <c r="Q59" s="370"/>
      <c r="R59" s="370"/>
      <c r="S59" s="370"/>
      <c r="T59" s="370"/>
      <c r="U59" s="370"/>
      <c r="V59" s="370"/>
      <c r="W59" s="371"/>
      <c r="X59" s="351" t="s">
        <v>10</v>
      </c>
      <c r="Y59" s="352"/>
      <c r="Z59" s="352"/>
      <c r="AA59" s="352"/>
      <c r="AB59" s="352"/>
      <c r="AC59" s="353"/>
      <c r="AD59" s="351" t="s">
        <v>309</v>
      </c>
      <c r="AE59" s="352"/>
      <c r="AF59" s="352"/>
      <c r="AG59" s="352"/>
      <c r="AH59" s="352"/>
      <c r="AI59" s="353"/>
      <c r="AJ59" s="363" t="s">
        <v>293</v>
      </c>
      <c r="AK59" s="364"/>
      <c r="AL59" s="365"/>
      <c r="AM59" s="378"/>
      <c r="AN59" s="379"/>
      <c r="AO59" s="379"/>
      <c r="AP59" s="379"/>
      <c r="AQ59" s="379"/>
      <c r="AR59" s="380"/>
      <c r="AS59" s="375"/>
      <c r="AT59" s="376"/>
      <c r="AU59" s="377"/>
      <c r="AV59" s="366"/>
      <c r="AW59" s="367"/>
      <c r="AX59" s="368"/>
    </row>
    <row r="60" spans="1:50" ht="47.25" customHeight="1" thickBot="1" x14ac:dyDescent="0.35">
      <c r="A60" s="357"/>
      <c r="B60" s="358"/>
      <c r="C60" s="359"/>
      <c r="D60" s="366"/>
      <c r="E60" s="367"/>
      <c r="F60" s="367"/>
      <c r="G60" s="367"/>
      <c r="H60" s="367"/>
      <c r="I60" s="367"/>
      <c r="J60" s="367"/>
      <c r="K60" s="367"/>
      <c r="L60" s="367"/>
      <c r="M60" s="367"/>
      <c r="N60" s="368"/>
      <c r="O60" s="351" t="s">
        <v>12</v>
      </c>
      <c r="P60" s="352"/>
      <c r="Q60" s="353"/>
      <c r="R60" s="351" t="s">
        <v>297</v>
      </c>
      <c r="S60" s="352"/>
      <c r="T60" s="353"/>
      <c r="U60" s="344" t="s">
        <v>295</v>
      </c>
      <c r="V60" s="345"/>
      <c r="W60" s="346"/>
      <c r="X60" s="351" t="s">
        <v>138</v>
      </c>
      <c r="Y60" s="352"/>
      <c r="Z60" s="353"/>
      <c r="AA60" s="344" t="s">
        <v>13</v>
      </c>
      <c r="AB60" s="345"/>
      <c r="AC60" s="346"/>
      <c r="AD60" s="351" t="s">
        <v>139</v>
      </c>
      <c r="AE60" s="352"/>
      <c r="AF60" s="353"/>
      <c r="AG60" s="344" t="s">
        <v>11</v>
      </c>
      <c r="AH60" s="345"/>
      <c r="AI60" s="346"/>
      <c r="AJ60" s="369"/>
      <c r="AK60" s="370"/>
      <c r="AL60" s="371"/>
      <c r="AM60" s="351" t="s">
        <v>299</v>
      </c>
      <c r="AN60" s="352"/>
      <c r="AO60" s="353"/>
      <c r="AP60" s="351" t="s">
        <v>393</v>
      </c>
      <c r="AQ60" s="352"/>
      <c r="AR60" s="353"/>
      <c r="AS60" s="378"/>
      <c r="AT60" s="379"/>
      <c r="AU60" s="380"/>
      <c r="AV60" s="369"/>
      <c r="AW60" s="370"/>
      <c r="AX60" s="371"/>
    </row>
    <row r="61" spans="1:50" ht="10.8" thickBot="1" x14ac:dyDescent="0.35">
      <c r="A61" s="360"/>
      <c r="B61" s="361"/>
      <c r="C61" s="362"/>
      <c r="D61" s="369"/>
      <c r="E61" s="370"/>
      <c r="F61" s="370"/>
      <c r="G61" s="370"/>
      <c r="H61" s="370"/>
      <c r="I61" s="370"/>
      <c r="J61" s="370"/>
      <c r="K61" s="370"/>
      <c r="L61" s="370"/>
      <c r="M61" s="370"/>
      <c r="N61" s="371"/>
      <c r="O61" s="344">
        <v>1</v>
      </c>
      <c r="P61" s="345"/>
      <c r="Q61" s="346"/>
      <c r="R61" s="344">
        <v>2</v>
      </c>
      <c r="S61" s="345"/>
      <c r="T61" s="346"/>
      <c r="U61" s="344">
        <v>3</v>
      </c>
      <c r="V61" s="345"/>
      <c r="W61" s="346"/>
      <c r="X61" s="344">
        <v>4</v>
      </c>
      <c r="Y61" s="345"/>
      <c r="Z61" s="345"/>
      <c r="AA61" s="344">
        <v>5</v>
      </c>
      <c r="AB61" s="345"/>
      <c r="AC61" s="346"/>
      <c r="AD61" s="345">
        <v>6</v>
      </c>
      <c r="AE61" s="345"/>
      <c r="AF61" s="346"/>
      <c r="AG61" s="344">
        <v>7</v>
      </c>
      <c r="AH61" s="345"/>
      <c r="AI61" s="346"/>
      <c r="AJ61" s="344">
        <v>8</v>
      </c>
      <c r="AK61" s="345"/>
      <c r="AL61" s="346"/>
      <c r="AM61" s="344">
        <v>9</v>
      </c>
      <c r="AN61" s="345"/>
      <c r="AO61" s="346"/>
      <c r="AP61" s="344">
        <v>10</v>
      </c>
      <c r="AQ61" s="345"/>
      <c r="AR61" s="346"/>
      <c r="AS61" s="344">
        <v>11</v>
      </c>
      <c r="AT61" s="345"/>
      <c r="AU61" s="346"/>
      <c r="AV61" s="344">
        <v>12</v>
      </c>
      <c r="AW61" s="345"/>
      <c r="AX61" s="346"/>
    </row>
    <row r="62" spans="1:50" x14ac:dyDescent="0.3">
      <c r="A62" s="300" t="s">
        <v>187</v>
      </c>
      <c r="B62" s="301"/>
      <c r="C62" s="302"/>
      <c r="D62" s="347" t="s">
        <v>315</v>
      </c>
      <c r="E62" s="296"/>
      <c r="F62" s="296"/>
      <c r="G62" s="296"/>
      <c r="H62" s="296"/>
      <c r="I62" s="296"/>
      <c r="J62" s="296"/>
      <c r="K62" s="296"/>
      <c r="L62" s="296"/>
      <c r="M62" s="296"/>
      <c r="N62" s="297"/>
      <c r="O62" s="270"/>
      <c r="P62" s="230"/>
      <c r="Q62" s="271"/>
      <c r="R62" s="230"/>
      <c r="S62" s="230"/>
      <c r="T62" s="230"/>
      <c r="U62" s="270"/>
      <c r="V62" s="230"/>
      <c r="W62" s="271"/>
      <c r="X62" s="230"/>
      <c r="Y62" s="230"/>
      <c r="Z62" s="230"/>
      <c r="AA62" s="270"/>
      <c r="AB62" s="230"/>
      <c r="AC62" s="271"/>
      <c r="AD62" s="348"/>
      <c r="AE62" s="348"/>
      <c r="AF62" s="349"/>
      <c r="AG62" s="350"/>
      <c r="AH62" s="348"/>
      <c r="AI62" s="349"/>
      <c r="AJ62" s="270"/>
      <c r="AK62" s="230"/>
      <c r="AL62" s="230"/>
      <c r="AM62" s="270"/>
      <c r="AN62" s="230"/>
      <c r="AO62" s="271"/>
      <c r="AP62" s="230"/>
      <c r="AQ62" s="230"/>
      <c r="AR62" s="230"/>
      <c r="AS62" s="270"/>
      <c r="AT62" s="230"/>
      <c r="AU62" s="271"/>
      <c r="AV62" s="230"/>
      <c r="AW62" s="230"/>
      <c r="AX62" s="271"/>
    </row>
    <row r="63" spans="1:50" x14ac:dyDescent="0.3">
      <c r="A63" s="300" t="s">
        <v>188</v>
      </c>
      <c r="B63" s="301"/>
      <c r="C63" s="302"/>
      <c r="D63" s="338" t="s">
        <v>316</v>
      </c>
      <c r="E63" s="339"/>
      <c r="F63" s="339"/>
      <c r="G63" s="339"/>
      <c r="H63" s="339"/>
      <c r="I63" s="339"/>
      <c r="J63" s="339"/>
      <c r="K63" s="339"/>
      <c r="L63" s="339"/>
      <c r="M63" s="339"/>
      <c r="N63" s="340"/>
      <c r="O63" s="191"/>
      <c r="P63" s="192"/>
      <c r="Q63" s="217"/>
      <c r="R63" s="192"/>
      <c r="S63" s="192"/>
      <c r="T63" s="192"/>
      <c r="U63" s="191"/>
      <c r="V63" s="192"/>
      <c r="W63" s="217"/>
      <c r="X63" s="192"/>
      <c r="Y63" s="192"/>
      <c r="Z63" s="192"/>
      <c r="AA63" s="191"/>
      <c r="AB63" s="192"/>
      <c r="AC63" s="217"/>
      <c r="AD63" s="333"/>
      <c r="AE63" s="333"/>
      <c r="AF63" s="335"/>
      <c r="AG63" s="334"/>
      <c r="AH63" s="333"/>
      <c r="AI63" s="335"/>
      <c r="AJ63" s="191"/>
      <c r="AK63" s="192"/>
      <c r="AL63" s="192"/>
      <c r="AM63" s="191"/>
      <c r="AN63" s="192"/>
      <c r="AO63" s="217"/>
      <c r="AP63" s="192"/>
      <c r="AQ63" s="192"/>
      <c r="AR63" s="192"/>
      <c r="AS63" s="191"/>
      <c r="AT63" s="192"/>
      <c r="AU63" s="217"/>
      <c r="AV63" s="192"/>
      <c r="AW63" s="192"/>
      <c r="AX63" s="217"/>
    </row>
    <row r="64" spans="1:50" x14ac:dyDescent="0.3">
      <c r="A64" s="300" t="s">
        <v>189</v>
      </c>
      <c r="B64" s="301"/>
      <c r="C64" s="302"/>
      <c r="D64" s="332" t="s">
        <v>317</v>
      </c>
      <c r="E64" s="303"/>
      <c r="F64" s="303"/>
      <c r="G64" s="303"/>
      <c r="H64" s="303"/>
      <c r="I64" s="303"/>
      <c r="J64" s="303"/>
      <c r="K64" s="303"/>
      <c r="L64" s="303"/>
      <c r="M64" s="303"/>
      <c r="N64" s="304"/>
      <c r="O64" s="191"/>
      <c r="P64" s="192"/>
      <c r="Q64" s="217"/>
      <c r="R64" s="192"/>
      <c r="S64" s="192"/>
      <c r="T64" s="192"/>
      <c r="U64" s="191"/>
      <c r="V64" s="192"/>
      <c r="W64" s="217"/>
      <c r="X64" s="192"/>
      <c r="Y64" s="192"/>
      <c r="Z64" s="192"/>
      <c r="AA64" s="191"/>
      <c r="AB64" s="192"/>
      <c r="AC64" s="217"/>
      <c r="AD64" s="333"/>
      <c r="AE64" s="333"/>
      <c r="AF64" s="335"/>
      <c r="AG64" s="334"/>
      <c r="AH64" s="333"/>
      <c r="AI64" s="335"/>
      <c r="AJ64" s="191"/>
      <c r="AK64" s="192"/>
      <c r="AL64" s="192"/>
      <c r="AM64" s="191"/>
      <c r="AN64" s="192"/>
      <c r="AO64" s="217"/>
      <c r="AP64" s="192"/>
      <c r="AQ64" s="192"/>
      <c r="AR64" s="192"/>
      <c r="AS64" s="191"/>
      <c r="AT64" s="192"/>
      <c r="AU64" s="217"/>
      <c r="AV64" s="192"/>
      <c r="AW64" s="192"/>
      <c r="AX64" s="217"/>
    </row>
    <row r="65" spans="1:50" x14ac:dyDescent="0.3">
      <c r="A65" s="300" t="s">
        <v>190</v>
      </c>
      <c r="B65" s="301"/>
      <c r="C65" s="302"/>
      <c r="D65" s="332" t="s">
        <v>318</v>
      </c>
      <c r="E65" s="303"/>
      <c r="F65" s="303"/>
      <c r="G65" s="303"/>
      <c r="H65" s="303"/>
      <c r="I65" s="303"/>
      <c r="J65" s="303"/>
      <c r="K65" s="303"/>
      <c r="L65" s="303"/>
      <c r="M65" s="303"/>
      <c r="N65" s="304"/>
      <c r="O65" s="191"/>
      <c r="P65" s="192"/>
      <c r="Q65" s="217"/>
      <c r="R65" s="192"/>
      <c r="S65" s="192"/>
      <c r="T65" s="192"/>
      <c r="U65" s="191"/>
      <c r="V65" s="192"/>
      <c r="W65" s="217"/>
      <c r="X65" s="333"/>
      <c r="Y65" s="333"/>
      <c r="Z65" s="333"/>
      <c r="AA65" s="334"/>
      <c r="AB65" s="333"/>
      <c r="AC65" s="335"/>
      <c r="AD65" s="333"/>
      <c r="AE65" s="333"/>
      <c r="AF65" s="333"/>
      <c r="AG65" s="334"/>
      <c r="AH65" s="333"/>
      <c r="AI65" s="335"/>
      <c r="AJ65" s="333"/>
      <c r="AK65" s="333"/>
      <c r="AL65" s="333"/>
      <c r="AM65" s="334"/>
      <c r="AN65" s="333"/>
      <c r="AO65" s="335"/>
      <c r="AP65" s="333"/>
      <c r="AQ65" s="333"/>
      <c r="AR65" s="333"/>
      <c r="AS65" s="191"/>
      <c r="AT65" s="192"/>
      <c r="AU65" s="217"/>
      <c r="AV65" s="192"/>
      <c r="AW65" s="192"/>
      <c r="AX65" s="217"/>
    </row>
    <row r="66" spans="1:50" x14ac:dyDescent="0.3">
      <c r="A66" s="300" t="s">
        <v>191</v>
      </c>
      <c r="B66" s="301"/>
      <c r="C66" s="302"/>
      <c r="D66" s="332" t="s">
        <v>319</v>
      </c>
      <c r="E66" s="303"/>
      <c r="F66" s="303"/>
      <c r="G66" s="303"/>
      <c r="H66" s="303"/>
      <c r="I66" s="303"/>
      <c r="J66" s="303"/>
      <c r="K66" s="303"/>
      <c r="L66" s="303"/>
      <c r="M66" s="303"/>
      <c r="N66" s="304"/>
      <c r="O66" s="191"/>
      <c r="P66" s="192"/>
      <c r="Q66" s="217"/>
      <c r="R66" s="192"/>
      <c r="S66" s="192"/>
      <c r="T66" s="192"/>
      <c r="U66" s="191"/>
      <c r="V66" s="192"/>
      <c r="W66" s="217"/>
      <c r="X66" s="192"/>
      <c r="Y66" s="192"/>
      <c r="Z66" s="192"/>
      <c r="AA66" s="191"/>
      <c r="AB66" s="192"/>
      <c r="AC66" s="217"/>
      <c r="AD66" s="333"/>
      <c r="AE66" s="333"/>
      <c r="AF66" s="333"/>
      <c r="AG66" s="334"/>
      <c r="AH66" s="333"/>
      <c r="AI66" s="335"/>
      <c r="AJ66" s="192"/>
      <c r="AK66" s="192"/>
      <c r="AL66" s="192"/>
      <c r="AM66" s="191"/>
      <c r="AN66" s="192"/>
      <c r="AO66" s="217"/>
      <c r="AP66" s="192"/>
      <c r="AQ66" s="192"/>
      <c r="AR66" s="192"/>
      <c r="AS66" s="191"/>
      <c r="AT66" s="192"/>
      <c r="AU66" s="217"/>
      <c r="AV66" s="192"/>
      <c r="AW66" s="192"/>
      <c r="AX66" s="217"/>
    </row>
    <row r="67" spans="1:50" x14ac:dyDescent="0.3">
      <c r="A67" s="300" t="s">
        <v>192</v>
      </c>
      <c r="B67" s="301"/>
      <c r="C67" s="302"/>
      <c r="D67" s="341" t="s">
        <v>320</v>
      </c>
      <c r="E67" s="342"/>
      <c r="F67" s="342"/>
      <c r="G67" s="342"/>
      <c r="H67" s="342"/>
      <c r="I67" s="342"/>
      <c r="J67" s="342"/>
      <c r="K67" s="342"/>
      <c r="L67" s="342"/>
      <c r="M67" s="342"/>
      <c r="N67" s="343"/>
      <c r="O67" s="191"/>
      <c r="P67" s="192"/>
      <c r="Q67" s="217"/>
      <c r="R67" s="192"/>
      <c r="S67" s="192"/>
      <c r="T67" s="192"/>
      <c r="U67" s="191"/>
      <c r="V67" s="192"/>
      <c r="W67" s="217"/>
      <c r="X67" s="192"/>
      <c r="Y67" s="192"/>
      <c r="Z67" s="192"/>
      <c r="AA67" s="191"/>
      <c r="AB67" s="192"/>
      <c r="AC67" s="217"/>
      <c r="AD67" s="333"/>
      <c r="AE67" s="333"/>
      <c r="AF67" s="333"/>
      <c r="AG67" s="334"/>
      <c r="AH67" s="333"/>
      <c r="AI67" s="335"/>
      <c r="AJ67" s="192"/>
      <c r="AK67" s="192"/>
      <c r="AL67" s="192"/>
      <c r="AM67" s="191"/>
      <c r="AN67" s="192"/>
      <c r="AO67" s="217"/>
      <c r="AP67" s="192"/>
      <c r="AQ67" s="192"/>
      <c r="AR67" s="192"/>
      <c r="AS67" s="191"/>
      <c r="AT67" s="192"/>
      <c r="AU67" s="217"/>
      <c r="AV67" s="192"/>
      <c r="AW67" s="192"/>
      <c r="AX67" s="217"/>
    </row>
    <row r="68" spans="1:50" x14ac:dyDescent="0.3">
      <c r="A68" s="300" t="s">
        <v>193</v>
      </c>
      <c r="B68" s="301"/>
      <c r="C68" s="302"/>
      <c r="D68" s="332" t="s">
        <v>321</v>
      </c>
      <c r="E68" s="303"/>
      <c r="F68" s="303"/>
      <c r="G68" s="303"/>
      <c r="H68" s="303"/>
      <c r="I68" s="303"/>
      <c r="J68" s="303"/>
      <c r="K68" s="303"/>
      <c r="L68" s="303"/>
      <c r="M68" s="303"/>
      <c r="N68" s="304"/>
      <c r="O68" s="191"/>
      <c r="P68" s="192"/>
      <c r="Q68" s="217"/>
      <c r="R68" s="192"/>
      <c r="S68" s="192"/>
      <c r="T68" s="192"/>
      <c r="U68" s="191"/>
      <c r="V68" s="192"/>
      <c r="W68" s="217"/>
      <c r="X68" s="192"/>
      <c r="Y68" s="192"/>
      <c r="Z68" s="192"/>
      <c r="AA68" s="191"/>
      <c r="AB68" s="192"/>
      <c r="AC68" s="217"/>
      <c r="AD68" s="333"/>
      <c r="AE68" s="333"/>
      <c r="AF68" s="333"/>
      <c r="AG68" s="334"/>
      <c r="AH68" s="333"/>
      <c r="AI68" s="335"/>
      <c r="AJ68" s="192"/>
      <c r="AK68" s="192"/>
      <c r="AL68" s="192"/>
      <c r="AM68" s="191"/>
      <c r="AN68" s="192"/>
      <c r="AO68" s="217"/>
      <c r="AP68" s="192"/>
      <c r="AQ68" s="192"/>
      <c r="AR68" s="192"/>
      <c r="AS68" s="191"/>
      <c r="AT68" s="192"/>
      <c r="AU68" s="217"/>
      <c r="AV68" s="192"/>
      <c r="AW68" s="192"/>
      <c r="AX68" s="217"/>
    </row>
    <row r="69" spans="1:50" x14ac:dyDescent="0.3">
      <c r="A69" s="300" t="s">
        <v>194</v>
      </c>
      <c r="B69" s="301"/>
      <c r="C69" s="302"/>
      <c r="D69" s="338" t="s">
        <v>322</v>
      </c>
      <c r="E69" s="339"/>
      <c r="F69" s="339"/>
      <c r="G69" s="339"/>
      <c r="H69" s="339"/>
      <c r="I69" s="339"/>
      <c r="J69" s="339"/>
      <c r="K69" s="339"/>
      <c r="L69" s="339"/>
      <c r="M69" s="339"/>
      <c r="N69" s="340"/>
      <c r="O69" s="191"/>
      <c r="P69" s="192"/>
      <c r="Q69" s="217"/>
      <c r="R69" s="192"/>
      <c r="S69" s="192"/>
      <c r="T69" s="192"/>
      <c r="U69" s="191"/>
      <c r="V69" s="192"/>
      <c r="W69" s="217"/>
      <c r="X69" s="192"/>
      <c r="Y69" s="192"/>
      <c r="Z69" s="192"/>
      <c r="AA69" s="191"/>
      <c r="AB69" s="192"/>
      <c r="AC69" s="217"/>
      <c r="AD69" s="333"/>
      <c r="AE69" s="333"/>
      <c r="AF69" s="333"/>
      <c r="AG69" s="334"/>
      <c r="AH69" s="333"/>
      <c r="AI69" s="335"/>
      <c r="AJ69" s="192"/>
      <c r="AK69" s="192"/>
      <c r="AL69" s="192"/>
      <c r="AM69" s="191"/>
      <c r="AN69" s="192"/>
      <c r="AO69" s="217"/>
      <c r="AP69" s="192"/>
      <c r="AQ69" s="192"/>
      <c r="AR69" s="192"/>
      <c r="AS69" s="191"/>
      <c r="AT69" s="192"/>
      <c r="AU69" s="217"/>
      <c r="AV69" s="192"/>
      <c r="AW69" s="192"/>
      <c r="AX69" s="217"/>
    </row>
    <row r="70" spans="1:50" x14ac:dyDescent="0.3">
      <c r="A70" s="300" t="s">
        <v>195</v>
      </c>
      <c r="B70" s="301"/>
      <c r="C70" s="302"/>
      <c r="D70" s="332" t="s">
        <v>323</v>
      </c>
      <c r="E70" s="303"/>
      <c r="F70" s="303"/>
      <c r="G70" s="303"/>
      <c r="H70" s="303"/>
      <c r="I70" s="303"/>
      <c r="J70" s="303"/>
      <c r="K70" s="303"/>
      <c r="L70" s="303"/>
      <c r="M70" s="303"/>
      <c r="N70" s="304"/>
      <c r="O70" s="191"/>
      <c r="P70" s="192"/>
      <c r="Q70" s="217"/>
      <c r="R70" s="192"/>
      <c r="S70" s="192"/>
      <c r="T70" s="192"/>
      <c r="U70" s="191"/>
      <c r="V70" s="192"/>
      <c r="W70" s="217"/>
      <c r="X70" s="192"/>
      <c r="Y70" s="192"/>
      <c r="Z70" s="192"/>
      <c r="AA70" s="191"/>
      <c r="AB70" s="192"/>
      <c r="AC70" s="217"/>
      <c r="AD70" s="333"/>
      <c r="AE70" s="333"/>
      <c r="AF70" s="333"/>
      <c r="AG70" s="334"/>
      <c r="AH70" s="333"/>
      <c r="AI70" s="335"/>
      <c r="AJ70" s="192"/>
      <c r="AK70" s="192"/>
      <c r="AL70" s="192"/>
      <c r="AM70" s="191"/>
      <c r="AN70" s="192"/>
      <c r="AO70" s="217"/>
      <c r="AP70" s="192"/>
      <c r="AQ70" s="192"/>
      <c r="AR70" s="192"/>
      <c r="AS70" s="191"/>
      <c r="AT70" s="192"/>
      <c r="AU70" s="217"/>
      <c r="AV70" s="192"/>
      <c r="AW70" s="192"/>
      <c r="AX70" s="217"/>
    </row>
    <row r="71" spans="1:50" x14ac:dyDescent="0.3">
      <c r="A71" s="300" t="s">
        <v>196</v>
      </c>
      <c r="B71" s="301"/>
      <c r="C71" s="302"/>
      <c r="D71" s="332" t="s">
        <v>324</v>
      </c>
      <c r="E71" s="303"/>
      <c r="F71" s="303"/>
      <c r="G71" s="303"/>
      <c r="H71" s="303"/>
      <c r="I71" s="303"/>
      <c r="J71" s="303"/>
      <c r="K71" s="303"/>
      <c r="L71" s="303"/>
      <c r="M71" s="303"/>
      <c r="N71" s="304"/>
      <c r="O71" s="191"/>
      <c r="P71" s="192"/>
      <c r="Q71" s="217"/>
      <c r="R71" s="192"/>
      <c r="S71" s="192"/>
      <c r="T71" s="192"/>
      <c r="U71" s="191"/>
      <c r="V71" s="192"/>
      <c r="W71" s="217"/>
      <c r="X71" s="333"/>
      <c r="Y71" s="333"/>
      <c r="Z71" s="333"/>
      <c r="AA71" s="334"/>
      <c r="AB71" s="333"/>
      <c r="AC71" s="335"/>
      <c r="AD71" s="333"/>
      <c r="AE71" s="333"/>
      <c r="AF71" s="333"/>
      <c r="AG71" s="334"/>
      <c r="AH71" s="333"/>
      <c r="AI71" s="335"/>
      <c r="AJ71" s="333"/>
      <c r="AK71" s="333"/>
      <c r="AL71" s="333"/>
      <c r="AM71" s="334"/>
      <c r="AN71" s="333"/>
      <c r="AO71" s="335"/>
      <c r="AP71" s="333"/>
      <c r="AQ71" s="333"/>
      <c r="AR71" s="333"/>
      <c r="AS71" s="191"/>
      <c r="AT71" s="192"/>
      <c r="AU71" s="217"/>
      <c r="AV71" s="192"/>
      <c r="AW71" s="192"/>
      <c r="AX71" s="217"/>
    </row>
    <row r="72" spans="1:50" x14ac:dyDescent="0.3">
      <c r="A72" s="300" t="s">
        <v>197</v>
      </c>
      <c r="B72" s="301"/>
      <c r="C72" s="302"/>
      <c r="D72" s="332" t="s">
        <v>325</v>
      </c>
      <c r="E72" s="303"/>
      <c r="F72" s="303"/>
      <c r="G72" s="303"/>
      <c r="H72" s="303"/>
      <c r="I72" s="303"/>
      <c r="J72" s="303"/>
      <c r="K72" s="303"/>
      <c r="L72" s="303"/>
      <c r="M72" s="303"/>
      <c r="N72" s="304"/>
      <c r="O72" s="191"/>
      <c r="P72" s="192"/>
      <c r="Q72" s="217"/>
      <c r="R72" s="192"/>
      <c r="S72" s="192"/>
      <c r="T72" s="192"/>
      <c r="U72" s="191"/>
      <c r="V72" s="192"/>
      <c r="W72" s="217"/>
      <c r="X72" s="192"/>
      <c r="Y72" s="192"/>
      <c r="Z72" s="192"/>
      <c r="AA72" s="191"/>
      <c r="AB72" s="192"/>
      <c r="AC72" s="217"/>
      <c r="AD72" s="333"/>
      <c r="AE72" s="333"/>
      <c r="AF72" s="333"/>
      <c r="AG72" s="334"/>
      <c r="AH72" s="333"/>
      <c r="AI72" s="335"/>
      <c r="AJ72" s="192"/>
      <c r="AK72" s="192"/>
      <c r="AL72" s="192"/>
      <c r="AM72" s="191"/>
      <c r="AN72" s="192"/>
      <c r="AO72" s="217"/>
      <c r="AP72" s="192"/>
      <c r="AQ72" s="192"/>
      <c r="AR72" s="192"/>
      <c r="AS72" s="191"/>
      <c r="AT72" s="192"/>
      <c r="AU72" s="217"/>
      <c r="AV72" s="192"/>
      <c r="AW72" s="192"/>
      <c r="AX72" s="217"/>
    </row>
    <row r="73" spans="1:50" x14ac:dyDescent="0.3">
      <c r="A73" s="300" t="s">
        <v>198</v>
      </c>
      <c r="B73" s="301"/>
      <c r="C73" s="302"/>
      <c r="D73" s="332" t="s">
        <v>326</v>
      </c>
      <c r="E73" s="303"/>
      <c r="F73" s="303"/>
      <c r="G73" s="303"/>
      <c r="H73" s="303"/>
      <c r="I73" s="303"/>
      <c r="J73" s="303"/>
      <c r="K73" s="303"/>
      <c r="L73" s="303"/>
      <c r="M73" s="303"/>
      <c r="N73" s="304"/>
      <c r="O73" s="191"/>
      <c r="P73" s="192"/>
      <c r="Q73" s="217"/>
      <c r="R73" s="192"/>
      <c r="S73" s="192"/>
      <c r="T73" s="192"/>
      <c r="U73" s="191"/>
      <c r="V73" s="192"/>
      <c r="W73" s="217"/>
      <c r="X73" s="192"/>
      <c r="Y73" s="192"/>
      <c r="Z73" s="192"/>
      <c r="AA73" s="191"/>
      <c r="AB73" s="192"/>
      <c r="AC73" s="217"/>
      <c r="AD73" s="333"/>
      <c r="AE73" s="333"/>
      <c r="AF73" s="333"/>
      <c r="AG73" s="334"/>
      <c r="AH73" s="333"/>
      <c r="AI73" s="335"/>
      <c r="AJ73" s="192"/>
      <c r="AK73" s="192"/>
      <c r="AL73" s="192"/>
      <c r="AM73" s="191"/>
      <c r="AN73" s="192"/>
      <c r="AO73" s="217"/>
      <c r="AP73" s="192"/>
      <c r="AQ73" s="192"/>
      <c r="AR73" s="192"/>
      <c r="AS73" s="191"/>
      <c r="AT73" s="192"/>
      <c r="AU73" s="217"/>
      <c r="AV73" s="192"/>
      <c r="AW73" s="192"/>
      <c r="AX73" s="217"/>
    </row>
    <row r="74" spans="1:50" x14ac:dyDescent="0.3">
      <c r="A74" s="300" t="s">
        <v>199</v>
      </c>
      <c r="B74" s="301"/>
      <c r="C74" s="302"/>
      <c r="D74" s="332" t="s">
        <v>327</v>
      </c>
      <c r="E74" s="303"/>
      <c r="F74" s="303"/>
      <c r="G74" s="303"/>
      <c r="H74" s="303"/>
      <c r="I74" s="303"/>
      <c r="J74" s="303"/>
      <c r="K74" s="303"/>
      <c r="L74" s="303"/>
      <c r="M74" s="303"/>
      <c r="N74" s="304"/>
      <c r="O74" s="191"/>
      <c r="P74" s="192"/>
      <c r="Q74" s="217"/>
      <c r="R74" s="192"/>
      <c r="S74" s="192"/>
      <c r="T74" s="192"/>
      <c r="U74" s="191"/>
      <c r="V74" s="192"/>
      <c r="W74" s="217"/>
      <c r="X74" s="192"/>
      <c r="Y74" s="192"/>
      <c r="Z74" s="192"/>
      <c r="AA74" s="191"/>
      <c r="AB74" s="192"/>
      <c r="AC74" s="217"/>
      <c r="AD74" s="333"/>
      <c r="AE74" s="333"/>
      <c r="AF74" s="333"/>
      <c r="AG74" s="334"/>
      <c r="AH74" s="333"/>
      <c r="AI74" s="335"/>
      <c r="AJ74" s="192"/>
      <c r="AK74" s="192"/>
      <c r="AL74" s="192"/>
      <c r="AM74" s="191"/>
      <c r="AN74" s="192"/>
      <c r="AO74" s="217"/>
      <c r="AP74" s="192"/>
      <c r="AQ74" s="192"/>
      <c r="AR74" s="192"/>
      <c r="AS74" s="191"/>
      <c r="AT74" s="192"/>
      <c r="AU74" s="217"/>
      <c r="AV74" s="192"/>
      <c r="AW74" s="192"/>
      <c r="AX74" s="217"/>
    </row>
    <row r="75" spans="1:50" x14ac:dyDescent="0.3">
      <c r="A75" s="300" t="s">
        <v>200</v>
      </c>
      <c r="B75" s="301"/>
      <c r="C75" s="302"/>
      <c r="D75" s="332" t="s">
        <v>328</v>
      </c>
      <c r="E75" s="303"/>
      <c r="F75" s="303"/>
      <c r="G75" s="303"/>
      <c r="H75" s="303"/>
      <c r="I75" s="303"/>
      <c r="J75" s="303"/>
      <c r="K75" s="303"/>
      <c r="L75" s="303"/>
      <c r="M75" s="303"/>
      <c r="N75" s="304"/>
      <c r="O75" s="191"/>
      <c r="P75" s="192"/>
      <c r="Q75" s="217"/>
      <c r="R75" s="192"/>
      <c r="S75" s="192"/>
      <c r="T75" s="192"/>
      <c r="U75" s="191"/>
      <c r="V75" s="192"/>
      <c r="W75" s="217"/>
      <c r="X75" s="192"/>
      <c r="Y75" s="192"/>
      <c r="Z75" s="192"/>
      <c r="AA75" s="191"/>
      <c r="AB75" s="192"/>
      <c r="AC75" s="217"/>
      <c r="AD75" s="333"/>
      <c r="AE75" s="333"/>
      <c r="AF75" s="333"/>
      <c r="AG75" s="334"/>
      <c r="AH75" s="333"/>
      <c r="AI75" s="335"/>
      <c r="AJ75" s="192"/>
      <c r="AK75" s="192"/>
      <c r="AL75" s="192"/>
      <c r="AM75" s="191"/>
      <c r="AN75" s="192"/>
      <c r="AO75" s="217"/>
      <c r="AP75" s="192"/>
      <c r="AQ75" s="192"/>
      <c r="AR75" s="192"/>
      <c r="AS75" s="191"/>
      <c r="AT75" s="192"/>
      <c r="AU75" s="217"/>
      <c r="AV75" s="192"/>
      <c r="AW75" s="192"/>
      <c r="AX75" s="217"/>
    </row>
    <row r="76" spans="1:50" x14ac:dyDescent="0.3">
      <c r="A76" s="300" t="s">
        <v>201</v>
      </c>
      <c r="B76" s="301"/>
      <c r="C76" s="302"/>
      <c r="D76" s="338" t="s">
        <v>329</v>
      </c>
      <c r="E76" s="339"/>
      <c r="F76" s="339"/>
      <c r="G76" s="339"/>
      <c r="H76" s="339"/>
      <c r="I76" s="339"/>
      <c r="J76" s="339"/>
      <c r="K76" s="339"/>
      <c r="L76" s="339"/>
      <c r="M76" s="339"/>
      <c r="N76" s="340"/>
      <c r="O76" s="191"/>
      <c r="P76" s="192"/>
      <c r="Q76" s="217"/>
      <c r="R76" s="192"/>
      <c r="S76" s="192"/>
      <c r="T76" s="192"/>
      <c r="U76" s="191"/>
      <c r="V76" s="192"/>
      <c r="W76" s="217"/>
      <c r="X76" s="192"/>
      <c r="Y76" s="192"/>
      <c r="Z76" s="192"/>
      <c r="AA76" s="191"/>
      <c r="AB76" s="192"/>
      <c r="AC76" s="217"/>
      <c r="AD76" s="333"/>
      <c r="AE76" s="333"/>
      <c r="AF76" s="333"/>
      <c r="AG76" s="334"/>
      <c r="AH76" s="333"/>
      <c r="AI76" s="335"/>
      <c r="AJ76" s="192"/>
      <c r="AK76" s="192"/>
      <c r="AL76" s="192"/>
      <c r="AM76" s="191"/>
      <c r="AN76" s="192"/>
      <c r="AO76" s="217"/>
      <c r="AP76" s="192"/>
      <c r="AQ76" s="192"/>
      <c r="AR76" s="192"/>
      <c r="AS76" s="191"/>
      <c r="AT76" s="192"/>
      <c r="AU76" s="217"/>
      <c r="AV76" s="192"/>
      <c r="AW76" s="192"/>
      <c r="AX76" s="217"/>
    </row>
    <row r="77" spans="1:50" x14ac:dyDescent="0.3">
      <c r="A77" s="300" t="s">
        <v>202</v>
      </c>
      <c r="B77" s="301"/>
      <c r="C77" s="302"/>
      <c r="D77" s="332" t="s">
        <v>330</v>
      </c>
      <c r="E77" s="303"/>
      <c r="F77" s="303"/>
      <c r="G77" s="303"/>
      <c r="H77" s="303"/>
      <c r="I77" s="303"/>
      <c r="J77" s="303"/>
      <c r="K77" s="303"/>
      <c r="L77" s="303"/>
      <c r="M77" s="303"/>
      <c r="N77" s="304"/>
      <c r="O77" s="191"/>
      <c r="P77" s="192"/>
      <c r="Q77" s="217"/>
      <c r="R77" s="192"/>
      <c r="S77" s="192"/>
      <c r="T77" s="192"/>
      <c r="U77" s="191"/>
      <c r="V77" s="192"/>
      <c r="W77" s="217"/>
      <c r="X77" s="192"/>
      <c r="Y77" s="192"/>
      <c r="Z77" s="192"/>
      <c r="AA77" s="191"/>
      <c r="AB77" s="192"/>
      <c r="AC77" s="217"/>
      <c r="AD77" s="333"/>
      <c r="AE77" s="333"/>
      <c r="AF77" s="333"/>
      <c r="AG77" s="334"/>
      <c r="AH77" s="333"/>
      <c r="AI77" s="335"/>
      <c r="AJ77" s="192"/>
      <c r="AK77" s="192"/>
      <c r="AL77" s="192"/>
      <c r="AM77" s="191"/>
      <c r="AN77" s="192"/>
      <c r="AO77" s="217"/>
      <c r="AP77" s="192"/>
      <c r="AQ77" s="192"/>
      <c r="AR77" s="192"/>
      <c r="AS77" s="191"/>
      <c r="AT77" s="192"/>
      <c r="AU77" s="217"/>
      <c r="AV77" s="192"/>
      <c r="AW77" s="192"/>
      <c r="AX77" s="217"/>
    </row>
    <row r="78" spans="1:50" x14ac:dyDescent="0.3">
      <c r="A78" s="300" t="s">
        <v>203</v>
      </c>
      <c r="B78" s="301"/>
      <c r="C78" s="302"/>
      <c r="D78" s="332" t="s">
        <v>331</v>
      </c>
      <c r="E78" s="303"/>
      <c r="F78" s="303"/>
      <c r="G78" s="303"/>
      <c r="H78" s="303"/>
      <c r="I78" s="303"/>
      <c r="J78" s="303"/>
      <c r="K78" s="303"/>
      <c r="L78" s="303"/>
      <c r="M78" s="303"/>
      <c r="N78" s="304"/>
      <c r="O78" s="191"/>
      <c r="P78" s="192"/>
      <c r="Q78" s="217"/>
      <c r="R78" s="192"/>
      <c r="S78" s="192"/>
      <c r="T78" s="192"/>
      <c r="U78" s="191"/>
      <c r="V78" s="192"/>
      <c r="W78" s="217"/>
      <c r="X78" s="333"/>
      <c r="Y78" s="333"/>
      <c r="Z78" s="333"/>
      <c r="AA78" s="334"/>
      <c r="AB78" s="333"/>
      <c r="AC78" s="335"/>
      <c r="AD78" s="333"/>
      <c r="AE78" s="333"/>
      <c r="AF78" s="333"/>
      <c r="AG78" s="334"/>
      <c r="AH78" s="333"/>
      <c r="AI78" s="335"/>
      <c r="AJ78" s="333"/>
      <c r="AK78" s="333"/>
      <c r="AL78" s="333"/>
      <c r="AM78" s="334"/>
      <c r="AN78" s="333"/>
      <c r="AO78" s="335"/>
      <c r="AP78" s="333"/>
      <c r="AQ78" s="333"/>
      <c r="AR78" s="333"/>
      <c r="AS78" s="191"/>
      <c r="AT78" s="192"/>
      <c r="AU78" s="217"/>
      <c r="AV78" s="192"/>
      <c r="AW78" s="192"/>
      <c r="AX78" s="217"/>
    </row>
    <row r="79" spans="1:50" x14ac:dyDescent="0.3">
      <c r="A79" s="300" t="s">
        <v>204</v>
      </c>
      <c r="B79" s="301"/>
      <c r="C79" s="302"/>
      <c r="D79" s="332" t="s">
        <v>332</v>
      </c>
      <c r="E79" s="303"/>
      <c r="F79" s="303"/>
      <c r="G79" s="303"/>
      <c r="H79" s="303"/>
      <c r="I79" s="303"/>
      <c r="J79" s="303"/>
      <c r="K79" s="303"/>
      <c r="L79" s="303"/>
      <c r="M79" s="303"/>
      <c r="N79" s="304"/>
      <c r="O79" s="191"/>
      <c r="P79" s="192"/>
      <c r="Q79" s="217"/>
      <c r="R79" s="192"/>
      <c r="S79" s="192"/>
      <c r="T79" s="192"/>
      <c r="U79" s="191"/>
      <c r="V79" s="192"/>
      <c r="W79" s="217"/>
      <c r="X79" s="192"/>
      <c r="Y79" s="192"/>
      <c r="Z79" s="192"/>
      <c r="AA79" s="191"/>
      <c r="AB79" s="192"/>
      <c r="AC79" s="217"/>
      <c r="AD79" s="333"/>
      <c r="AE79" s="333"/>
      <c r="AF79" s="333"/>
      <c r="AG79" s="334"/>
      <c r="AH79" s="333"/>
      <c r="AI79" s="335"/>
      <c r="AJ79" s="192"/>
      <c r="AK79" s="192"/>
      <c r="AL79" s="192"/>
      <c r="AM79" s="191"/>
      <c r="AN79" s="192"/>
      <c r="AO79" s="217"/>
      <c r="AP79" s="192"/>
      <c r="AQ79" s="192"/>
      <c r="AR79" s="192"/>
      <c r="AS79" s="191"/>
      <c r="AT79" s="192"/>
      <c r="AU79" s="217"/>
      <c r="AV79" s="192"/>
      <c r="AW79" s="192"/>
      <c r="AX79" s="217"/>
    </row>
    <row r="80" spans="1:50" x14ac:dyDescent="0.3">
      <c r="A80" s="300" t="s">
        <v>205</v>
      </c>
      <c r="B80" s="301"/>
      <c r="C80" s="302"/>
      <c r="D80" s="332" t="s">
        <v>333</v>
      </c>
      <c r="E80" s="303"/>
      <c r="F80" s="303"/>
      <c r="G80" s="303"/>
      <c r="H80" s="303"/>
      <c r="I80" s="303"/>
      <c r="J80" s="303"/>
      <c r="K80" s="303"/>
      <c r="L80" s="303"/>
      <c r="M80" s="303"/>
      <c r="N80" s="304"/>
      <c r="O80" s="191"/>
      <c r="P80" s="192"/>
      <c r="Q80" s="217"/>
      <c r="R80" s="192"/>
      <c r="S80" s="192"/>
      <c r="T80" s="192"/>
      <c r="U80" s="191"/>
      <c r="V80" s="192"/>
      <c r="W80" s="217"/>
      <c r="X80" s="192"/>
      <c r="Y80" s="192"/>
      <c r="Z80" s="192"/>
      <c r="AA80" s="191"/>
      <c r="AB80" s="192"/>
      <c r="AC80" s="217"/>
      <c r="AD80" s="333"/>
      <c r="AE80" s="333"/>
      <c r="AF80" s="333"/>
      <c r="AG80" s="334"/>
      <c r="AH80" s="333"/>
      <c r="AI80" s="335"/>
      <c r="AJ80" s="192"/>
      <c r="AK80" s="192"/>
      <c r="AL80" s="192"/>
      <c r="AM80" s="191"/>
      <c r="AN80" s="192"/>
      <c r="AO80" s="217"/>
      <c r="AP80" s="192"/>
      <c r="AQ80" s="192"/>
      <c r="AR80" s="192"/>
      <c r="AS80" s="191"/>
      <c r="AT80" s="192"/>
      <c r="AU80" s="217"/>
      <c r="AV80" s="192"/>
      <c r="AW80" s="192"/>
      <c r="AX80" s="217"/>
    </row>
    <row r="81" spans="1:50" x14ac:dyDescent="0.3">
      <c r="A81" s="300" t="s">
        <v>206</v>
      </c>
      <c r="B81" s="301"/>
      <c r="C81" s="302"/>
      <c r="D81" s="332" t="s">
        <v>334</v>
      </c>
      <c r="E81" s="303"/>
      <c r="F81" s="303"/>
      <c r="G81" s="303"/>
      <c r="H81" s="303"/>
      <c r="I81" s="303"/>
      <c r="J81" s="303"/>
      <c r="K81" s="303"/>
      <c r="L81" s="303"/>
      <c r="M81" s="303"/>
      <c r="N81" s="304"/>
      <c r="O81" s="191"/>
      <c r="P81" s="192"/>
      <c r="Q81" s="217"/>
      <c r="R81" s="192"/>
      <c r="S81" s="192"/>
      <c r="T81" s="192"/>
      <c r="U81" s="191"/>
      <c r="V81" s="192"/>
      <c r="W81" s="217"/>
      <c r="X81" s="192"/>
      <c r="Y81" s="192"/>
      <c r="Z81" s="192"/>
      <c r="AA81" s="191"/>
      <c r="AB81" s="192"/>
      <c r="AC81" s="217"/>
      <c r="AD81" s="333"/>
      <c r="AE81" s="333"/>
      <c r="AF81" s="333"/>
      <c r="AG81" s="334"/>
      <c r="AH81" s="333"/>
      <c r="AI81" s="335"/>
      <c r="AJ81" s="192"/>
      <c r="AK81" s="192"/>
      <c r="AL81" s="192"/>
      <c r="AM81" s="191"/>
      <c r="AN81" s="192"/>
      <c r="AO81" s="217"/>
      <c r="AP81" s="192"/>
      <c r="AQ81" s="192"/>
      <c r="AR81" s="192"/>
      <c r="AS81" s="191"/>
      <c r="AT81" s="192"/>
      <c r="AU81" s="217"/>
      <c r="AV81" s="192"/>
      <c r="AW81" s="192"/>
      <c r="AX81" s="217"/>
    </row>
    <row r="82" spans="1:50" x14ac:dyDescent="0.3">
      <c r="A82" s="300" t="s">
        <v>207</v>
      </c>
      <c r="B82" s="301"/>
      <c r="C82" s="302"/>
      <c r="D82" s="332" t="s">
        <v>335</v>
      </c>
      <c r="E82" s="303"/>
      <c r="F82" s="303"/>
      <c r="G82" s="303"/>
      <c r="H82" s="303"/>
      <c r="I82" s="303"/>
      <c r="J82" s="303"/>
      <c r="K82" s="303"/>
      <c r="L82" s="303"/>
      <c r="M82" s="303"/>
      <c r="N82" s="304"/>
      <c r="O82" s="191"/>
      <c r="P82" s="192"/>
      <c r="Q82" s="217"/>
      <c r="R82" s="192"/>
      <c r="S82" s="192"/>
      <c r="T82" s="192"/>
      <c r="U82" s="191"/>
      <c r="V82" s="192"/>
      <c r="W82" s="217"/>
      <c r="X82" s="192"/>
      <c r="Y82" s="192"/>
      <c r="Z82" s="192"/>
      <c r="AA82" s="191"/>
      <c r="AB82" s="192"/>
      <c r="AC82" s="217"/>
      <c r="AD82" s="333"/>
      <c r="AE82" s="333"/>
      <c r="AF82" s="333"/>
      <c r="AG82" s="334"/>
      <c r="AH82" s="333"/>
      <c r="AI82" s="335"/>
      <c r="AJ82" s="192"/>
      <c r="AK82" s="192"/>
      <c r="AL82" s="192"/>
      <c r="AM82" s="191"/>
      <c r="AN82" s="192"/>
      <c r="AO82" s="217"/>
      <c r="AP82" s="192"/>
      <c r="AQ82" s="192"/>
      <c r="AR82" s="192"/>
      <c r="AS82" s="191"/>
      <c r="AT82" s="192"/>
      <c r="AU82" s="217"/>
      <c r="AV82" s="192"/>
      <c r="AW82" s="192"/>
      <c r="AX82" s="217"/>
    </row>
    <row r="83" spans="1:50" x14ac:dyDescent="0.3">
      <c r="A83" s="300" t="s">
        <v>208</v>
      </c>
      <c r="B83" s="301"/>
      <c r="C83" s="302"/>
      <c r="D83" s="218" t="s">
        <v>336</v>
      </c>
      <c r="E83" s="219"/>
      <c r="F83" s="219"/>
      <c r="G83" s="219"/>
      <c r="H83" s="219"/>
      <c r="I83" s="219"/>
      <c r="J83" s="219"/>
      <c r="K83" s="219"/>
      <c r="L83" s="219"/>
      <c r="M83" s="219"/>
      <c r="N83" s="305"/>
      <c r="O83" s="191"/>
      <c r="P83" s="192"/>
      <c r="Q83" s="217"/>
      <c r="R83" s="192"/>
      <c r="S83" s="192"/>
      <c r="T83" s="192"/>
      <c r="U83" s="191"/>
      <c r="V83" s="192"/>
      <c r="W83" s="217"/>
      <c r="X83" s="192"/>
      <c r="Y83" s="192"/>
      <c r="Z83" s="192"/>
      <c r="AA83" s="191"/>
      <c r="AB83" s="192"/>
      <c r="AC83" s="217"/>
      <c r="AD83" s="333"/>
      <c r="AE83" s="333"/>
      <c r="AF83" s="333"/>
      <c r="AG83" s="334"/>
      <c r="AH83" s="333"/>
      <c r="AI83" s="335"/>
      <c r="AJ83" s="192"/>
      <c r="AK83" s="192"/>
      <c r="AL83" s="192"/>
      <c r="AM83" s="191"/>
      <c r="AN83" s="192"/>
      <c r="AO83" s="217"/>
      <c r="AP83" s="192"/>
      <c r="AQ83" s="192"/>
      <c r="AR83" s="192"/>
      <c r="AS83" s="191"/>
      <c r="AT83" s="192"/>
      <c r="AU83" s="217"/>
      <c r="AV83" s="192"/>
      <c r="AW83" s="192"/>
      <c r="AX83" s="217"/>
    </row>
    <row r="84" spans="1:50" x14ac:dyDescent="0.3">
      <c r="A84" s="300" t="s">
        <v>209</v>
      </c>
      <c r="B84" s="301"/>
      <c r="C84" s="302"/>
      <c r="D84" s="338" t="s">
        <v>337</v>
      </c>
      <c r="E84" s="339"/>
      <c r="F84" s="339"/>
      <c r="G84" s="339"/>
      <c r="H84" s="339"/>
      <c r="I84" s="339"/>
      <c r="J84" s="339"/>
      <c r="K84" s="339"/>
      <c r="L84" s="339"/>
      <c r="M84" s="339"/>
      <c r="N84" s="340"/>
      <c r="O84" s="191"/>
      <c r="P84" s="192"/>
      <c r="Q84" s="217"/>
      <c r="R84" s="192"/>
      <c r="S84" s="192"/>
      <c r="T84" s="192"/>
      <c r="U84" s="191"/>
      <c r="V84" s="192"/>
      <c r="W84" s="217"/>
      <c r="X84" s="192"/>
      <c r="Y84" s="192"/>
      <c r="Z84" s="192"/>
      <c r="AA84" s="191"/>
      <c r="AB84" s="192"/>
      <c r="AC84" s="217"/>
      <c r="AD84" s="333"/>
      <c r="AE84" s="333"/>
      <c r="AF84" s="333"/>
      <c r="AG84" s="334"/>
      <c r="AH84" s="333"/>
      <c r="AI84" s="335"/>
      <c r="AJ84" s="192"/>
      <c r="AK84" s="192"/>
      <c r="AL84" s="192"/>
      <c r="AM84" s="191"/>
      <c r="AN84" s="192"/>
      <c r="AO84" s="217"/>
      <c r="AP84" s="192"/>
      <c r="AQ84" s="192"/>
      <c r="AR84" s="192"/>
      <c r="AS84" s="191"/>
      <c r="AT84" s="192"/>
      <c r="AU84" s="217"/>
      <c r="AV84" s="192"/>
      <c r="AW84" s="192"/>
      <c r="AX84" s="217"/>
    </row>
    <row r="85" spans="1:50" x14ac:dyDescent="0.3">
      <c r="A85" s="300" t="s">
        <v>210</v>
      </c>
      <c r="B85" s="301"/>
      <c r="C85" s="302"/>
      <c r="D85" s="332" t="s">
        <v>338</v>
      </c>
      <c r="E85" s="303"/>
      <c r="F85" s="303"/>
      <c r="G85" s="303"/>
      <c r="H85" s="303"/>
      <c r="I85" s="303"/>
      <c r="J85" s="303"/>
      <c r="K85" s="303"/>
      <c r="L85" s="303"/>
      <c r="M85" s="303"/>
      <c r="N85" s="304"/>
      <c r="O85" s="191"/>
      <c r="P85" s="192"/>
      <c r="Q85" s="217"/>
      <c r="R85" s="192"/>
      <c r="S85" s="192"/>
      <c r="T85" s="192"/>
      <c r="U85" s="191"/>
      <c r="V85" s="192"/>
      <c r="W85" s="217"/>
      <c r="X85" s="192"/>
      <c r="Y85" s="192"/>
      <c r="Z85" s="192"/>
      <c r="AA85" s="191"/>
      <c r="AB85" s="192"/>
      <c r="AC85" s="217"/>
      <c r="AD85" s="333"/>
      <c r="AE85" s="333"/>
      <c r="AF85" s="333"/>
      <c r="AG85" s="334"/>
      <c r="AH85" s="333"/>
      <c r="AI85" s="335"/>
      <c r="AJ85" s="192"/>
      <c r="AK85" s="192"/>
      <c r="AL85" s="192"/>
      <c r="AM85" s="191"/>
      <c r="AN85" s="192"/>
      <c r="AO85" s="217"/>
      <c r="AP85" s="192"/>
      <c r="AQ85" s="192"/>
      <c r="AR85" s="192"/>
      <c r="AS85" s="191"/>
      <c r="AT85" s="192"/>
      <c r="AU85" s="217"/>
      <c r="AV85" s="192"/>
      <c r="AW85" s="192"/>
      <c r="AX85" s="217"/>
    </row>
    <row r="86" spans="1:50" x14ac:dyDescent="0.3">
      <c r="A86" s="300" t="s">
        <v>211</v>
      </c>
      <c r="B86" s="301"/>
      <c r="C86" s="302"/>
      <c r="D86" s="332" t="s">
        <v>339</v>
      </c>
      <c r="E86" s="303"/>
      <c r="F86" s="303"/>
      <c r="G86" s="303"/>
      <c r="H86" s="303"/>
      <c r="I86" s="303"/>
      <c r="J86" s="303"/>
      <c r="K86" s="303"/>
      <c r="L86" s="303"/>
      <c r="M86" s="303"/>
      <c r="N86" s="304"/>
      <c r="O86" s="191"/>
      <c r="P86" s="192"/>
      <c r="Q86" s="217"/>
      <c r="R86" s="192"/>
      <c r="S86" s="192"/>
      <c r="T86" s="192"/>
      <c r="U86" s="191"/>
      <c r="V86" s="192"/>
      <c r="W86" s="217"/>
      <c r="X86" s="192"/>
      <c r="Y86" s="192"/>
      <c r="Z86" s="192"/>
      <c r="AA86" s="191"/>
      <c r="AB86" s="192"/>
      <c r="AC86" s="217"/>
      <c r="AD86" s="333"/>
      <c r="AE86" s="333"/>
      <c r="AF86" s="333"/>
      <c r="AG86" s="334"/>
      <c r="AH86" s="333"/>
      <c r="AI86" s="335"/>
      <c r="AJ86" s="192"/>
      <c r="AK86" s="192"/>
      <c r="AL86" s="192"/>
      <c r="AM86" s="191"/>
      <c r="AN86" s="192"/>
      <c r="AO86" s="217"/>
      <c r="AP86" s="192"/>
      <c r="AQ86" s="192"/>
      <c r="AR86" s="192"/>
      <c r="AS86" s="191"/>
      <c r="AT86" s="192"/>
      <c r="AU86" s="217"/>
      <c r="AV86" s="192"/>
      <c r="AW86" s="192"/>
      <c r="AX86" s="217"/>
    </row>
    <row r="87" spans="1:50" x14ac:dyDescent="0.3">
      <c r="A87" s="300" t="s">
        <v>212</v>
      </c>
      <c r="B87" s="301"/>
      <c r="C87" s="302"/>
      <c r="D87" s="332" t="s">
        <v>340</v>
      </c>
      <c r="E87" s="303"/>
      <c r="F87" s="303"/>
      <c r="G87" s="303"/>
      <c r="H87" s="303"/>
      <c r="I87" s="303"/>
      <c r="J87" s="303"/>
      <c r="K87" s="303"/>
      <c r="L87" s="303"/>
      <c r="M87" s="303"/>
      <c r="N87" s="304"/>
      <c r="O87" s="191"/>
      <c r="P87" s="192"/>
      <c r="Q87" s="217"/>
      <c r="R87" s="192"/>
      <c r="S87" s="192"/>
      <c r="T87" s="192"/>
      <c r="U87" s="191"/>
      <c r="V87" s="192"/>
      <c r="W87" s="217"/>
      <c r="X87" s="192"/>
      <c r="Y87" s="192"/>
      <c r="Z87" s="192"/>
      <c r="AA87" s="191"/>
      <c r="AB87" s="192"/>
      <c r="AC87" s="217"/>
      <c r="AD87" s="333"/>
      <c r="AE87" s="333"/>
      <c r="AF87" s="333"/>
      <c r="AG87" s="334"/>
      <c r="AH87" s="333"/>
      <c r="AI87" s="335"/>
      <c r="AJ87" s="192"/>
      <c r="AK87" s="192"/>
      <c r="AL87" s="192"/>
      <c r="AM87" s="191"/>
      <c r="AN87" s="192"/>
      <c r="AO87" s="217"/>
      <c r="AP87" s="192"/>
      <c r="AQ87" s="192"/>
      <c r="AR87" s="192"/>
      <c r="AS87" s="191"/>
      <c r="AT87" s="192"/>
      <c r="AU87" s="217"/>
      <c r="AV87" s="192"/>
      <c r="AW87" s="192"/>
      <c r="AX87" s="217"/>
    </row>
    <row r="88" spans="1:50" x14ac:dyDescent="0.3">
      <c r="A88" s="300" t="s">
        <v>213</v>
      </c>
      <c r="B88" s="301"/>
      <c r="C88" s="302"/>
      <c r="D88" s="338" t="s">
        <v>341</v>
      </c>
      <c r="E88" s="339"/>
      <c r="F88" s="339"/>
      <c r="G88" s="339"/>
      <c r="H88" s="339"/>
      <c r="I88" s="339"/>
      <c r="J88" s="339"/>
      <c r="K88" s="339"/>
      <c r="L88" s="339"/>
      <c r="M88" s="339"/>
      <c r="N88" s="340"/>
      <c r="O88" s="191"/>
      <c r="P88" s="192"/>
      <c r="Q88" s="217"/>
      <c r="R88" s="192"/>
      <c r="S88" s="192"/>
      <c r="T88" s="192"/>
      <c r="U88" s="191"/>
      <c r="V88" s="192"/>
      <c r="W88" s="217"/>
      <c r="X88" s="192"/>
      <c r="Y88" s="192"/>
      <c r="Z88" s="192"/>
      <c r="AA88" s="191"/>
      <c r="AB88" s="192"/>
      <c r="AC88" s="217"/>
      <c r="AD88" s="333"/>
      <c r="AE88" s="333"/>
      <c r="AF88" s="333"/>
      <c r="AG88" s="334"/>
      <c r="AH88" s="333"/>
      <c r="AI88" s="335"/>
      <c r="AJ88" s="192"/>
      <c r="AK88" s="192"/>
      <c r="AL88" s="192"/>
      <c r="AM88" s="191"/>
      <c r="AN88" s="192"/>
      <c r="AO88" s="217"/>
      <c r="AP88" s="192"/>
      <c r="AQ88" s="192"/>
      <c r="AR88" s="192"/>
      <c r="AS88" s="191"/>
      <c r="AT88" s="192"/>
      <c r="AU88" s="217"/>
      <c r="AV88" s="192"/>
      <c r="AW88" s="192"/>
      <c r="AX88" s="217"/>
    </row>
    <row r="89" spans="1:50" x14ac:dyDescent="0.3">
      <c r="A89" s="300" t="s">
        <v>219</v>
      </c>
      <c r="B89" s="301"/>
      <c r="C89" s="302"/>
      <c r="D89" s="332" t="s">
        <v>342</v>
      </c>
      <c r="E89" s="303"/>
      <c r="F89" s="303"/>
      <c r="G89" s="303"/>
      <c r="H89" s="303"/>
      <c r="I89" s="303"/>
      <c r="J89" s="303"/>
      <c r="K89" s="303"/>
      <c r="L89" s="303"/>
      <c r="M89" s="303"/>
      <c r="N89" s="304"/>
      <c r="O89" s="191"/>
      <c r="P89" s="192"/>
      <c r="Q89" s="217"/>
      <c r="R89" s="192"/>
      <c r="S89" s="192"/>
      <c r="T89" s="192"/>
      <c r="U89" s="191"/>
      <c r="V89" s="192"/>
      <c r="W89" s="217"/>
      <c r="X89" s="192"/>
      <c r="Y89" s="192"/>
      <c r="Z89" s="192"/>
      <c r="AA89" s="191"/>
      <c r="AB89" s="192"/>
      <c r="AC89" s="217"/>
      <c r="AD89" s="333"/>
      <c r="AE89" s="333"/>
      <c r="AF89" s="333"/>
      <c r="AG89" s="334"/>
      <c r="AH89" s="333"/>
      <c r="AI89" s="335"/>
      <c r="AJ89" s="192"/>
      <c r="AK89" s="192"/>
      <c r="AL89" s="192"/>
      <c r="AM89" s="191"/>
      <c r="AN89" s="192"/>
      <c r="AO89" s="217"/>
      <c r="AP89" s="192"/>
      <c r="AQ89" s="192"/>
      <c r="AR89" s="192"/>
      <c r="AS89" s="191"/>
      <c r="AT89" s="192"/>
      <c r="AU89" s="217"/>
      <c r="AV89" s="192"/>
      <c r="AW89" s="192"/>
      <c r="AX89" s="217"/>
    </row>
    <row r="90" spans="1:50" x14ac:dyDescent="0.3">
      <c r="A90" s="300" t="s">
        <v>220</v>
      </c>
      <c r="B90" s="301"/>
      <c r="C90" s="302"/>
      <c r="D90" s="332" t="s">
        <v>343</v>
      </c>
      <c r="E90" s="303"/>
      <c r="F90" s="303"/>
      <c r="G90" s="303"/>
      <c r="H90" s="303"/>
      <c r="I90" s="303"/>
      <c r="J90" s="303"/>
      <c r="K90" s="303"/>
      <c r="L90" s="303"/>
      <c r="M90" s="303"/>
      <c r="N90" s="304"/>
      <c r="O90" s="191"/>
      <c r="P90" s="192"/>
      <c r="Q90" s="217"/>
      <c r="R90" s="192"/>
      <c r="S90" s="192"/>
      <c r="T90" s="192"/>
      <c r="U90" s="191"/>
      <c r="V90" s="192"/>
      <c r="W90" s="217"/>
      <c r="X90" s="192"/>
      <c r="Y90" s="192"/>
      <c r="Z90" s="192"/>
      <c r="AA90" s="191"/>
      <c r="AB90" s="192"/>
      <c r="AC90" s="217"/>
      <c r="AD90" s="333"/>
      <c r="AE90" s="333"/>
      <c r="AF90" s="333"/>
      <c r="AG90" s="334"/>
      <c r="AH90" s="333"/>
      <c r="AI90" s="335"/>
      <c r="AJ90" s="192"/>
      <c r="AK90" s="192"/>
      <c r="AL90" s="192"/>
      <c r="AM90" s="191"/>
      <c r="AN90" s="192"/>
      <c r="AO90" s="217"/>
      <c r="AP90" s="192"/>
      <c r="AQ90" s="192"/>
      <c r="AR90" s="192"/>
      <c r="AS90" s="191"/>
      <c r="AT90" s="192"/>
      <c r="AU90" s="217"/>
      <c r="AV90" s="192"/>
      <c r="AW90" s="192"/>
      <c r="AX90" s="217"/>
    </row>
    <row r="91" spans="1:50" x14ac:dyDescent="0.3">
      <c r="A91" s="300" t="s">
        <v>221</v>
      </c>
      <c r="B91" s="301"/>
      <c r="C91" s="302"/>
      <c r="D91" s="332" t="s">
        <v>344</v>
      </c>
      <c r="E91" s="303"/>
      <c r="F91" s="303"/>
      <c r="G91" s="303"/>
      <c r="H91" s="303"/>
      <c r="I91" s="303"/>
      <c r="J91" s="303"/>
      <c r="K91" s="303"/>
      <c r="L91" s="303"/>
      <c r="M91" s="303"/>
      <c r="N91" s="304"/>
      <c r="O91" s="191"/>
      <c r="P91" s="192"/>
      <c r="Q91" s="217"/>
      <c r="R91" s="192"/>
      <c r="S91" s="192"/>
      <c r="T91" s="192"/>
      <c r="U91" s="191"/>
      <c r="V91" s="192"/>
      <c r="W91" s="217"/>
      <c r="X91" s="192"/>
      <c r="Y91" s="192"/>
      <c r="Z91" s="192"/>
      <c r="AA91" s="191"/>
      <c r="AB91" s="192"/>
      <c r="AC91" s="217"/>
      <c r="AD91" s="333"/>
      <c r="AE91" s="333"/>
      <c r="AF91" s="333"/>
      <c r="AG91" s="334"/>
      <c r="AH91" s="333"/>
      <c r="AI91" s="335"/>
      <c r="AJ91" s="192"/>
      <c r="AK91" s="192"/>
      <c r="AL91" s="192"/>
      <c r="AM91" s="191"/>
      <c r="AN91" s="192"/>
      <c r="AO91" s="217"/>
      <c r="AP91" s="192"/>
      <c r="AQ91" s="192"/>
      <c r="AR91" s="192"/>
      <c r="AS91" s="191"/>
      <c r="AT91" s="192"/>
      <c r="AU91" s="217"/>
      <c r="AV91" s="192"/>
      <c r="AW91" s="192"/>
      <c r="AX91" s="217"/>
    </row>
    <row r="92" spans="1:50" x14ac:dyDescent="0.3">
      <c r="A92" s="336" t="s">
        <v>214</v>
      </c>
      <c r="B92" s="337"/>
      <c r="C92" s="337"/>
      <c r="D92" s="338" t="s">
        <v>345</v>
      </c>
      <c r="E92" s="339"/>
      <c r="F92" s="339"/>
      <c r="G92" s="339"/>
      <c r="H92" s="339"/>
      <c r="I92" s="339"/>
      <c r="J92" s="339"/>
      <c r="K92" s="339"/>
      <c r="L92" s="339"/>
      <c r="M92" s="339"/>
      <c r="N92" s="340"/>
      <c r="O92" s="191"/>
      <c r="P92" s="192"/>
      <c r="Q92" s="217"/>
      <c r="R92" s="192"/>
      <c r="S92" s="192"/>
      <c r="T92" s="192"/>
      <c r="U92" s="191"/>
      <c r="V92" s="192"/>
      <c r="W92" s="217"/>
      <c r="X92" s="192"/>
      <c r="Y92" s="192"/>
      <c r="Z92" s="192"/>
      <c r="AA92" s="191"/>
      <c r="AB92" s="192"/>
      <c r="AC92" s="217"/>
      <c r="AD92" s="333"/>
      <c r="AE92" s="333"/>
      <c r="AF92" s="333"/>
      <c r="AG92" s="334"/>
      <c r="AH92" s="333"/>
      <c r="AI92" s="335"/>
      <c r="AJ92" s="192"/>
      <c r="AK92" s="192"/>
      <c r="AL92" s="192"/>
      <c r="AM92" s="191"/>
      <c r="AN92" s="192"/>
      <c r="AO92" s="217"/>
      <c r="AP92" s="192"/>
      <c r="AQ92" s="192"/>
      <c r="AR92" s="192"/>
      <c r="AS92" s="191"/>
      <c r="AT92" s="192"/>
      <c r="AU92" s="217"/>
      <c r="AV92" s="192"/>
      <c r="AW92" s="192"/>
      <c r="AX92" s="217"/>
    </row>
    <row r="93" spans="1:50" x14ac:dyDescent="0.3">
      <c r="A93" s="300" t="s">
        <v>215</v>
      </c>
      <c r="B93" s="301"/>
      <c r="C93" s="301"/>
      <c r="D93" s="332" t="s">
        <v>346</v>
      </c>
      <c r="E93" s="303"/>
      <c r="F93" s="303"/>
      <c r="G93" s="303"/>
      <c r="H93" s="303"/>
      <c r="I93" s="303"/>
      <c r="J93" s="303"/>
      <c r="K93" s="303"/>
      <c r="L93" s="303"/>
      <c r="M93" s="303"/>
      <c r="N93" s="304"/>
      <c r="O93" s="191"/>
      <c r="P93" s="192"/>
      <c r="Q93" s="217"/>
      <c r="R93" s="192"/>
      <c r="S93" s="192"/>
      <c r="T93" s="192"/>
      <c r="U93" s="191"/>
      <c r="V93" s="192"/>
      <c r="W93" s="217"/>
      <c r="X93" s="192"/>
      <c r="Y93" s="192"/>
      <c r="Z93" s="192"/>
      <c r="AA93" s="191"/>
      <c r="AB93" s="192"/>
      <c r="AC93" s="217"/>
      <c r="AD93" s="333"/>
      <c r="AE93" s="333"/>
      <c r="AF93" s="333"/>
      <c r="AG93" s="334"/>
      <c r="AH93" s="333"/>
      <c r="AI93" s="335"/>
      <c r="AJ93" s="192"/>
      <c r="AK93" s="192"/>
      <c r="AL93" s="192"/>
      <c r="AM93" s="191"/>
      <c r="AN93" s="192"/>
      <c r="AO93" s="217"/>
      <c r="AP93" s="192"/>
      <c r="AQ93" s="192"/>
      <c r="AR93" s="192"/>
      <c r="AS93" s="191"/>
      <c r="AT93" s="192"/>
      <c r="AU93" s="217"/>
      <c r="AV93" s="192"/>
      <c r="AW93" s="192"/>
      <c r="AX93" s="217"/>
    </row>
    <row r="94" spans="1:50" x14ac:dyDescent="0.3">
      <c r="A94" s="300" t="s">
        <v>216</v>
      </c>
      <c r="B94" s="301"/>
      <c r="C94" s="301"/>
      <c r="D94" s="332" t="s">
        <v>347</v>
      </c>
      <c r="E94" s="303"/>
      <c r="F94" s="303"/>
      <c r="G94" s="303"/>
      <c r="H94" s="303"/>
      <c r="I94" s="303"/>
      <c r="J94" s="303"/>
      <c r="K94" s="303"/>
      <c r="L94" s="303"/>
      <c r="M94" s="303"/>
      <c r="N94" s="304"/>
      <c r="O94" s="191"/>
      <c r="P94" s="192"/>
      <c r="Q94" s="217"/>
      <c r="R94" s="192"/>
      <c r="S94" s="192"/>
      <c r="T94" s="192"/>
      <c r="U94" s="191"/>
      <c r="V94" s="192"/>
      <c r="W94" s="217"/>
      <c r="X94" s="192"/>
      <c r="Y94" s="192"/>
      <c r="Z94" s="192"/>
      <c r="AA94" s="191"/>
      <c r="AB94" s="192"/>
      <c r="AC94" s="217"/>
      <c r="AD94" s="333"/>
      <c r="AE94" s="333"/>
      <c r="AF94" s="333"/>
      <c r="AG94" s="334"/>
      <c r="AH94" s="333"/>
      <c r="AI94" s="335"/>
      <c r="AJ94" s="192"/>
      <c r="AK94" s="192"/>
      <c r="AL94" s="192"/>
      <c r="AM94" s="191"/>
      <c r="AN94" s="192"/>
      <c r="AO94" s="217"/>
      <c r="AP94" s="192"/>
      <c r="AQ94" s="192"/>
      <c r="AR94" s="192"/>
      <c r="AS94" s="191"/>
      <c r="AT94" s="192"/>
      <c r="AU94" s="217"/>
      <c r="AV94" s="192"/>
      <c r="AW94" s="192"/>
      <c r="AX94" s="217"/>
    </row>
    <row r="95" spans="1:50" x14ac:dyDescent="0.3">
      <c r="A95" s="300" t="s">
        <v>217</v>
      </c>
      <c r="B95" s="301"/>
      <c r="C95" s="301"/>
      <c r="D95" s="329" t="s">
        <v>348</v>
      </c>
      <c r="E95" s="330"/>
      <c r="F95" s="330"/>
      <c r="G95" s="330"/>
      <c r="H95" s="330"/>
      <c r="I95" s="330"/>
      <c r="J95" s="330"/>
      <c r="K95" s="330"/>
      <c r="L95" s="330"/>
      <c r="M95" s="330"/>
      <c r="N95" s="331"/>
      <c r="O95" s="191"/>
      <c r="P95" s="192"/>
      <c r="Q95" s="217"/>
      <c r="R95" s="192"/>
      <c r="S95" s="192"/>
      <c r="T95" s="192"/>
      <c r="U95" s="191"/>
      <c r="V95" s="192"/>
      <c r="W95" s="217"/>
      <c r="X95" s="192"/>
      <c r="Y95" s="192"/>
      <c r="Z95" s="192"/>
      <c r="AA95" s="191"/>
      <c r="AB95" s="192"/>
      <c r="AC95" s="217"/>
      <c r="AD95" s="333"/>
      <c r="AE95" s="333"/>
      <c r="AF95" s="333"/>
      <c r="AG95" s="334"/>
      <c r="AH95" s="333"/>
      <c r="AI95" s="335"/>
      <c r="AJ95" s="192"/>
      <c r="AK95" s="192"/>
      <c r="AL95" s="192"/>
      <c r="AM95" s="191"/>
      <c r="AN95" s="192"/>
      <c r="AO95" s="217"/>
      <c r="AP95" s="192"/>
      <c r="AQ95" s="192"/>
      <c r="AR95" s="192"/>
      <c r="AS95" s="191"/>
      <c r="AT95" s="192"/>
      <c r="AU95" s="217"/>
      <c r="AV95" s="192"/>
      <c r="AW95" s="192"/>
      <c r="AX95" s="217"/>
    </row>
    <row r="96" spans="1:50" ht="10.8" thickBot="1" x14ac:dyDescent="0.35">
      <c r="A96" s="300" t="s">
        <v>218</v>
      </c>
      <c r="B96" s="301"/>
      <c r="C96" s="301"/>
      <c r="D96" s="332" t="s">
        <v>349</v>
      </c>
      <c r="E96" s="303"/>
      <c r="F96" s="303"/>
      <c r="G96" s="303"/>
      <c r="H96" s="303"/>
      <c r="I96" s="303"/>
      <c r="J96" s="303"/>
      <c r="K96" s="303"/>
      <c r="L96" s="303"/>
      <c r="M96" s="303"/>
      <c r="N96" s="304"/>
      <c r="O96" s="191"/>
      <c r="P96" s="192"/>
      <c r="Q96" s="217"/>
      <c r="R96" s="192"/>
      <c r="S96" s="192"/>
      <c r="T96" s="192"/>
      <c r="U96" s="191"/>
      <c r="V96" s="192"/>
      <c r="W96" s="217"/>
      <c r="X96" s="192"/>
      <c r="Y96" s="192"/>
      <c r="Z96" s="192"/>
      <c r="AA96" s="191"/>
      <c r="AB96" s="192"/>
      <c r="AC96" s="217"/>
      <c r="AD96" s="333"/>
      <c r="AE96" s="333"/>
      <c r="AF96" s="333"/>
      <c r="AG96" s="334"/>
      <c r="AH96" s="333"/>
      <c r="AI96" s="335"/>
      <c r="AJ96" s="192"/>
      <c r="AK96" s="192"/>
      <c r="AL96" s="192"/>
      <c r="AM96" s="191"/>
      <c r="AN96" s="192"/>
      <c r="AO96" s="217"/>
      <c r="AP96" s="192"/>
      <c r="AQ96" s="192"/>
      <c r="AR96" s="192"/>
      <c r="AS96" s="191"/>
      <c r="AT96" s="192"/>
      <c r="AU96" s="217"/>
      <c r="AV96" s="192"/>
      <c r="AW96" s="192"/>
      <c r="AX96" s="217"/>
    </row>
    <row r="97" spans="1:50" ht="10.8" thickBot="1" x14ac:dyDescent="0.35">
      <c r="A97" s="171" t="s">
        <v>137</v>
      </c>
      <c r="B97" s="172"/>
      <c r="C97" s="172"/>
      <c r="D97" s="327"/>
      <c r="E97" s="326"/>
      <c r="F97" s="326"/>
      <c r="G97" s="326"/>
      <c r="H97" s="326"/>
      <c r="I97" s="326"/>
      <c r="J97" s="326"/>
      <c r="K97" s="326"/>
      <c r="L97" s="326"/>
      <c r="M97" s="326"/>
      <c r="N97" s="328"/>
      <c r="O97" s="327"/>
      <c r="P97" s="326"/>
      <c r="Q97" s="328"/>
      <c r="R97" s="327"/>
      <c r="S97" s="326"/>
      <c r="T97" s="326"/>
      <c r="U97" s="327"/>
      <c r="V97" s="326"/>
      <c r="W97" s="328"/>
      <c r="X97" s="326"/>
      <c r="Y97" s="326"/>
      <c r="Z97" s="326"/>
      <c r="AA97" s="327"/>
      <c r="AB97" s="326"/>
      <c r="AC97" s="328"/>
      <c r="AD97" s="326"/>
      <c r="AE97" s="326"/>
      <c r="AF97" s="326"/>
      <c r="AG97" s="327"/>
      <c r="AH97" s="326"/>
      <c r="AI97" s="328"/>
      <c r="AJ97" s="326"/>
      <c r="AK97" s="326"/>
      <c r="AL97" s="326"/>
      <c r="AM97" s="327"/>
      <c r="AN97" s="326"/>
      <c r="AO97" s="328"/>
      <c r="AP97" s="326"/>
      <c r="AQ97" s="326"/>
      <c r="AR97" s="326"/>
      <c r="AS97" s="327"/>
      <c r="AT97" s="326"/>
      <c r="AU97" s="328"/>
      <c r="AV97" s="327"/>
      <c r="AW97" s="326"/>
      <c r="AX97" s="328"/>
    </row>
    <row r="98" spans="1:50" x14ac:dyDescent="0.3">
      <c r="A98" s="16" t="s">
        <v>294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</row>
  </sheetData>
  <mergeCells count="968">
    <mergeCell ref="AQ47:AT47"/>
    <mergeCell ref="AU47:AX47"/>
    <mergeCell ref="A48:X48"/>
    <mergeCell ref="A47:C47"/>
    <mergeCell ref="D47:N47"/>
    <mergeCell ref="O47:R47"/>
    <mergeCell ref="S47:V47"/>
    <mergeCell ref="W47:Z47"/>
    <mergeCell ref="AA47:AD47"/>
    <mergeCell ref="AE47:AH47"/>
    <mergeCell ref="AI47:AL47"/>
    <mergeCell ref="AM47:AP47"/>
    <mergeCell ref="AQ45:AT45"/>
    <mergeCell ref="AU45:AX45"/>
    <mergeCell ref="A46:C46"/>
    <mergeCell ref="D46:N46"/>
    <mergeCell ref="O46:R46"/>
    <mergeCell ref="S46:V46"/>
    <mergeCell ref="W46:Z46"/>
    <mergeCell ref="AA46:AD46"/>
    <mergeCell ref="AE46:AH46"/>
    <mergeCell ref="AI46:AL46"/>
    <mergeCell ref="AM46:AP46"/>
    <mergeCell ref="AQ46:AT46"/>
    <mergeCell ref="AU46:AX46"/>
    <mergeCell ref="A45:C45"/>
    <mergeCell ref="D45:N45"/>
    <mergeCell ref="O45:R45"/>
    <mergeCell ref="S45:V45"/>
    <mergeCell ref="W45:Z45"/>
    <mergeCell ref="AA45:AD45"/>
    <mergeCell ref="AE45:AH45"/>
    <mergeCell ref="AI45:AL45"/>
    <mergeCell ref="AM45:AP45"/>
    <mergeCell ref="AQ43:AT43"/>
    <mergeCell ref="AU43:AX43"/>
    <mergeCell ref="A44:C44"/>
    <mergeCell ref="D44:N44"/>
    <mergeCell ref="O44:R44"/>
    <mergeCell ref="S44:V44"/>
    <mergeCell ref="W44:Z44"/>
    <mergeCell ref="AA44:AD44"/>
    <mergeCell ref="AE44:AH44"/>
    <mergeCell ref="AI44:AL44"/>
    <mergeCell ref="AM44:AP44"/>
    <mergeCell ref="AQ44:AT44"/>
    <mergeCell ref="AU44:AX44"/>
    <mergeCell ref="A43:C43"/>
    <mergeCell ref="D43:N43"/>
    <mergeCell ref="O43:R43"/>
    <mergeCell ref="S43:V43"/>
    <mergeCell ref="W43:Z43"/>
    <mergeCell ref="AA43:AD43"/>
    <mergeCell ref="AE43:AH43"/>
    <mergeCell ref="AI43:AL43"/>
    <mergeCell ref="AM43:AP43"/>
    <mergeCell ref="AQ41:AT41"/>
    <mergeCell ref="AU41:AX41"/>
    <mergeCell ref="A42:C42"/>
    <mergeCell ref="D42:N42"/>
    <mergeCell ref="O42:R42"/>
    <mergeCell ref="S42:V42"/>
    <mergeCell ref="W42:Z42"/>
    <mergeCell ref="AA42:AD42"/>
    <mergeCell ref="AE42:AH42"/>
    <mergeCell ref="AI42:AL42"/>
    <mergeCell ref="AM42:AP42"/>
    <mergeCell ref="AQ42:AT42"/>
    <mergeCell ref="AU42:AX42"/>
    <mergeCell ref="D41:N41"/>
    <mergeCell ref="O41:R41"/>
    <mergeCell ref="S41:V41"/>
    <mergeCell ref="W41:Z41"/>
    <mergeCell ref="AA41:AD41"/>
    <mergeCell ref="AE41:AH41"/>
    <mergeCell ref="AI41:AL41"/>
    <mergeCell ref="AM41:AP41"/>
    <mergeCell ref="AQ39:AT39"/>
    <mergeCell ref="AU39:AX39"/>
    <mergeCell ref="D40:N40"/>
    <mergeCell ref="O40:R40"/>
    <mergeCell ref="S40:V40"/>
    <mergeCell ref="W40:Z40"/>
    <mergeCell ref="AA40:AD40"/>
    <mergeCell ref="AE40:AH40"/>
    <mergeCell ref="AI40:AL40"/>
    <mergeCell ref="AM40:AP40"/>
    <mergeCell ref="AQ40:AT40"/>
    <mergeCell ref="AU40:AX40"/>
    <mergeCell ref="D39:N39"/>
    <mergeCell ref="O39:R39"/>
    <mergeCell ref="S39:V39"/>
    <mergeCell ref="W39:Z39"/>
    <mergeCell ref="AA39:AD39"/>
    <mergeCell ref="AE39:AH39"/>
    <mergeCell ref="AI39:AL39"/>
    <mergeCell ref="AM39:AP39"/>
    <mergeCell ref="AQ37:AT37"/>
    <mergeCell ref="AU37:AX37"/>
    <mergeCell ref="D38:N38"/>
    <mergeCell ref="O38:R38"/>
    <mergeCell ref="S38:V38"/>
    <mergeCell ref="W38:Z38"/>
    <mergeCell ref="AA38:AD38"/>
    <mergeCell ref="AE38:AH38"/>
    <mergeCell ref="AI38:AL38"/>
    <mergeCell ref="AM38:AP38"/>
    <mergeCell ref="AQ38:AT38"/>
    <mergeCell ref="AU38:AX38"/>
    <mergeCell ref="D37:N37"/>
    <mergeCell ref="O37:R37"/>
    <mergeCell ref="S37:V37"/>
    <mergeCell ref="W37:Z37"/>
    <mergeCell ref="AA37:AD37"/>
    <mergeCell ref="AE37:AH37"/>
    <mergeCell ref="AI37:AL37"/>
    <mergeCell ref="AM37:AP37"/>
    <mergeCell ref="AQ35:AT35"/>
    <mergeCell ref="AU35:AX35"/>
    <mergeCell ref="D36:N36"/>
    <mergeCell ref="O36:R36"/>
    <mergeCell ref="S36:V36"/>
    <mergeCell ref="W36:Z36"/>
    <mergeCell ref="AA36:AD36"/>
    <mergeCell ref="AE36:AH36"/>
    <mergeCell ref="AI36:AL36"/>
    <mergeCell ref="AM36:AP36"/>
    <mergeCell ref="AQ36:AT36"/>
    <mergeCell ref="AU36:AX36"/>
    <mergeCell ref="D35:N35"/>
    <mergeCell ref="O35:R35"/>
    <mergeCell ref="S35:V35"/>
    <mergeCell ref="W35:Z35"/>
    <mergeCell ref="AA35:AD35"/>
    <mergeCell ref="AE35:AH35"/>
    <mergeCell ref="AI35:AL35"/>
    <mergeCell ref="AM35:AP35"/>
    <mergeCell ref="AQ33:AT33"/>
    <mergeCell ref="AU33:AX33"/>
    <mergeCell ref="D34:N34"/>
    <mergeCell ref="O34:R34"/>
    <mergeCell ref="S34:V34"/>
    <mergeCell ref="W34:Z34"/>
    <mergeCell ref="AA34:AD34"/>
    <mergeCell ref="AE34:AH34"/>
    <mergeCell ref="AI34:AL34"/>
    <mergeCell ref="AM34:AP34"/>
    <mergeCell ref="AQ34:AT34"/>
    <mergeCell ref="AU34:AX34"/>
    <mergeCell ref="D33:N33"/>
    <mergeCell ref="O33:R33"/>
    <mergeCell ref="S33:V33"/>
    <mergeCell ref="W33:Z33"/>
    <mergeCell ref="AA33:AD33"/>
    <mergeCell ref="AE33:AH33"/>
    <mergeCell ref="AI33:AL33"/>
    <mergeCell ref="AM33:AP33"/>
    <mergeCell ref="AQ31:AT31"/>
    <mergeCell ref="AU31:AX31"/>
    <mergeCell ref="D32:N32"/>
    <mergeCell ref="O32:R32"/>
    <mergeCell ref="S32:V32"/>
    <mergeCell ref="W32:Z32"/>
    <mergeCell ref="AA32:AD32"/>
    <mergeCell ref="AE32:AH32"/>
    <mergeCell ref="AI32:AL32"/>
    <mergeCell ref="AM32:AP32"/>
    <mergeCell ref="AQ32:AT32"/>
    <mergeCell ref="AU32:AX32"/>
    <mergeCell ref="D31:N31"/>
    <mergeCell ref="O31:R31"/>
    <mergeCell ref="S31:V31"/>
    <mergeCell ref="W31:Z31"/>
    <mergeCell ref="AA31:AD31"/>
    <mergeCell ref="AE31:AH31"/>
    <mergeCell ref="AI31:AL31"/>
    <mergeCell ref="AM31:AP31"/>
    <mergeCell ref="AQ29:AT29"/>
    <mergeCell ref="AU29:AX29"/>
    <mergeCell ref="D30:N30"/>
    <mergeCell ref="O30:R30"/>
    <mergeCell ref="S30:V30"/>
    <mergeCell ref="W30:Z30"/>
    <mergeCell ref="AA30:AD30"/>
    <mergeCell ref="AE30:AH30"/>
    <mergeCell ref="AI30:AL30"/>
    <mergeCell ref="AM30:AP30"/>
    <mergeCell ref="AQ30:AT30"/>
    <mergeCell ref="AU30:AX30"/>
    <mergeCell ref="D29:N29"/>
    <mergeCell ref="O29:R29"/>
    <mergeCell ref="S29:V29"/>
    <mergeCell ref="W29:Z29"/>
    <mergeCell ref="AA29:AD29"/>
    <mergeCell ref="AE29:AH29"/>
    <mergeCell ref="AI29:AL29"/>
    <mergeCell ref="AM29:AP29"/>
    <mergeCell ref="AQ27:AT27"/>
    <mergeCell ref="AU27:AX27"/>
    <mergeCell ref="D28:N28"/>
    <mergeCell ref="O28:R28"/>
    <mergeCell ref="S28:V28"/>
    <mergeCell ref="W28:Z28"/>
    <mergeCell ref="AA28:AD28"/>
    <mergeCell ref="AE28:AH28"/>
    <mergeCell ref="AI28:AL28"/>
    <mergeCell ref="AM28:AP28"/>
    <mergeCell ref="AQ28:AT28"/>
    <mergeCell ref="AU28:AX28"/>
    <mergeCell ref="D27:N27"/>
    <mergeCell ref="O27:R27"/>
    <mergeCell ref="S27:V27"/>
    <mergeCell ref="W27:Z27"/>
    <mergeCell ref="AA27:AD27"/>
    <mergeCell ref="AE27:AH27"/>
    <mergeCell ref="AI27:AL27"/>
    <mergeCell ref="AM27:AP27"/>
    <mergeCell ref="AQ25:AT25"/>
    <mergeCell ref="AU25:AX25"/>
    <mergeCell ref="D26:N26"/>
    <mergeCell ref="O26:R26"/>
    <mergeCell ref="S26:V26"/>
    <mergeCell ref="W26:Z26"/>
    <mergeCell ref="AA26:AD26"/>
    <mergeCell ref="AE26:AH26"/>
    <mergeCell ref="AI26:AL26"/>
    <mergeCell ref="AM26:AP26"/>
    <mergeCell ref="AQ26:AT26"/>
    <mergeCell ref="AU26:AX26"/>
    <mergeCell ref="D25:N25"/>
    <mergeCell ref="O25:R25"/>
    <mergeCell ref="S25:V25"/>
    <mergeCell ref="W25:Z25"/>
    <mergeCell ref="AA25:AD25"/>
    <mergeCell ref="AE25:AH25"/>
    <mergeCell ref="AI25:AL25"/>
    <mergeCell ref="AM25:AP25"/>
    <mergeCell ref="AQ23:AT23"/>
    <mergeCell ref="AU23:AX23"/>
    <mergeCell ref="D24:N24"/>
    <mergeCell ref="O24:R24"/>
    <mergeCell ref="S24:V24"/>
    <mergeCell ref="W24:Z24"/>
    <mergeCell ref="AA24:AD24"/>
    <mergeCell ref="AE24:AH24"/>
    <mergeCell ref="AI24:AL24"/>
    <mergeCell ref="AM24:AP24"/>
    <mergeCell ref="AQ24:AT24"/>
    <mergeCell ref="AU24:AX24"/>
    <mergeCell ref="D23:N23"/>
    <mergeCell ref="O23:R23"/>
    <mergeCell ref="S23:V23"/>
    <mergeCell ref="W23:Z23"/>
    <mergeCell ref="AA23:AD23"/>
    <mergeCell ref="AE23:AH23"/>
    <mergeCell ref="AI23:AL23"/>
    <mergeCell ref="AM23:AP23"/>
    <mergeCell ref="AQ21:AT21"/>
    <mergeCell ref="AU21:AX21"/>
    <mergeCell ref="D22:N22"/>
    <mergeCell ref="O22:R22"/>
    <mergeCell ref="S22:V22"/>
    <mergeCell ref="W22:Z22"/>
    <mergeCell ref="AA22:AD22"/>
    <mergeCell ref="AE22:AH22"/>
    <mergeCell ref="AI22:AL22"/>
    <mergeCell ref="AM22:AP22"/>
    <mergeCell ref="AQ22:AT22"/>
    <mergeCell ref="AU22:AX22"/>
    <mergeCell ref="D21:N21"/>
    <mergeCell ref="O21:R21"/>
    <mergeCell ref="S21:V21"/>
    <mergeCell ref="W21:Z21"/>
    <mergeCell ref="AA21:AD21"/>
    <mergeCell ref="AE21:AH21"/>
    <mergeCell ref="AI21:AL21"/>
    <mergeCell ref="AM21:AP21"/>
    <mergeCell ref="AQ19:AT19"/>
    <mergeCell ref="AU19:AX19"/>
    <mergeCell ref="D20:N20"/>
    <mergeCell ref="O20:R20"/>
    <mergeCell ref="S20:V20"/>
    <mergeCell ref="W20:Z20"/>
    <mergeCell ref="AA20:AD20"/>
    <mergeCell ref="AE20:AH20"/>
    <mergeCell ref="AI20:AL20"/>
    <mergeCell ref="AM20:AP20"/>
    <mergeCell ref="AQ20:AT20"/>
    <mergeCell ref="AU20:AX20"/>
    <mergeCell ref="D19:N19"/>
    <mergeCell ref="O19:R19"/>
    <mergeCell ref="S19:V19"/>
    <mergeCell ref="W19:Z19"/>
    <mergeCell ref="AA19:AD19"/>
    <mergeCell ref="AE19:AH19"/>
    <mergeCell ref="AI19:AL19"/>
    <mergeCell ref="AM19:AP19"/>
    <mergeCell ref="AQ17:AT17"/>
    <mergeCell ref="AU17:AX17"/>
    <mergeCell ref="D18:N18"/>
    <mergeCell ref="O18:R18"/>
    <mergeCell ref="S18:V18"/>
    <mergeCell ref="W18:Z18"/>
    <mergeCell ref="AA18:AD18"/>
    <mergeCell ref="AE18:AH18"/>
    <mergeCell ref="AI18:AL18"/>
    <mergeCell ref="AM18:AP18"/>
    <mergeCell ref="AQ18:AT18"/>
    <mergeCell ref="AU18:AX18"/>
    <mergeCell ref="D17:N17"/>
    <mergeCell ref="O17:R17"/>
    <mergeCell ref="S17:V17"/>
    <mergeCell ref="W17:Z17"/>
    <mergeCell ref="AA17:AD17"/>
    <mergeCell ref="AE17:AH17"/>
    <mergeCell ref="AI17:AL17"/>
    <mergeCell ref="AM17:AP17"/>
    <mergeCell ref="AQ15:AT15"/>
    <mergeCell ref="AU15:AX15"/>
    <mergeCell ref="D16:N16"/>
    <mergeCell ref="O16:R16"/>
    <mergeCell ref="S16:V16"/>
    <mergeCell ref="W16:Z16"/>
    <mergeCell ref="AA16:AD16"/>
    <mergeCell ref="AE16:AH16"/>
    <mergeCell ref="AI16:AL16"/>
    <mergeCell ref="AM16:AP16"/>
    <mergeCell ref="AQ16:AT16"/>
    <mergeCell ref="AU16:AX16"/>
    <mergeCell ref="D15:N15"/>
    <mergeCell ref="O15:R15"/>
    <mergeCell ref="S15:V15"/>
    <mergeCell ref="W15:Z15"/>
    <mergeCell ref="AA15:AD15"/>
    <mergeCell ref="AE15:AH15"/>
    <mergeCell ref="AI15:AL15"/>
    <mergeCell ref="AM15:AP15"/>
    <mergeCell ref="A13:C13"/>
    <mergeCell ref="D13:N13"/>
    <mergeCell ref="O13:R13"/>
    <mergeCell ref="S13:V13"/>
    <mergeCell ref="W13:Z13"/>
    <mergeCell ref="AA13:AD13"/>
    <mergeCell ref="AE13:AH13"/>
    <mergeCell ref="AI13:AL13"/>
    <mergeCell ref="AM13:AP13"/>
    <mergeCell ref="AQ13:AT13"/>
    <mergeCell ref="AU13:AX13"/>
    <mergeCell ref="D14:N14"/>
    <mergeCell ref="O14:R14"/>
    <mergeCell ref="S14:V14"/>
    <mergeCell ref="W14:Z14"/>
    <mergeCell ref="AA14:AD14"/>
    <mergeCell ref="AE14:AH14"/>
    <mergeCell ref="AI14:AL14"/>
    <mergeCell ref="AM14:AP14"/>
    <mergeCell ref="AQ14:AT14"/>
    <mergeCell ref="AU14:AX14"/>
    <mergeCell ref="AQ11:AT11"/>
    <mergeCell ref="AU11:AX11"/>
    <mergeCell ref="A12:C12"/>
    <mergeCell ref="D12:N12"/>
    <mergeCell ref="O12:R12"/>
    <mergeCell ref="S12:V12"/>
    <mergeCell ref="W12:Z12"/>
    <mergeCell ref="AA12:AD12"/>
    <mergeCell ref="AE12:AH12"/>
    <mergeCell ref="AI12:AL12"/>
    <mergeCell ref="AM12:AP12"/>
    <mergeCell ref="AQ12:AT12"/>
    <mergeCell ref="AU12:AX12"/>
    <mergeCell ref="A2:AX2"/>
    <mergeCell ref="D4:I4"/>
    <mergeCell ref="N4:R4"/>
    <mergeCell ref="S4:AI4"/>
    <mergeCell ref="E7:L7"/>
    <mergeCell ref="AM7:AN7"/>
    <mergeCell ref="A9:C11"/>
    <mergeCell ref="D9:N11"/>
    <mergeCell ref="O9:R10"/>
    <mergeCell ref="S9:V10"/>
    <mergeCell ref="W9:Z10"/>
    <mergeCell ref="AA9:AD10"/>
    <mergeCell ref="AE9:AH10"/>
    <mergeCell ref="AI9:AL10"/>
    <mergeCell ref="AM9:AP10"/>
    <mergeCell ref="AQ9:AT10"/>
    <mergeCell ref="AU9:AX10"/>
    <mergeCell ref="O11:R11"/>
    <mergeCell ref="S11:V11"/>
    <mergeCell ref="W11:Z11"/>
    <mergeCell ref="AA11:AD11"/>
    <mergeCell ref="AE11:AH11"/>
    <mergeCell ref="AI11:AL11"/>
    <mergeCell ref="AM11:AP11"/>
    <mergeCell ref="A40:C40"/>
    <mergeCell ref="A20:C20"/>
    <mergeCell ref="A21:C21"/>
    <mergeCell ref="A41:C41"/>
    <mergeCell ref="A19:C19"/>
    <mergeCell ref="A30:C30"/>
    <mergeCell ref="A31:C31"/>
    <mergeCell ref="A22:C22"/>
    <mergeCell ref="A23:C23"/>
    <mergeCell ref="A24:C24"/>
    <mergeCell ref="A26:C26"/>
    <mergeCell ref="A28:C28"/>
    <mergeCell ref="A29:C29"/>
    <mergeCell ref="A32:C32"/>
    <mergeCell ref="A33:C33"/>
    <mergeCell ref="A34:C34"/>
    <mergeCell ref="A35:C35"/>
    <mergeCell ref="A25:C25"/>
    <mergeCell ref="A27:C27"/>
    <mergeCell ref="A14:C14"/>
    <mergeCell ref="A15:C15"/>
    <mergeCell ref="A16:C16"/>
    <mergeCell ref="A17:C17"/>
    <mergeCell ref="A18:C18"/>
    <mergeCell ref="A36:C36"/>
    <mergeCell ref="A37:C37"/>
    <mergeCell ref="A38:C38"/>
    <mergeCell ref="A39:C39"/>
    <mergeCell ref="A1:AX1"/>
    <mergeCell ref="A49:AX49"/>
    <mergeCell ref="A50:AX50"/>
    <mergeCell ref="D52:I52"/>
    <mergeCell ref="N52:R52"/>
    <mergeCell ref="S52:AE52"/>
    <mergeCell ref="E55:L55"/>
    <mergeCell ref="AI55:AJ55"/>
    <mergeCell ref="A57:C61"/>
    <mergeCell ref="D57:N61"/>
    <mergeCell ref="O57:AR57"/>
    <mergeCell ref="AS57:AU60"/>
    <mergeCell ref="AV57:AX60"/>
    <mergeCell ref="O58:W59"/>
    <mergeCell ref="X58:AL58"/>
    <mergeCell ref="AM58:AR59"/>
    <mergeCell ref="X59:AC59"/>
    <mergeCell ref="AD59:AI59"/>
    <mergeCell ref="AJ59:AL60"/>
    <mergeCell ref="O60:Q60"/>
    <mergeCell ref="R60:T60"/>
    <mergeCell ref="U60:W60"/>
    <mergeCell ref="X60:Z60"/>
    <mergeCell ref="AA60:AC60"/>
    <mergeCell ref="AJ63:AL63"/>
    <mergeCell ref="AM63:AO63"/>
    <mergeCell ref="AP63:AR63"/>
    <mergeCell ref="AS63:AU63"/>
    <mergeCell ref="AD60:AF60"/>
    <mergeCell ref="AG60:AI60"/>
    <mergeCell ref="AM60:AO60"/>
    <mergeCell ref="AP60:AR60"/>
    <mergeCell ref="O61:Q61"/>
    <mergeCell ref="R61:T61"/>
    <mergeCell ref="U61:W61"/>
    <mergeCell ref="X61:Z61"/>
    <mergeCell ref="AA61:AC61"/>
    <mergeCell ref="AD61:AF61"/>
    <mergeCell ref="AG61:AI61"/>
    <mergeCell ref="AJ61:AL61"/>
    <mergeCell ref="AM61:AO61"/>
    <mergeCell ref="AP61:AR61"/>
    <mergeCell ref="AS61:AU61"/>
    <mergeCell ref="AV61:AX61"/>
    <mergeCell ref="A62:C62"/>
    <mergeCell ref="D62:N62"/>
    <mergeCell ref="O62:Q62"/>
    <mergeCell ref="R62:T62"/>
    <mergeCell ref="U62:W62"/>
    <mergeCell ref="X62:Z62"/>
    <mergeCell ref="AA62:AC62"/>
    <mergeCell ref="AD62:AF62"/>
    <mergeCell ref="AG62:AI62"/>
    <mergeCell ref="AJ62:AL62"/>
    <mergeCell ref="AM62:AO62"/>
    <mergeCell ref="AP62:AR62"/>
    <mergeCell ref="AS62:AU62"/>
    <mergeCell ref="AV62:AX62"/>
    <mergeCell ref="AV63:AX63"/>
    <mergeCell ref="A64:C64"/>
    <mergeCell ref="D64:N64"/>
    <mergeCell ref="O64:Q64"/>
    <mergeCell ref="R64:T64"/>
    <mergeCell ref="U64:W64"/>
    <mergeCell ref="X64:Z64"/>
    <mergeCell ref="AA64:AC64"/>
    <mergeCell ref="AD64:AF64"/>
    <mergeCell ref="AG64:AI64"/>
    <mergeCell ref="AJ64:AL64"/>
    <mergeCell ref="AM64:AO64"/>
    <mergeCell ref="AP64:AR64"/>
    <mergeCell ref="AS64:AU64"/>
    <mergeCell ref="AV64:AX64"/>
    <mergeCell ref="A63:C63"/>
    <mergeCell ref="D63:N63"/>
    <mergeCell ref="O63:Q63"/>
    <mergeCell ref="R63:T63"/>
    <mergeCell ref="U63:W63"/>
    <mergeCell ref="X63:Z63"/>
    <mergeCell ref="AA63:AC63"/>
    <mergeCell ref="AD63:AF63"/>
    <mergeCell ref="AG63:AI63"/>
    <mergeCell ref="A65:C65"/>
    <mergeCell ref="D65:N65"/>
    <mergeCell ref="O65:Q65"/>
    <mergeCell ref="R65:T65"/>
    <mergeCell ref="U65:W65"/>
    <mergeCell ref="X65:Z65"/>
    <mergeCell ref="AA65:AC65"/>
    <mergeCell ref="AD65:AF65"/>
    <mergeCell ref="AG65:AI65"/>
    <mergeCell ref="AM67:AO67"/>
    <mergeCell ref="AP67:AR67"/>
    <mergeCell ref="AS67:AU67"/>
    <mergeCell ref="AV67:AX67"/>
    <mergeCell ref="A66:C66"/>
    <mergeCell ref="D66:N66"/>
    <mergeCell ref="O66:Q66"/>
    <mergeCell ref="R66:T66"/>
    <mergeCell ref="U66:W66"/>
    <mergeCell ref="X66:Z66"/>
    <mergeCell ref="AA66:AC66"/>
    <mergeCell ref="AD66:AF66"/>
    <mergeCell ref="AG66:AI66"/>
    <mergeCell ref="AJ65:AL65"/>
    <mergeCell ref="AM65:AO65"/>
    <mergeCell ref="AP65:AR65"/>
    <mergeCell ref="AS65:AU65"/>
    <mergeCell ref="AV65:AX65"/>
    <mergeCell ref="AJ66:AL66"/>
    <mergeCell ref="AM66:AO66"/>
    <mergeCell ref="AP66:AR66"/>
    <mergeCell ref="AS66:AU66"/>
    <mergeCell ref="AV66:AX66"/>
    <mergeCell ref="AJ68:AL68"/>
    <mergeCell ref="AM68:AO68"/>
    <mergeCell ref="AP68:AR68"/>
    <mergeCell ref="AS68:AU68"/>
    <mergeCell ref="AV68:AX68"/>
    <mergeCell ref="A67:C67"/>
    <mergeCell ref="D67:N67"/>
    <mergeCell ref="O67:Q67"/>
    <mergeCell ref="R67:T67"/>
    <mergeCell ref="U67:W67"/>
    <mergeCell ref="A68:C68"/>
    <mergeCell ref="D68:N68"/>
    <mergeCell ref="O68:Q68"/>
    <mergeCell ref="R68:T68"/>
    <mergeCell ref="U68:W68"/>
    <mergeCell ref="X68:Z68"/>
    <mergeCell ref="AA68:AC68"/>
    <mergeCell ref="AD68:AF68"/>
    <mergeCell ref="AG68:AI68"/>
    <mergeCell ref="X67:Z67"/>
    <mergeCell ref="AA67:AC67"/>
    <mergeCell ref="AD67:AF67"/>
    <mergeCell ref="AG67:AI67"/>
    <mergeCell ref="AJ67:AL67"/>
    <mergeCell ref="A69:C69"/>
    <mergeCell ref="D69:N69"/>
    <mergeCell ref="O69:Q69"/>
    <mergeCell ref="R69:T69"/>
    <mergeCell ref="U69:W69"/>
    <mergeCell ref="X69:Z69"/>
    <mergeCell ref="AA69:AC69"/>
    <mergeCell ref="AD69:AF69"/>
    <mergeCell ref="AG69:AI69"/>
    <mergeCell ref="AM71:AO71"/>
    <mergeCell ref="AP71:AR71"/>
    <mergeCell ref="AS71:AU71"/>
    <mergeCell ref="AV71:AX71"/>
    <mergeCell ref="A70:C70"/>
    <mergeCell ref="D70:N70"/>
    <mergeCell ref="O70:Q70"/>
    <mergeCell ref="R70:T70"/>
    <mergeCell ref="U70:W70"/>
    <mergeCell ref="X70:Z70"/>
    <mergeCell ref="AA70:AC70"/>
    <mergeCell ref="AD70:AF70"/>
    <mergeCell ref="AG70:AI70"/>
    <mergeCell ref="AJ69:AL69"/>
    <mergeCell ref="AM69:AO69"/>
    <mergeCell ref="AP69:AR69"/>
    <mergeCell ref="AS69:AU69"/>
    <mergeCell ref="AV69:AX69"/>
    <mergeCell ref="AJ70:AL70"/>
    <mergeCell ref="AM70:AO70"/>
    <mergeCell ref="AP70:AR70"/>
    <mergeCell ref="AS70:AU70"/>
    <mergeCell ref="AV70:AX70"/>
    <mergeCell ref="AJ72:AL72"/>
    <mergeCell ref="AM72:AO72"/>
    <mergeCell ref="AP72:AR72"/>
    <mergeCell ref="AS72:AU72"/>
    <mergeCell ref="AV72:AX72"/>
    <mergeCell ref="A71:C71"/>
    <mergeCell ref="D71:N71"/>
    <mergeCell ref="O71:Q71"/>
    <mergeCell ref="R71:T71"/>
    <mergeCell ref="U71:W71"/>
    <mergeCell ref="A72:C72"/>
    <mergeCell ref="D72:N72"/>
    <mergeCell ref="O72:Q72"/>
    <mergeCell ref="R72:T72"/>
    <mergeCell ref="U72:W72"/>
    <mergeCell ref="X72:Z72"/>
    <mergeCell ref="AA72:AC72"/>
    <mergeCell ref="AD72:AF72"/>
    <mergeCell ref="AG72:AI72"/>
    <mergeCell ref="X71:Z71"/>
    <mergeCell ref="AA71:AC71"/>
    <mergeCell ref="AD71:AF71"/>
    <mergeCell ref="AG71:AI71"/>
    <mergeCell ref="AJ71:AL71"/>
    <mergeCell ref="A73:C73"/>
    <mergeCell ref="D73:N73"/>
    <mergeCell ref="O73:Q73"/>
    <mergeCell ref="R73:T73"/>
    <mergeCell ref="U73:W73"/>
    <mergeCell ref="X73:Z73"/>
    <mergeCell ref="AA73:AC73"/>
    <mergeCell ref="AD73:AF73"/>
    <mergeCell ref="AG73:AI73"/>
    <mergeCell ref="AM75:AO75"/>
    <mergeCell ref="AP75:AR75"/>
    <mergeCell ref="AS75:AU75"/>
    <mergeCell ref="AV75:AX75"/>
    <mergeCell ref="A74:C74"/>
    <mergeCell ref="D74:N74"/>
    <mergeCell ref="O74:Q74"/>
    <mergeCell ref="R74:T74"/>
    <mergeCell ref="U74:W74"/>
    <mergeCell ref="X74:Z74"/>
    <mergeCell ref="AA74:AC74"/>
    <mergeCell ref="AD74:AF74"/>
    <mergeCell ref="AG74:AI74"/>
    <mergeCell ref="AJ73:AL73"/>
    <mergeCell ref="AM73:AO73"/>
    <mergeCell ref="AP73:AR73"/>
    <mergeCell ref="AS73:AU73"/>
    <mergeCell ref="AV73:AX73"/>
    <mergeCell ref="AJ74:AL74"/>
    <mergeCell ref="AM74:AO74"/>
    <mergeCell ref="AP74:AR74"/>
    <mergeCell ref="AS74:AU74"/>
    <mergeCell ref="AV74:AX74"/>
    <mergeCell ref="AJ76:AL76"/>
    <mergeCell ref="AM76:AO76"/>
    <mergeCell ref="AP76:AR76"/>
    <mergeCell ref="AS76:AU76"/>
    <mergeCell ref="AV76:AX76"/>
    <mergeCell ref="A75:C75"/>
    <mergeCell ref="D75:N75"/>
    <mergeCell ref="O75:Q75"/>
    <mergeCell ref="R75:T75"/>
    <mergeCell ref="U75:W75"/>
    <mergeCell ref="A76:C76"/>
    <mergeCell ref="D76:N76"/>
    <mergeCell ref="O76:Q76"/>
    <mergeCell ref="R76:T76"/>
    <mergeCell ref="U76:W76"/>
    <mergeCell ref="X76:Z76"/>
    <mergeCell ref="AA76:AC76"/>
    <mergeCell ref="AD76:AF76"/>
    <mergeCell ref="AG76:AI76"/>
    <mergeCell ref="X75:Z75"/>
    <mergeCell ref="AA75:AC75"/>
    <mergeCell ref="AD75:AF75"/>
    <mergeCell ref="AG75:AI75"/>
    <mergeCell ref="AJ75:AL75"/>
    <mergeCell ref="A77:C77"/>
    <mergeCell ref="D77:N77"/>
    <mergeCell ref="O77:Q77"/>
    <mergeCell ref="R77:T77"/>
    <mergeCell ref="U77:W77"/>
    <mergeCell ref="X77:Z77"/>
    <mergeCell ref="AA77:AC77"/>
    <mergeCell ref="AD77:AF77"/>
    <mergeCell ref="AG77:AI77"/>
    <mergeCell ref="AM79:AO79"/>
    <mergeCell ref="AP79:AR79"/>
    <mergeCell ref="AS79:AU79"/>
    <mergeCell ref="AV79:AX79"/>
    <mergeCell ref="A78:C78"/>
    <mergeCell ref="D78:N78"/>
    <mergeCell ref="O78:Q78"/>
    <mergeCell ref="R78:T78"/>
    <mergeCell ref="U78:W78"/>
    <mergeCell ref="X78:Z78"/>
    <mergeCell ref="AA78:AC78"/>
    <mergeCell ref="AD78:AF78"/>
    <mergeCell ref="AG78:AI78"/>
    <mergeCell ref="AJ77:AL77"/>
    <mergeCell ref="AM77:AO77"/>
    <mergeCell ref="AP77:AR77"/>
    <mergeCell ref="AS77:AU77"/>
    <mergeCell ref="AV77:AX77"/>
    <mergeCell ref="AJ78:AL78"/>
    <mergeCell ref="AM78:AO78"/>
    <mergeCell ref="AP78:AR78"/>
    <mergeCell ref="AS78:AU78"/>
    <mergeCell ref="AV78:AX78"/>
    <mergeCell ref="AJ80:AL80"/>
    <mergeCell ref="AM80:AO80"/>
    <mergeCell ref="AP80:AR80"/>
    <mergeCell ref="AS80:AU80"/>
    <mergeCell ref="AV80:AX80"/>
    <mergeCell ref="A79:C79"/>
    <mergeCell ref="D79:N79"/>
    <mergeCell ref="O79:Q79"/>
    <mergeCell ref="R79:T79"/>
    <mergeCell ref="U79:W79"/>
    <mergeCell ref="A80:C80"/>
    <mergeCell ref="D80:N80"/>
    <mergeCell ref="O80:Q80"/>
    <mergeCell ref="R80:T80"/>
    <mergeCell ref="U80:W80"/>
    <mergeCell ref="X80:Z80"/>
    <mergeCell ref="AA80:AC80"/>
    <mergeCell ref="AD80:AF80"/>
    <mergeCell ref="AG80:AI80"/>
    <mergeCell ref="X79:Z79"/>
    <mergeCell ref="AA79:AC79"/>
    <mergeCell ref="AD79:AF79"/>
    <mergeCell ref="AG79:AI79"/>
    <mergeCell ref="AJ79:AL79"/>
    <mergeCell ref="A81:C81"/>
    <mergeCell ref="D81:N81"/>
    <mergeCell ref="O81:Q81"/>
    <mergeCell ref="R81:T81"/>
    <mergeCell ref="U81:W81"/>
    <mergeCell ref="X81:Z81"/>
    <mergeCell ref="AA81:AC81"/>
    <mergeCell ref="AD81:AF81"/>
    <mergeCell ref="AG81:AI81"/>
    <mergeCell ref="AM83:AO83"/>
    <mergeCell ref="AP83:AR83"/>
    <mergeCell ref="AS83:AU83"/>
    <mergeCell ref="AV83:AX83"/>
    <mergeCell ref="A82:C82"/>
    <mergeCell ref="D82:N82"/>
    <mergeCell ref="O82:Q82"/>
    <mergeCell ref="R82:T82"/>
    <mergeCell ref="U82:W82"/>
    <mergeCell ref="X82:Z82"/>
    <mergeCell ref="AA82:AC82"/>
    <mergeCell ref="AD82:AF82"/>
    <mergeCell ref="AG82:AI82"/>
    <mergeCell ref="AJ81:AL81"/>
    <mergeCell ref="AM81:AO81"/>
    <mergeCell ref="AP81:AR81"/>
    <mergeCell ref="AS81:AU81"/>
    <mergeCell ref="AV81:AX81"/>
    <mergeCell ref="AJ82:AL82"/>
    <mergeCell ref="AM82:AO82"/>
    <mergeCell ref="AP82:AR82"/>
    <mergeCell ref="AS82:AU82"/>
    <mergeCell ref="AV82:AX82"/>
    <mergeCell ref="AJ84:AL84"/>
    <mergeCell ref="AM84:AO84"/>
    <mergeCell ref="AP84:AR84"/>
    <mergeCell ref="AS84:AU84"/>
    <mergeCell ref="AV84:AX84"/>
    <mergeCell ref="A83:C83"/>
    <mergeCell ref="D83:N83"/>
    <mergeCell ref="O83:Q83"/>
    <mergeCell ref="R83:T83"/>
    <mergeCell ref="U83:W83"/>
    <mergeCell ref="A84:C84"/>
    <mergeCell ref="D84:N84"/>
    <mergeCell ref="O84:Q84"/>
    <mergeCell ref="R84:T84"/>
    <mergeCell ref="U84:W84"/>
    <mergeCell ref="X84:Z84"/>
    <mergeCell ref="AA84:AC84"/>
    <mergeCell ref="AD84:AF84"/>
    <mergeCell ref="AG84:AI84"/>
    <mergeCell ref="X83:Z83"/>
    <mergeCell ref="AA83:AC83"/>
    <mergeCell ref="AD83:AF83"/>
    <mergeCell ref="AG83:AI83"/>
    <mergeCell ref="AJ83:AL83"/>
    <mergeCell ref="A85:C85"/>
    <mergeCell ref="D85:N85"/>
    <mergeCell ref="O85:Q85"/>
    <mergeCell ref="R85:T85"/>
    <mergeCell ref="U85:W85"/>
    <mergeCell ref="X85:Z85"/>
    <mergeCell ref="AA85:AC85"/>
    <mergeCell ref="AD85:AF85"/>
    <mergeCell ref="AG85:AI85"/>
    <mergeCell ref="AM87:AO87"/>
    <mergeCell ref="AP87:AR87"/>
    <mergeCell ref="AS87:AU87"/>
    <mergeCell ref="AV87:AX87"/>
    <mergeCell ref="A86:C86"/>
    <mergeCell ref="D86:N86"/>
    <mergeCell ref="O86:Q86"/>
    <mergeCell ref="R86:T86"/>
    <mergeCell ref="U86:W86"/>
    <mergeCell ref="X86:Z86"/>
    <mergeCell ref="AA86:AC86"/>
    <mergeCell ref="AD86:AF86"/>
    <mergeCell ref="AG86:AI86"/>
    <mergeCell ref="AJ85:AL85"/>
    <mergeCell ref="AM85:AO85"/>
    <mergeCell ref="AP85:AR85"/>
    <mergeCell ref="AS85:AU85"/>
    <mergeCell ref="AV85:AX85"/>
    <mergeCell ref="AJ86:AL86"/>
    <mergeCell ref="AM86:AO86"/>
    <mergeCell ref="AP86:AR86"/>
    <mergeCell ref="AS86:AU86"/>
    <mergeCell ref="AV86:AX86"/>
    <mergeCell ref="AJ88:AL88"/>
    <mergeCell ref="AM88:AO88"/>
    <mergeCell ref="AP88:AR88"/>
    <mergeCell ref="AS88:AU88"/>
    <mergeCell ref="AV88:AX88"/>
    <mergeCell ref="A87:C87"/>
    <mergeCell ref="D87:N87"/>
    <mergeCell ref="O87:Q87"/>
    <mergeCell ref="R87:T87"/>
    <mergeCell ref="U87:W87"/>
    <mergeCell ref="A88:C88"/>
    <mergeCell ref="D88:N88"/>
    <mergeCell ref="O88:Q88"/>
    <mergeCell ref="R88:T88"/>
    <mergeCell ref="U88:W88"/>
    <mergeCell ref="X88:Z88"/>
    <mergeCell ref="AA88:AC88"/>
    <mergeCell ref="AD88:AF88"/>
    <mergeCell ref="AG88:AI88"/>
    <mergeCell ref="X87:Z87"/>
    <mergeCell ref="AA87:AC87"/>
    <mergeCell ref="AD87:AF87"/>
    <mergeCell ref="AG87:AI87"/>
    <mergeCell ref="AJ87:AL87"/>
    <mergeCell ref="A89:C89"/>
    <mergeCell ref="D89:N89"/>
    <mergeCell ref="O89:Q89"/>
    <mergeCell ref="R89:T89"/>
    <mergeCell ref="U89:W89"/>
    <mergeCell ref="X89:Z89"/>
    <mergeCell ref="AA89:AC89"/>
    <mergeCell ref="AD89:AF89"/>
    <mergeCell ref="AG89:AI89"/>
    <mergeCell ref="AM91:AO91"/>
    <mergeCell ref="AP91:AR91"/>
    <mergeCell ref="AS91:AU91"/>
    <mergeCell ref="AV91:AX91"/>
    <mergeCell ref="A90:C90"/>
    <mergeCell ref="D90:N90"/>
    <mergeCell ref="O90:Q90"/>
    <mergeCell ref="R90:T90"/>
    <mergeCell ref="U90:W90"/>
    <mergeCell ref="X90:Z90"/>
    <mergeCell ref="AA90:AC90"/>
    <mergeCell ref="AD90:AF90"/>
    <mergeCell ref="AG90:AI90"/>
    <mergeCell ref="AJ89:AL89"/>
    <mergeCell ref="AM89:AO89"/>
    <mergeCell ref="AP89:AR89"/>
    <mergeCell ref="AS89:AU89"/>
    <mergeCell ref="AV89:AX89"/>
    <mergeCell ref="AJ90:AL90"/>
    <mergeCell ref="AM90:AO90"/>
    <mergeCell ref="AP90:AR90"/>
    <mergeCell ref="AS90:AU90"/>
    <mergeCell ref="AV90:AX90"/>
    <mergeCell ref="AJ92:AL92"/>
    <mergeCell ref="AM92:AO92"/>
    <mergeCell ref="AP92:AR92"/>
    <mergeCell ref="AS92:AU92"/>
    <mergeCell ref="AV92:AX92"/>
    <mergeCell ref="A91:C91"/>
    <mergeCell ref="D91:N91"/>
    <mergeCell ref="O91:Q91"/>
    <mergeCell ref="R91:T91"/>
    <mergeCell ref="U91:W91"/>
    <mergeCell ref="A92:C92"/>
    <mergeCell ref="D92:N92"/>
    <mergeCell ref="O92:Q92"/>
    <mergeCell ref="R92:T92"/>
    <mergeCell ref="U92:W92"/>
    <mergeCell ref="X92:Z92"/>
    <mergeCell ref="AA92:AC92"/>
    <mergeCell ref="AD92:AF92"/>
    <mergeCell ref="AG92:AI92"/>
    <mergeCell ref="X91:Z91"/>
    <mergeCell ref="AA91:AC91"/>
    <mergeCell ref="AD91:AF91"/>
    <mergeCell ref="AG91:AI91"/>
    <mergeCell ref="AJ91:AL91"/>
    <mergeCell ref="A93:C93"/>
    <mergeCell ref="D93:N93"/>
    <mergeCell ref="O93:Q93"/>
    <mergeCell ref="R93:T93"/>
    <mergeCell ref="U93:W93"/>
    <mergeCell ref="X93:Z93"/>
    <mergeCell ref="AA93:AC93"/>
    <mergeCell ref="AD93:AF93"/>
    <mergeCell ref="AG93:AI93"/>
    <mergeCell ref="AM95:AO95"/>
    <mergeCell ref="AP95:AR95"/>
    <mergeCell ref="AS95:AU95"/>
    <mergeCell ref="AV95:AX95"/>
    <mergeCell ref="A94:C94"/>
    <mergeCell ref="D94:N94"/>
    <mergeCell ref="O94:Q94"/>
    <mergeCell ref="R94:T94"/>
    <mergeCell ref="U94:W94"/>
    <mergeCell ref="X94:Z94"/>
    <mergeCell ref="AA94:AC94"/>
    <mergeCell ref="AD94:AF94"/>
    <mergeCell ref="AG94:AI94"/>
    <mergeCell ref="AJ93:AL93"/>
    <mergeCell ref="AM93:AO93"/>
    <mergeCell ref="AP93:AR93"/>
    <mergeCell ref="AS93:AU93"/>
    <mergeCell ref="AV93:AX93"/>
    <mergeCell ref="AJ94:AL94"/>
    <mergeCell ref="AM94:AO94"/>
    <mergeCell ref="AP94:AR94"/>
    <mergeCell ref="AS94:AU94"/>
    <mergeCell ref="AV94:AX94"/>
    <mergeCell ref="AJ96:AL96"/>
    <mergeCell ref="AM96:AO96"/>
    <mergeCell ref="AP96:AR96"/>
    <mergeCell ref="AS96:AU96"/>
    <mergeCell ref="AV96:AX96"/>
    <mergeCell ref="A95:C95"/>
    <mergeCell ref="D95:N95"/>
    <mergeCell ref="O95:Q95"/>
    <mergeCell ref="R95:T95"/>
    <mergeCell ref="U95:W95"/>
    <mergeCell ref="A96:C96"/>
    <mergeCell ref="D96:N96"/>
    <mergeCell ref="O96:Q96"/>
    <mergeCell ref="R96:T96"/>
    <mergeCell ref="U96:W96"/>
    <mergeCell ref="X96:Z96"/>
    <mergeCell ref="AA96:AC96"/>
    <mergeCell ref="AD96:AF96"/>
    <mergeCell ref="AG96:AI96"/>
    <mergeCell ref="X95:Z95"/>
    <mergeCell ref="AA95:AC95"/>
    <mergeCell ref="AD95:AF95"/>
    <mergeCell ref="AG95:AI95"/>
    <mergeCell ref="AJ95:AL95"/>
    <mergeCell ref="AJ97:AL97"/>
    <mergeCell ref="AM97:AO97"/>
    <mergeCell ref="AP97:AR97"/>
    <mergeCell ref="AS97:AU97"/>
    <mergeCell ref="AV97:AX97"/>
    <mergeCell ref="AA98:AK98"/>
    <mergeCell ref="A97:C97"/>
    <mergeCell ref="D97:N97"/>
    <mergeCell ref="O97:Q97"/>
    <mergeCell ref="R97:T97"/>
    <mergeCell ref="U97:W97"/>
    <mergeCell ref="X97:Z97"/>
    <mergeCell ref="AA97:AC97"/>
    <mergeCell ref="AD97:AF97"/>
    <mergeCell ref="AG97:AI97"/>
  </mergeCells>
  <pageMargins left="0.86614173228346458" right="0.19685039370078741" top="0.15748031496062992" bottom="0.11811023622047245" header="3.937007874015748E-2" footer="3.937007874015748E-2"/>
  <pageSetup paperSize="9" scale="75" orientation="landscape" horizontalDpi="300" verticalDpi="300" r:id="rId1"/>
  <rowBreaks count="1" manualBreakCount="1">
    <brk id="48" max="4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AX47"/>
  <sheetViews>
    <sheetView showGridLines="0" view="pageBreakPreview" topLeftCell="A8" zoomScale="118" zoomScaleNormal="100" zoomScaleSheetLayoutView="118" workbookViewId="0">
      <selection activeCell="A31" sqref="A31:C35"/>
    </sheetView>
  </sheetViews>
  <sheetFormatPr baseColWidth="10" defaultColWidth="3.44140625" defaultRowHeight="9.6" x14ac:dyDescent="0.3"/>
  <cols>
    <col min="1" max="16384" width="3.44140625" style="6"/>
  </cols>
  <sheetData>
    <row r="1" spans="1:50" ht="14.25" customHeight="1" x14ac:dyDescent="0.3">
      <c r="A1" s="214" t="s">
        <v>360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6"/>
    </row>
    <row r="2" spans="1:50" ht="14.25" customHeight="1" thickBot="1" x14ac:dyDescent="0.35">
      <c r="A2" s="120" t="s">
        <v>584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</row>
    <row r="3" spans="1:50" ht="14.25" customHeight="1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</row>
    <row r="4" spans="1:50" ht="14.25" customHeight="1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25"/>
      <c r="M4" s="25"/>
      <c r="N4" s="158" t="s">
        <v>480</v>
      </c>
      <c r="O4" s="158"/>
      <c r="P4" s="158"/>
      <c r="Q4" s="158"/>
      <c r="R4" s="158"/>
      <c r="S4" s="155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7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ht="14.25" customHeight="1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ht="10.199999999999999" x14ac:dyDescent="0.2">
      <c r="A6" s="24"/>
      <c r="B6" s="25"/>
      <c r="C6" s="25"/>
      <c r="D6" s="25"/>
      <c r="E6" s="27" t="s">
        <v>128</v>
      </c>
      <c r="F6" s="27" t="s">
        <v>128</v>
      </c>
      <c r="G6" s="27" t="s">
        <v>128</v>
      </c>
      <c r="H6" s="27" t="s">
        <v>128</v>
      </c>
      <c r="I6" s="27" t="s">
        <v>127</v>
      </c>
      <c r="J6" s="27" t="s">
        <v>127</v>
      </c>
      <c r="K6" s="27" t="s">
        <v>126</v>
      </c>
      <c r="L6" s="27" t="s">
        <v>126</v>
      </c>
      <c r="M6" s="25"/>
      <c r="N6" s="25"/>
      <c r="O6" s="25"/>
      <c r="P6" s="25"/>
      <c r="Q6" s="27"/>
      <c r="R6" s="27"/>
      <c r="S6" s="27"/>
      <c r="T6" s="27"/>
      <c r="U6" s="27"/>
      <c r="V6" s="25"/>
      <c r="W6" s="27"/>
      <c r="X6" s="25"/>
      <c r="Y6" s="25"/>
      <c r="Z6" s="27" t="s">
        <v>255</v>
      </c>
      <c r="AA6" s="27" t="s">
        <v>126</v>
      </c>
      <c r="AB6" s="27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7">
        <v>1</v>
      </c>
      <c r="AN6" s="27">
        <v>2</v>
      </c>
      <c r="AO6" s="25"/>
      <c r="AP6" s="25"/>
      <c r="AQ6" s="25"/>
      <c r="AR6" s="25"/>
      <c r="AS6" s="27"/>
      <c r="AT6" s="25"/>
      <c r="AU6" s="25"/>
      <c r="AV6" s="25"/>
      <c r="AW6" s="27"/>
      <c r="AX6" s="25"/>
    </row>
    <row r="7" spans="1:50" ht="10.199999999999999" x14ac:dyDescent="0.2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9"/>
      <c r="N7" s="25"/>
      <c r="O7" s="25"/>
      <c r="P7" s="25"/>
      <c r="Q7" s="25"/>
      <c r="R7" s="25"/>
      <c r="S7" s="33" t="s">
        <v>130</v>
      </c>
      <c r="T7" s="33"/>
      <c r="U7" s="25"/>
      <c r="V7" s="25"/>
      <c r="W7" s="25" t="s">
        <v>244</v>
      </c>
      <c r="X7" s="25"/>
      <c r="Y7" s="25"/>
      <c r="Z7" s="25"/>
      <c r="AA7" s="19" t="s">
        <v>245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159" t="s">
        <v>131</v>
      </c>
      <c r="AN7" s="159"/>
      <c r="AO7" s="25"/>
      <c r="AP7" s="25"/>
      <c r="AQ7" s="25"/>
      <c r="AR7" s="25"/>
      <c r="AS7" s="19" t="s">
        <v>246</v>
      </c>
      <c r="AT7" s="25"/>
      <c r="AU7" s="25"/>
      <c r="AV7" s="25"/>
      <c r="AW7" s="19" t="s">
        <v>263</v>
      </c>
      <c r="AX7" s="25"/>
    </row>
    <row r="8" spans="1:50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</row>
    <row r="9" spans="1:50" x14ac:dyDescent="0.3">
      <c r="A9" s="354" t="s">
        <v>3</v>
      </c>
      <c r="B9" s="355"/>
      <c r="C9" s="356"/>
      <c r="D9" s="363" t="s">
        <v>298</v>
      </c>
      <c r="E9" s="364"/>
      <c r="F9" s="364"/>
      <c r="G9" s="364"/>
      <c r="H9" s="364"/>
      <c r="I9" s="364"/>
      <c r="J9" s="364"/>
      <c r="K9" s="364"/>
      <c r="L9" s="364"/>
      <c r="M9" s="364"/>
      <c r="N9" s="365"/>
      <c r="O9" s="373" t="s">
        <v>304</v>
      </c>
      <c r="P9" s="373"/>
      <c r="Q9" s="373"/>
      <c r="R9" s="374"/>
      <c r="S9" s="372" t="s">
        <v>305</v>
      </c>
      <c r="T9" s="373"/>
      <c r="U9" s="373"/>
      <c r="V9" s="374"/>
      <c r="W9" s="372" t="s">
        <v>306</v>
      </c>
      <c r="X9" s="373"/>
      <c r="Y9" s="373"/>
      <c r="Z9" s="374"/>
      <c r="AA9" s="372" t="s">
        <v>310</v>
      </c>
      <c r="AB9" s="373"/>
      <c r="AC9" s="373"/>
      <c r="AD9" s="374"/>
      <c r="AE9" s="372" t="s">
        <v>308</v>
      </c>
      <c r="AF9" s="373"/>
      <c r="AG9" s="373"/>
      <c r="AH9" s="374"/>
      <c r="AI9" s="372" t="s">
        <v>350</v>
      </c>
      <c r="AJ9" s="373"/>
      <c r="AK9" s="373"/>
      <c r="AL9" s="374"/>
      <c r="AM9" s="372" t="s">
        <v>307</v>
      </c>
      <c r="AN9" s="373"/>
      <c r="AO9" s="373"/>
      <c r="AP9" s="374"/>
      <c r="AQ9" s="372" t="s">
        <v>352</v>
      </c>
      <c r="AR9" s="373"/>
      <c r="AS9" s="373"/>
      <c r="AT9" s="374"/>
      <c r="AU9" s="372" t="s">
        <v>1</v>
      </c>
      <c r="AV9" s="373"/>
      <c r="AW9" s="373"/>
      <c r="AX9" s="374"/>
    </row>
    <row r="10" spans="1:50" ht="33" customHeight="1" thickBot="1" x14ac:dyDescent="0.35">
      <c r="A10" s="357"/>
      <c r="B10" s="358"/>
      <c r="C10" s="359"/>
      <c r="D10" s="366"/>
      <c r="E10" s="367"/>
      <c r="F10" s="367"/>
      <c r="G10" s="367"/>
      <c r="H10" s="367"/>
      <c r="I10" s="367"/>
      <c r="J10" s="367"/>
      <c r="K10" s="367"/>
      <c r="L10" s="367"/>
      <c r="M10" s="367"/>
      <c r="N10" s="368"/>
      <c r="O10" s="379"/>
      <c r="P10" s="379"/>
      <c r="Q10" s="379"/>
      <c r="R10" s="380"/>
      <c r="S10" s="378"/>
      <c r="T10" s="379"/>
      <c r="U10" s="379"/>
      <c r="V10" s="380"/>
      <c r="W10" s="378"/>
      <c r="X10" s="379"/>
      <c r="Y10" s="379"/>
      <c r="Z10" s="380"/>
      <c r="AA10" s="378"/>
      <c r="AB10" s="379"/>
      <c r="AC10" s="379"/>
      <c r="AD10" s="380"/>
      <c r="AE10" s="378"/>
      <c r="AF10" s="379"/>
      <c r="AG10" s="379"/>
      <c r="AH10" s="380"/>
      <c r="AI10" s="378"/>
      <c r="AJ10" s="379"/>
      <c r="AK10" s="379"/>
      <c r="AL10" s="380"/>
      <c r="AM10" s="378"/>
      <c r="AN10" s="379"/>
      <c r="AO10" s="379"/>
      <c r="AP10" s="380"/>
      <c r="AQ10" s="378"/>
      <c r="AR10" s="379"/>
      <c r="AS10" s="379"/>
      <c r="AT10" s="380"/>
      <c r="AU10" s="378"/>
      <c r="AV10" s="379"/>
      <c r="AW10" s="379"/>
      <c r="AX10" s="380"/>
    </row>
    <row r="11" spans="1:50" ht="10.8" thickBot="1" x14ac:dyDescent="0.35">
      <c r="A11" s="360"/>
      <c r="B11" s="361"/>
      <c r="C11" s="362"/>
      <c r="D11" s="369"/>
      <c r="E11" s="370"/>
      <c r="F11" s="370"/>
      <c r="G11" s="370"/>
      <c r="H11" s="370"/>
      <c r="I11" s="370"/>
      <c r="J11" s="370"/>
      <c r="K11" s="370"/>
      <c r="L11" s="370"/>
      <c r="M11" s="370"/>
      <c r="N11" s="371"/>
      <c r="O11" s="352">
        <v>1</v>
      </c>
      <c r="P11" s="352"/>
      <c r="Q11" s="352"/>
      <c r="R11" s="353"/>
      <c r="S11" s="351">
        <v>2</v>
      </c>
      <c r="T11" s="352"/>
      <c r="U11" s="352"/>
      <c r="V11" s="353"/>
      <c r="W11" s="351">
        <v>3</v>
      </c>
      <c r="X11" s="352"/>
      <c r="Y11" s="352"/>
      <c r="Z11" s="353"/>
      <c r="AA11" s="351">
        <v>4</v>
      </c>
      <c r="AB11" s="352"/>
      <c r="AC11" s="352"/>
      <c r="AD11" s="353"/>
      <c r="AE11" s="351">
        <v>5</v>
      </c>
      <c r="AF11" s="352"/>
      <c r="AG11" s="352"/>
      <c r="AH11" s="353"/>
      <c r="AI11" s="351">
        <v>6</v>
      </c>
      <c r="AJ11" s="352"/>
      <c r="AK11" s="352"/>
      <c r="AL11" s="353"/>
      <c r="AM11" s="351">
        <v>7</v>
      </c>
      <c r="AN11" s="352"/>
      <c r="AO11" s="352"/>
      <c r="AP11" s="353"/>
      <c r="AQ11" s="351">
        <v>8</v>
      </c>
      <c r="AR11" s="352"/>
      <c r="AS11" s="352"/>
      <c r="AT11" s="353"/>
      <c r="AU11" s="351">
        <v>9</v>
      </c>
      <c r="AV11" s="352"/>
      <c r="AW11" s="352"/>
      <c r="AX11" s="353"/>
    </row>
    <row r="12" spans="1:50" ht="15.75" customHeight="1" x14ac:dyDescent="0.2">
      <c r="A12" s="388" t="s">
        <v>181</v>
      </c>
      <c r="B12" s="389"/>
      <c r="C12" s="390"/>
      <c r="D12" s="347" t="s">
        <v>353</v>
      </c>
      <c r="E12" s="296"/>
      <c r="F12" s="296"/>
      <c r="G12" s="296"/>
      <c r="H12" s="296"/>
      <c r="I12" s="296"/>
      <c r="J12" s="296"/>
      <c r="K12" s="296"/>
      <c r="L12" s="296"/>
      <c r="M12" s="296"/>
      <c r="N12" s="297"/>
      <c r="O12" s="391"/>
      <c r="P12" s="316"/>
      <c r="Q12" s="316"/>
      <c r="R12" s="392"/>
      <c r="S12" s="391"/>
      <c r="T12" s="316"/>
      <c r="U12" s="316"/>
      <c r="V12" s="392"/>
      <c r="W12" s="391"/>
      <c r="X12" s="316"/>
      <c r="Y12" s="316"/>
      <c r="Z12" s="392"/>
      <c r="AA12" s="391"/>
      <c r="AB12" s="316"/>
      <c r="AC12" s="316"/>
      <c r="AD12" s="392"/>
      <c r="AE12" s="391"/>
      <c r="AF12" s="316"/>
      <c r="AG12" s="316"/>
      <c r="AH12" s="392"/>
      <c r="AI12" s="391"/>
      <c r="AJ12" s="316"/>
      <c r="AK12" s="316"/>
      <c r="AL12" s="392"/>
      <c r="AM12" s="391"/>
      <c r="AN12" s="316"/>
      <c r="AO12" s="316"/>
      <c r="AP12" s="392"/>
      <c r="AQ12" s="391"/>
      <c r="AR12" s="316"/>
      <c r="AS12" s="316"/>
      <c r="AT12" s="392"/>
      <c r="AU12" s="391"/>
      <c r="AV12" s="316"/>
      <c r="AW12" s="316"/>
      <c r="AX12" s="392"/>
    </row>
    <row r="13" spans="1:50" ht="15.75" customHeight="1" x14ac:dyDescent="0.2">
      <c r="A13" s="309" t="s">
        <v>182</v>
      </c>
      <c r="B13" s="310"/>
      <c r="C13" s="311"/>
      <c r="D13" s="385" t="s">
        <v>354</v>
      </c>
      <c r="E13" s="386"/>
      <c r="F13" s="386"/>
      <c r="G13" s="386"/>
      <c r="H13" s="386"/>
      <c r="I13" s="386"/>
      <c r="J13" s="386"/>
      <c r="K13" s="386"/>
      <c r="L13" s="386"/>
      <c r="M13" s="386"/>
      <c r="N13" s="387"/>
      <c r="O13" s="163"/>
      <c r="P13" s="164"/>
      <c r="Q13" s="164"/>
      <c r="R13" s="393"/>
      <c r="S13" s="163"/>
      <c r="T13" s="164"/>
      <c r="U13" s="164"/>
      <c r="V13" s="393"/>
      <c r="W13" s="163"/>
      <c r="X13" s="164"/>
      <c r="Y13" s="164"/>
      <c r="Z13" s="393"/>
      <c r="AA13" s="163"/>
      <c r="AB13" s="164"/>
      <c r="AC13" s="164"/>
      <c r="AD13" s="393"/>
      <c r="AE13" s="163"/>
      <c r="AF13" s="164"/>
      <c r="AG13" s="164"/>
      <c r="AH13" s="393"/>
      <c r="AI13" s="163"/>
      <c r="AJ13" s="164"/>
      <c r="AK13" s="164"/>
      <c r="AL13" s="393"/>
      <c r="AM13" s="163"/>
      <c r="AN13" s="164"/>
      <c r="AO13" s="164"/>
      <c r="AP13" s="393"/>
      <c r="AQ13" s="163"/>
      <c r="AR13" s="164"/>
      <c r="AS13" s="164"/>
      <c r="AT13" s="393"/>
      <c r="AU13" s="163"/>
      <c r="AV13" s="164"/>
      <c r="AW13" s="164"/>
      <c r="AX13" s="393"/>
    </row>
    <row r="14" spans="1:50" ht="15.75" customHeight="1" x14ac:dyDescent="0.2">
      <c r="A14" s="309" t="s">
        <v>183</v>
      </c>
      <c r="B14" s="310"/>
      <c r="C14" s="311"/>
      <c r="D14" s="385" t="s">
        <v>355</v>
      </c>
      <c r="E14" s="386"/>
      <c r="F14" s="386"/>
      <c r="G14" s="386"/>
      <c r="H14" s="386"/>
      <c r="I14" s="386"/>
      <c r="J14" s="386"/>
      <c r="K14" s="386"/>
      <c r="L14" s="386"/>
      <c r="M14" s="386"/>
      <c r="N14" s="387"/>
      <c r="O14" s="163"/>
      <c r="P14" s="164"/>
      <c r="Q14" s="164"/>
      <c r="R14" s="393"/>
      <c r="S14" s="163"/>
      <c r="T14" s="164"/>
      <c r="U14" s="164"/>
      <c r="V14" s="393"/>
      <c r="W14" s="163"/>
      <c r="X14" s="164"/>
      <c r="Y14" s="164"/>
      <c r="Z14" s="393"/>
      <c r="AA14" s="163"/>
      <c r="AB14" s="164"/>
      <c r="AC14" s="164"/>
      <c r="AD14" s="393"/>
      <c r="AE14" s="163"/>
      <c r="AF14" s="164"/>
      <c r="AG14" s="164"/>
      <c r="AH14" s="393"/>
      <c r="AI14" s="163"/>
      <c r="AJ14" s="164"/>
      <c r="AK14" s="164"/>
      <c r="AL14" s="393"/>
      <c r="AM14" s="163"/>
      <c r="AN14" s="164"/>
      <c r="AO14" s="164"/>
      <c r="AP14" s="393"/>
      <c r="AQ14" s="163"/>
      <c r="AR14" s="164"/>
      <c r="AS14" s="164"/>
      <c r="AT14" s="393"/>
      <c r="AU14" s="163"/>
      <c r="AV14" s="164"/>
      <c r="AW14" s="164"/>
      <c r="AX14" s="393"/>
    </row>
    <row r="15" spans="1:50" ht="15.75" customHeight="1" x14ac:dyDescent="0.2">
      <c r="A15" s="309" t="s">
        <v>184</v>
      </c>
      <c r="B15" s="310"/>
      <c r="C15" s="311"/>
      <c r="D15" s="218" t="s">
        <v>356</v>
      </c>
      <c r="E15" s="219"/>
      <c r="F15" s="219"/>
      <c r="G15" s="219"/>
      <c r="H15" s="219"/>
      <c r="I15" s="219"/>
      <c r="J15" s="219"/>
      <c r="K15" s="219"/>
      <c r="L15" s="219"/>
      <c r="M15" s="219"/>
      <c r="N15" s="305"/>
      <c r="O15" s="163"/>
      <c r="P15" s="164"/>
      <c r="Q15" s="164"/>
      <c r="R15" s="393"/>
      <c r="S15" s="163"/>
      <c r="T15" s="164"/>
      <c r="U15" s="164"/>
      <c r="V15" s="393"/>
      <c r="W15" s="163"/>
      <c r="X15" s="164"/>
      <c r="Y15" s="164"/>
      <c r="Z15" s="393"/>
      <c r="AA15" s="163"/>
      <c r="AB15" s="164"/>
      <c r="AC15" s="164"/>
      <c r="AD15" s="393"/>
      <c r="AE15" s="163"/>
      <c r="AF15" s="164"/>
      <c r="AG15" s="164"/>
      <c r="AH15" s="393"/>
      <c r="AI15" s="163"/>
      <c r="AJ15" s="164"/>
      <c r="AK15" s="164"/>
      <c r="AL15" s="393"/>
      <c r="AM15" s="163"/>
      <c r="AN15" s="164"/>
      <c r="AO15" s="164"/>
      <c r="AP15" s="393"/>
      <c r="AQ15" s="163"/>
      <c r="AR15" s="164"/>
      <c r="AS15" s="164"/>
      <c r="AT15" s="393"/>
      <c r="AU15" s="163"/>
      <c r="AV15" s="164"/>
      <c r="AW15" s="164"/>
      <c r="AX15" s="393"/>
    </row>
    <row r="16" spans="1:50" ht="15.75" customHeight="1" x14ac:dyDescent="0.2">
      <c r="A16" s="309" t="s">
        <v>185</v>
      </c>
      <c r="B16" s="310"/>
      <c r="C16" s="311"/>
      <c r="D16" s="385" t="s">
        <v>394</v>
      </c>
      <c r="E16" s="386"/>
      <c r="F16" s="386"/>
      <c r="G16" s="386"/>
      <c r="H16" s="386"/>
      <c r="I16" s="386"/>
      <c r="J16" s="386"/>
      <c r="K16" s="386"/>
      <c r="L16" s="386"/>
      <c r="M16" s="386"/>
      <c r="N16" s="387"/>
      <c r="O16" s="163"/>
      <c r="P16" s="164"/>
      <c r="Q16" s="164"/>
      <c r="R16" s="393"/>
      <c r="S16" s="163"/>
      <c r="T16" s="164"/>
      <c r="U16" s="164"/>
      <c r="V16" s="393"/>
      <c r="W16" s="163"/>
      <c r="X16" s="164"/>
      <c r="Y16" s="164"/>
      <c r="Z16" s="393"/>
      <c r="AA16" s="163"/>
      <c r="AB16" s="164"/>
      <c r="AC16" s="164"/>
      <c r="AD16" s="393"/>
      <c r="AE16" s="163"/>
      <c r="AF16" s="164"/>
      <c r="AG16" s="164"/>
      <c r="AH16" s="393"/>
      <c r="AI16" s="163"/>
      <c r="AJ16" s="164"/>
      <c r="AK16" s="164"/>
      <c r="AL16" s="393"/>
      <c r="AM16" s="163"/>
      <c r="AN16" s="164"/>
      <c r="AO16" s="164"/>
      <c r="AP16" s="393"/>
      <c r="AQ16" s="163"/>
      <c r="AR16" s="164"/>
      <c r="AS16" s="164"/>
      <c r="AT16" s="393"/>
      <c r="AU16" s="163"/>
      <c r="AV16" s="164"/>
      <c r="AW16" s="164"/>
      <c r="AX16" s="393"/>
    </row>
    <row r="17" spans="1:50" ht="15.75" customHeight="1" x14ac:dyDescent="0.2">
      <c r="A17" s="309" t="s">
        <v>186</v>
      </c>
      <c r="B17" s="310"/>
      <c r="C17" s="311"/>
      <c r="D17" s="385" t="s">
        <v>357</v>
      </c>
      <c r="E17" s="386"/>
      <c r="F17" s="386"/>
      <c r="G17" s="386"/>
      <c r="H17" s="386"/>
      <c r="I17" s="386"/>
      <c r="J17" s="386"/>
      <c r="K17" s="386"/>
      <c r="L17" s="386"/>
      <c r="M17" s="386"/>
      <c r="N17" s="387"/>
      <c r="O17" s="163"/>
      <c r="P17" s="164"/>
      <c r="Q17" s="164"/>
      <c r="R17" s="393"/>
      <c r="S17" s="163"/>
      <c r="T17" s="164"/>
      <c r="U17" s="164"/>
      <c r="V17" s="393"/>
      <c r="W17" s="163"/>
      <c r="X17" s="164"/>
      <c r="Y17" s="164"/>
      <c r="Z17" s="393"/>
      <c r="AA17" s="163"/>
      <c r="AB17" s="164"/>
      <c r="AC17" s="164"/>
      <c r="AD17" s="393"/>
      <c r="AE17" s="163"/>
      <c r="AF17" s="164"/>
      <c r="AG17" s="164"/>
      <c r="AH17" s="393"/>
      <c r="AI17" s="163"/>
      <c r="AJ17" s="164"/>
      <c r="AK17" s="164"/>
      <c r="AL17" s="393"/>
      <c r="AM17" s="163"/>
      <c r="AN17" s="164"/>
      <c r="AO17" s="164"/>
      <c r="AP17" s="393"/>
      <c r="AQ17" s="163"/>
      <c r="AR17" s="164"/>
      <c r="AS17" s="164"/>
      <c r="AT17" s="393"/>
      <c r="AU17" s="163"/>
      <c r="AV17" s="164"/>
      <c r="AW17" s="164"/>
      <c r="AX17" s="393"/>
    </row>
    <row r="18" spans="1:50" ht="15.75" customHeight="1" x14ac:dyDescent="0.2">
      <c r="A18" s="309" t="s">
        <v>385</v>
      </c>
      <c r="B18" s="310"/>
      <c r="C18" s="311"/>
      <c r="D18" s="218" t="s">
        <v>358</v>
      </c>
      <c r="E18" s="219"/>
      <c r="F18" s="219"/>
      <c r="G18" s="219"/>
      <c r="H18" s="219"/>
      <c r="I18" s="219"/>
      <c r="J18" s="219"/>
      <c r="K18" s="219"/>
      <c r="L18" s="219"/>
      <c r="M18" s="219"/>
      <c r="N18" s="305"/>
      <c r="O18" s="163"/>
      <c r="P18" s="164"/>
      <c r="Q18" s="164"/>
      <c r="R18" s="393"/>
      <c r="S18" s="163"/>
      <c r="T18" s="164"/>
      <c r="U18" s="164"/>
      <c r="V18" s="393"/>
      <c r="W18" s="163"/>
      <c r="X18" s="164"/>
      <c r="Y18" s="164"/>
      <c r="Z18" s="393"/>
      <c r="AA18" s="163"/>
      <c r="AB18" s="164"/>
      <c r="AC18" s="164"/>
      <c r="AD18" s="393"/>
      <c r="AE18" s="163"/>
      <c r="AF18" s="164"/>
      <c r="AG18" s="164"/>
      <c r="AH18" s="393"/>
      <c r="AI18" s="163"/>
      <c r="AJ18" s="164"/>
      <c r="AK18" s="164"/>
      <c r="AL18" s="393"/>
      <c r="AM18" s="163"/>
      <c r="AN18" s="164"/>
      <c r="AO18" s="164"/>
      <c r="AP18" s="393"/>
      <c r="AQ18" s="163"/>
      <c r="AR18" s="164"/>
      <c r="AS18" s="164"/>
      <c r="AT18" s="393"/>
      <c r="AU18" s="163"/>
      <c r="AV18" s="164"/>
      <c r="AW18" s="164"/>
      <c r="AX18" s="393"/>
    </row>
    <row r="19" spans="1:50" ht="15.75" customHeight="1" x14ac:dyDescent="0.2">
      <c r="A19" s="309" t="s">
        <v>386</v>
      </c>
      <c r="B19" s="310"/>
      <c r="C19" s="311"/>
      <c r="D19" s="385" t="s">
        <v>397</v>
      </c>
      <c r="E19" s="386"/>
      <c r="F19" s="386"/>
      <c r="G19" s="386"/>
      <c r="H19" s="386"/>
      <c r="I19" s="386"/>
      <c r="J19" s="386"/>
      <c r="K19" s="386"/>
      <c r="L19" s="386"/>
      <c r="M19" s="386"/>
      <c r="N19" s="387"/>
      <c r="O19" s="163"/>
      <c r="P19" s="164"/>
      <c r="Q19" s="164"/>
      <c r="R19" s="393"/>
      <c r="S19" s="163"/>
      <c r="T19" s="164"/>
      <c r="U19" s="164"/>
      <c r="V19" s="393"/>
      <c r="W19" s="163"/>
      <c r="X19" s="164"/>
      <c r="Y19" s="164"/>
      <c r="Z19" s="393"/>
      <c r="AA19" s="163"/>
      <c r="AB19" s="164"/>
      <c r="AC19" s="164"/>
      <c r="AD19" s="393"/>
      <c r="AE19" s="163"/>
      <c r="AF19" s="164"/>
      <c r="AG19" s="164"/>
      <c r="AH19" s="393"/>
      <c r="AI19" s="163"/>
      <c r="AJ19" s="164"/>
      <c r="AK19" s="164"/>
      <c r="AL19" s="393"/>
      <c r="AM19" s="163"/>
      <c r="AN19" s="164"/>
      <c r="AO19" s="164"/>
      <c r="AP19" s="393"/>
      <c r="AQ19" s="163"/>
      <c r="AR19" s="164"/>
      <c r="AS19" s="164"/>
      <c r="AT19" s="393"/>
      <c r="AU19" s="163"/>
      <c r="AV19" s="164"/>
      <c r="AW19" s="164"/>
      <c r="AX19" s="393"/>
    </row>
    <row r="20" spans="1:50" ht="15.75" customHeight="1" thickBot="1" x14ac:dyDescent="0.25">
      <c r="A20" s="309" t="s">
        <v>387</v>
      </c>
      <c r="B20" s="310"/>
      <c r="C20" s="311"/>
      <c r="D20" s="385" t="s">
        <v>359</v>
      </c>
      <c r="E20" s="386"/>
      <c r="F20" s="386"/>
      <c r="G20" s="386"/>
      <c r="H20" s="386"/>
      <c r="I20" s="386"/>
      <c r="J20" s="386"/>
      <c r="K20" s="386"/>
      <c r="L20" s="386"/>
      <c r="M20" s="386"/>
      <c r="N20" s="387"/>
      <c r="O20" s="163"/>
      <c r="P20" s="164"/>
      <c r="Q20" s="164"/>
      <c r="R20" s="393"/>
      <c r="S20" s="163"/>
      <c r="T20" s="164"/>
      <c r="U20" s="164"/>
      <c r="V20" s="393"/>
      <c r="W20" s="163"/>
      <c r="X20" s="164"/>
      <c r="Y20" s="164"/>
      <c r="Z20" s="393"/>
      <c r="AA20" s="163"/>
      <c r="AB20" s="164"/>
      <c r="AC20" s="164"/>
      <c r="AD20" s="393"/>
      <c r="AE20" s="163"/>
      <c r="AF20" s="164"/>
      <c r="AG20" s="164"/>
      <c r="AH20" s="393"/>
      <c r="AI20" s="163"/>
      <c r="AJ20" s="164"/>
      <c r="AK20" s="164"/>
      <c r="AL20" s="393"/>
      <c r="AM20" s="163"/>
      <c r="AN20" s="164"/>
      <c r="AO20" s="164"/>
      <c r="AP20" s="393"/>
      <c r="AQ20" s="163"/>
      <c r="AR20" s="164"/>
      <c r="AS20" s="164"/>
      <c r="AT20" s="393"/>
      <c r="AU20" s="163"/>
      <c r="AV20" s="164"/>
      <c r="AW20" s="164"/>
      <c r="AX20" s="393"/>
    </row>
    <row r="21" spans="1:50" ht="10.8" thickBot="1" x14ac:dyDescent="0.25">
      <c r="A21" s="382" t="s">
        <v>391</v>
      </c>
      <c r="B21" s="383"/>
      <c r="C21" s="384"/>
      <c r="D21" s="394" t="s">
        <v>266</v>
      </c>
      <c r="E21" s="395"/>
      <c r="F21" s="395"/>
      <c r="G21" s="395"/>
      <c r="H21" s="395"/>
      <c r="I21" s="395"/>
      <c r="J21" s="395"/>
      <c r="K21" s="395"/>
      <c r="L21" s="395"/>
      <c r="M21" s="395"/>
      <c r="N21" s="396"/>
      <c r="O21" s="394"/>
      <c r="P21" s="395"/>
      <c r="Q21" s="395"/>
      <c r="R21" s="396"/>
      <c r="S21" s="394"/>
      <c r="T21" s="395"/>
      <c r="U21" s="395"/>
      <c r="V21" s="396"/>
      <c r="W21" s="394"/>
      <c r="X21" s="395"/>
      <c r="Y21" s="395"/>
      <c r="Z21" s="396"/>
      <c r="AA21" s="394"/>
      <c r="AB21" s="395"/>
      <c r="AC21" s="395"/>
      <c r="AD21" s="396"/>
      <c r="AE21" s="394"/>
      <c r="AF21" s="395"/>
      <c r="AG21" s="395"/>
      <c r="AH21" s="396"/>
      <c r="AI21" s="394"/>
      <c r="AJ21" s="395"/>
      <c r="AK21" s="395"/>
      <c r="AL21" s="396"/>
      <c r="AM21" s="394"/>
      <c r="AN21" s="395"/>
      <c r="AO21" s="395"/>
      <c r="AP21" s="396"/>
      <c r="AQ21" s="394"/>
      <c r="AR21" s="395"/>
      <c r="AS21" s="395"/>
      <c r="AT21" s="396"/>
      <c r="AU21" s="394"/>
      <c r="AV21" s="395"/>
      <c r="AW21" s="395"/>
      <c r="AX21" s="396"/>
    </row>
    <row r="22" spans="1:50" ht="10.8" thickBot="1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</row>
    <row r="23" spans="1:50" ht="14.25" customHeight="1" x14ac:dyDescent="0.3">
      <c r="A23" s="214" t="s">
        <v>360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6"/>
    </row>
    <row r="24" spans="1:50" ht="10.8" thickBot="1" x14ac:dyDescent="0.35">
      <c r="A24" s="120" t="s">
        <v>584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215"/>
    </row>
    <row r="25" spans="1:50" ht="10.199999999999999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3"/>
    </row>
    <row r="26" spans="1:50" ht="10.199999999999999" x14ac:dyDescent="0.2">
      <c r="A26" s="24"/>
      <c r="B26" s="25" t="s">
        <v>243</v>
      </c>
      <c r="C26" s="25"/>
      <c r="D26" s="155"/>
      <c r="E26" s="156"/>
      <c r="F26" s="156"/>
      <c r="G26" s="156"/>
      <c r="H26" s="156"/>
      <c r="I26" s="157"/>
      <c r="J26" s="25"/>
      <c r="K26" s="25"/>
      <c r="L26" s="25"/>
      <c r="M26" s="25"/>
      <c r="N26" s="158" t="s">
        <v>125</v>
      </c>
      <c r="O26" s="158"/>
      <c r="P26" s="158"/>
      <c r="Q26" s="158"/>
      <c r="R26" s="158"/>
      <c r="S26" s="155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7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6"/>
    </row>
    <row r="27" spans="1:50" ht="10.199999999999999" x14ac:dyDescent="0.2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6"/>
    </row>
    <row r="28" spans="1:50" ht="10.199999999999999" x14ac:dyDescent="0.2">
      <c r="A28" s="24"/>
      <c r="B28" s="25"/>
      <c r="C28" s="25"/>
      <c r="D28" s="25"/>
      <c r="E28" s="27" t="s">
        <v>128</v>
      </c>
      <c r="F28" s="27" t="s">
        <v>128</v>
      </c>
      <c r="G28" s="27" t="s">
        <v>128</v>
      </c>
      <c r="H28" s="27" t="s">
        <v>128</v>
      </c>
      <c r="I28" s="27" t="s">
        <v>127</v>
      </c>
      <c r="J28" s="27" t="s">
        <v>127</v>
      </c>
      <c r="K28" s="27" t="s">
        <v>126</v>
      </c>
      <c r="L28" s="27" t="s">
        <v>126</v>
      </c>
      <c r="M28" s="25"/>
      <c r="N28" s="25"/>
      <c r="O28" s="25"/>
      <c r="P28" s="25"/>
      <c r="Q28" s="27"/>
      <c r="R28" s="27"/>
      <c r="S28" s="27"/>
      <c r="T28" s="27"/>
      <c r="U28" s="27"/>
      <c r="V28" s="25"/>
      <c r="W28" s="27"/>
      <c r="X28" s="25"/>
      <c r="Y28" s="25"/>
      <c r="Z28" s="27" t="s">
        <v>255</v>
      </c>
      <c r="AA28" s="27" t="s">
        <v>126</v>
      </c>
      <c r="AB28" s="27"/>
      <c r="AC28" s="25"/>
      <c r="AD28" s="25"/>
      <c r="AE28" s="25"/>
      <c r="AF28" s="25"/>
      <c r="AG28" s="25"/>
      <c r="AH28" s="25"/>
      <c r="AI28" s="27">
        <v>1</v>
      </c>
      <c r="AJ28" s="27">
        <v>2</v>
      </c>
      <c r="AK28" s="25"/>
      <c r="AL28" s="25"/>
      <c r="AM28" s="25"/>
      <c r="AN28" s="25"/>
      <c r="AO28" s="27"/>
      <c r="AP28" s="25"/>
      <c r="AQ28" s="25"/>
      <c r="AR28" s="25"/>
      <c r="AS28" s="27"/>
      <c r="AT28" s="25"/>
      <c r="AU28" s="25"/>
      <c r="AV28" s="25"/>
      <c r="AW28" s="25"/>
      <c r="AX28" s="26"/>
    </row>
    <row r="29" spans="1:50" ht="10.199999999999999" x14ac:dyDescent="0.2">
      <c r="A29" s="24"/>
      <c r="B29" s="25"/>
      <c r="C29" s="25"/>
      <c r="D29" s="25"/>
      <c r="E29" s="159" t="s">
        <v>129</v>
      </c>
      <c r="F29" s="159"/>
      <c r="G29" s="159"/>
      <c r="H29" s="159"/>
      <c r="I29" s="159"/>
      <c r="J29" s="159"/>
      <c r="K29" s="159"/>
      <c r="L29" s="159"/>
      <c r="M29" s="19"/>
      <c r="N29" s="25"/>
      <c r="O29" s="25"/>
      <c r="P29" s="25"/>
      <c r="Q29" s="25"/>
      <c r="R29" s="25"/>
      <c r="S29" s="33" t="s">
        <v>130</v>
      </c>
      <c r="T29" s="33"/>
      <c r="U29" s="25"/>
      <c r="V29" s="25"/>
      <c r="W29" s="25" t="s">
        <v>244</v>
      </c>
      <c r="X29" s="25"/>
      <c r="Y29" s="25"/>
      <c r="Z29" s="25"/>
      <c r="AA29" s="19" t="s">
        <v>245</v>
      </c>
      <c r="AB29" s="25"/>
      <c r="AC29" s="25"/>
      <c r="AD29" s="25"/>
      <c r="AE29" s="25"/>
      <c r="AF29" s="25"/>
      <c r="AG29" s="25"/>
      <c r="AH29" s="25"/>
      <c r="AI29" s="159" t="s">
        <v>131</v>
      </c>
      <c r="AJ29" s="159"/>
      <c r="AK29" s="25"/>
      <c r="AL29" s="25"/>
      <c r="AM29" s="25"/>
      <c r="AN29" s="25"/>
      <c r="AO29" s="19" t="s">
        <v>246</v>
      </c>
      <c r="AP29" s="25"/>
      <c r="AQ29" s="25"/>
      <c r="AR29" s="25"/>
      <c r="AS29" s="19" t="s">
        <v>263</v>
      </c>
      <c r="AT29" s="25"/>
      <c r="AU29" s="25"/>
      <c r="AV29" s="25"/>
      <c r="AW29" s="25"/>
      <c r="AX29" s="26"/>
    </row>
    <row r="30" spans="1:50" ht="10.8" thickBot="1" x14ac:dyDescent="0.25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30"/>
    </row>
    <row r="31" spans="1:50" ht="13.5" customHeight="1" thickBot="1" x14ac:dyDescent="0.35">
      <c r="A31" s="354" t="s">
        <v>761</v>
      </c>
      <c r="B31" s="355"/>
      <c r="C31" s="356"/>
      <c r="D31" s="363" t="s">
        <v>7</v>
      </c>
      <c r="E31" s="364"/>
      <c r="F31" s="364"/>
      <c r="G31" s="364"/>
      <c r="H31" s="364"/>
      <c r="I31" s="364"/>
      <c r="J31" s="364"/>
      <c r="K31" s="364"/>
      <c r="L31" s="364"/>
      <c r="M31" s="364"/>
      <c r="N31" s="365"/>
      <c r="O31" s="344" t="s">
        <v>2</v>
      </c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345"/>
      <c r="AB31" s="345"/>
      <c r="AC31" s="345"/>
      <c r="AD31" s="345"/>
      <c r="AE31" s="345"/>
      <c r="AF31" s="345"/>
      <c r="AG31" s="345"/>
      <c r="AH31" s="345"/>
      <c r="AI31" s="345"/>
      <c r="AJ31" s="345"/>
      <c r="AK31" s="345"/>
      <c r="AL31" s="345"/>
      <c r="AM31" s="345"/>
      <c r="AN31" s="345"/>
      <c r="AO31" s="345"/>
      <c r="AP31" s="345"/>
      <c r="AQ31" s="345"/>
      <c r="AR31" s="346"/>
      <c r="AS31" s="372" t="s">
        <v>8</v>
      </c>
      <c r="AT31" s="373"/>
      <c r="AU31" s="374"/>
      <c r="AV31" s="363" t="s">
        <v>1</v>
      </c>
      <c r="AW31" s="364"/>
      <c r="AX31" s="365"/>
    </row>
    <row r="32" spans="1:50" ht="13.5" customHeight="1" thickBot="1" x14ac:dyDescent="0.35">
      <c r="A32" s="357"/>
      <c r="B32" s="358"/>
      <c r="C32" s="359"/>
      <c r="D32" s="366"/>
      <c r="E32" s="367"/>
      <c r="F32" s="367"/>
      <c r="G32" s="367"/>
      <c r="H32" s="367"/>
      <c r="I32" s="367"/>
      <c r="J32" s="367"/>
      <c r="K32" s="367"/>
      <c r="L32" s="367"/>
      <c r="M32" s="367"/>
      <c r="N32" s="368"/>
      <c r="O32" s="363" t="s">
        <v>296</v>
      </c>
      <c r="P32" s="364"/>
      <c r="Q32" s="364"/>
      <c r="R32" s="364"/>
      <c r="S32" s="364"/>
      <c r="T32" s="364"/>
      <c r="U32" s="364"/>
      <c r="V32" s="364"/>
      <c r="W32" s="365"/>
      <c r="X32" s="344" t="s">
        <v>300</v>
      </c>
      <c r="Y32" s="345"/>
      <c r="Z32" s="345"/>
      <c r="AA32" s="345"/>
      <c r="AB32" s="345"/>
      <c r="AC32" s="345"/>
      <c r="AD32" s="345"/>
      <c r="AE32" s="345"/>
      <c r="AF32" s="345"/>
      <c r="AG32" s="345"/>
      <c r="AH32" s="345"/>
      <c r="AI32" s="345"/>
      <c r="AJ32" s="345"/>
      <c r="AK32" s="345"/>
      <c r="AL32" s="346"/>
      <c r="AM32" s="372" t="s">
        <v>302</v>
      </c>
      <c r="AN32" s="373"/>
      <c r="AO32" s="373"/>
      <c r="AP32" s="373"/>
      <c r="AQ32" s="373"/>
      <c r="AR32" s="374"/>
      <c r="AS32" s="375"/>
      <c r="AT32" s="376"/>
      <c r="AU32" s="377"/>
      <c r="AV32" s="366"/>
      <c r="AW32" s="367"/>
      <c r="AX32" s="368"/>
    </row>
    <row r="33" spans="1:50" ht="23.25" customHeight="1" thickBot="1" x14ac:dyDescent="0.35">
      <c r="A33" s="357"/>
      <c r="B33" s="358"/>
      <c r="C33" s="359"/>
      <c r="D33" s="366"/>
      <c r="E33" s="367"/>
      <c r="F33" s="367"/>
      <c r="G33" s="367"/>
      <c r="H33" s="367"/>
      <c r="I33" s="367"/>
      <c r="J33" s="367"/>
      <c r="K33" s="367"/>
      <c r="L33" s="367"/>
      <c r="M33" s="367"/>
      <c r="N33" s="368"/>
      <c r="O33" s="369"/>
      <c r="P33" s="370"/>
      <c r="Q33" s="370"/>
      <c r="R33" s="370"/>
      <c r="S33" s="370"/>
      <c r="T33" s="370"/>
      <c r="U33" s="370"/>
      <c r="V33" s="370"/>
      <c r="W33" s="371"/>
      <c r="X33" s="351" t="s">
        <v>10</v>
      </c>
      <c r="Y33" s="352"/>
      <c r="Z33" s="352"/>
      <c r="AA33" s="352"/>
      <c r="AB33" s="352"/>
      <c r="AC33" s="353"/>
      <c r="AD33" s="372" t="s">
        <v>309</v>
      </c>
      <c r="AE33" s="373"/>
      <c r="AF33" s="373"/>
      <c r="AG33" s="373"/>
      <c r="AH33" s="373"/>
      <c r="AI33" s="374"/>
      <c r="AJ33" s="363" t="s">
        <v>293</v>
      </c>
      <c r="AK33" s="364"/>
      <c r="AL33" s="365"/>
      <c r="AM33" s="378"/>
      <c r="AN33" s="379"/>
      <c r="AO33" s="379"/>
      <c r="AP33" s="379"/>
      <c r="AQ33" s="379"/>
      <c r="AR33" s="380"/>
      <c r="AS33" s="375"/>
      <c r="AT33" s="376"/>
      <c r="AU33" s="377"/>
      <c r="AV33" s="366"/>
      <c r="AW33" s="367"/>
      <c r="AX33" s="368"/>
    </row>
    <row r="34" spans="1:50" ht="35.25" customHeight="1" thickBot="1" x14ac:dyDescent="0.35">
      <c r="A34" s="357"/>
      <c r="B34" s="358"/>
      <c r="C34" s="359"/>
      <c r="D34" s="366"/>
      <c r="E34" s="367"/>
      <c r="F34" s="367"/>
      <c r="G34" s="367"/>
      <c r="H34" s="367"/>
      <c r="I34" s="367"/>
      <c r="J34" s="367"/>
      <c r="K34" s="367"/>
      <c r="L34" s="367"/>
      <c r="M34" s="367"/>
      <c r="N34" s="368"/>
      <c r="O34" s="351" t="s">
        <v>12</v>
      </c>
      <c r="P34" s="352"/>
      <c r="Q34" s="353"/>
      <c r="R34" s="351" t="s">
        <v>297</v>
      </c>
      <c r="S34" s="352"/>
      <c r="T34" s="353"/>
      <c r="U34" s="344" t="s">
        <v>295</v>
      </c>
      <c r="V34" s="345"/>
      <c r="W34" s="346"/>
      <c r="X34" s="351" t="s">
        <v>138</v>
      </c>
      <c r="Y34" s="352"/>
      <c r="Z34" s="353"/>
      <c r="AA34" s="344" t="s">
        <v>13</v>
      </c>
      <c r="AB34" s="345"/>
      <c r="AC34" s="346"/>
      <c r="AD34" s="351" t="s">
        <v>139</v>
      </c>
      <c r="AE34" s="352"/>
      <c r="AF34" s="353"/>
      <c r="AG34" s="344" t="s">
        <v>11</v>
      </c>
      <c r="AH34" s="345"/>
      <c r="AI34" s="346"/>
      <c r="AJ34" s="369"/>
      <c r="AK34" s="370"/>
      <c r="AL34" s="371"/>
      <c r="AM34" s="351" t="s">
        <v>299</v>
      </c>
      <c r="AN34" s="352"/>
      <c r="AO34" s="353"/>
      <c r="AP34" s="351" t="s">
        <v>393</v>
      </c>
      <c r="AQ34" s="352"/>
      <c r="AR34" s="353"/>
      <c r="AS34" s="378"/>
      <c r="AT34" s="379"/>
      <c r="AU34" s="380"/>
      <c r="AV34" s="369"/>
      <c r="AW34" s="370"/>
      <c r="AX34" s="371"/>
    </row>
    <row r="35" spans="1:50" ht="14.25" customHeight="1" thickBot="1" x14ac:dyDescent="0.35">
      <c r="A35" s="360"/>
      <c r="B35" s="361"/>
      <c r="C35" s="362"/>
      <c r="D35" s="369"/>
      <c r="E35" s="370"/>
      <c r="F35" s="370"/>
      <c r="G35" s="370"/>
      <c r="H35" s="370"/>
      <c r="I35" s="370"/>
      <c r="J35" s="370"/>
      <c r="K35" s="370"/>
      <c r="L35" s="370"/>
      <c r="M35" s="370"/>
      <c r="N35" s="371"/>
      <c r="O35" s="344">
        <v>1</v>
      </c>
      <c r="P35" s="345"/>
      <c r="Q35" s="346"/>
      <c r="R35" s="344">
        <v>2</v>
      </c>
      <c r="S35" s="345"/>
      <c r="T35" s="346"/>
      <c r="U35" s="344">
        <v>3</v>
      </c>
      <c r="V35" s="345"/>
      <c r="W35" s="346"/>
      <c r="X35" s="344">
        <v>4</v>
      </c>
      <c r="Y35" s="345"/>
      <c r="Z35" s="346"/>
      <c r="AA35" s="344">
        <v>5</v>
      </c>
      <c r="AB35" s="345"/>
      <c r="AC35" s="346"/>
      <c r="AD35" s="344">
        <v>6</v>
      </c>
      <c r="AE35" s="345"/>
      <c r="AF35" s="346"/>
      <c r="AG35" s="344">
        <v>7</v>
      </c>
      <c r="AH35" s="345"/>
      <c r="AI35" s="346"/>
      <c r="AJ35" s="344">
        <v>8</v>
      </c>
      <c r="AK35" s="345"/>
      <c r="AL35" s="346"/>
      <c r="AM35" s="344">
        <v>9</v>
      </c>
      <c r="AN35" s="345"/>
      <c r="AO35" s="346"/>
      <c r="AP35" s="344">
        <v>10</v>
      </c>
      <c r="AQ35" s="345"/>
      <c r="AR35" s="346"/>
      <c r="AS35" s="344">
        <v>11</v>
      </c>
      <c r="AT35" s="345"/>
      <c r="AU35" s="346"/>
      <c r="AV35" s="344">
        <v>12</v>
      </c>
      <c r="AW35" s="345"/>
      <c r="AX35" s="346"/>
    </row>
    <row r="36" spans="1:50" ht="15.75" customHeight="1" x14ac:dyDescent="0.2">
      <c r="A36" s="388" t="s">
        <v>181</v>
      </c>
      <c r="B36" s="389"/>
      <c r="C36" s="390"/>
      <c r="D36" s="347" t="s">
        <v>353</v>
      </c>
      <c r="E36" s="296"/>
      <c r="F36" s="296"/>
      <c r="G36" s="296"/>
      <c r="H36" s="296"/>
      <c r="I36" s="296"/>
      <c r="J36" s="296"/>
      <c r="K36" s="296"/>
      <c r="L36" s="296"/>
      <c r="M36" s="296"/>
      <c r="N36" s="297"/>
      <c r="O36" s="270"/>
      <c r="P36" s="230"/>
      <c r="Q36" s="271"/>
      <c r="R36" s="270"/>
      <c r="S36" s="230"/>
      <c r="T36" s="271"/>
      <c r="U36" s="270"/>
      <c r="V36" s="230"/>
      <c r="W36" s="271"/>
      <c r="X36" s="270"/>
      <c r="Y36" s="230"/>
      <c r="Z36" s="271"/>
      <c r="AA36" s="270"/>
      <c r="AB36" s="230"/>
      <c r="AC36" s="271"/>
      <c r="AD36" s="270"/>
      <c r="AE36" s="230"/>
      <c r="AF36" s="271"/>
      <c r="AG36" s="270"/>
      <c r="AH36" s="230"/>
      <c r="AI36" s="271"/>
      <c r="AJ36" s="270"/>
      <c r="AK36" s="230"/>
      <c r="AL36" s="271"/>
      <c r="AM36" s="270"/>
      <c r="AN36" s="230"/>
      <c r="AO36" s="271"/>
      <c r="AP36" s="270"/>
      <c r="AQ36" s="230"/>
      <c r="AR36" s="271"/>
      <c r="AS36" s="270"/>
      <c r="AT36" s="230"/>
      <c r="AU36" s="271"/>
      <c r="AV36" s="270"/>
      <c r="AW36" s="230"/>
      <c r="AX36" s="271"/>
    </row>
    <row r="37" spans="1:50" ht="15.75" customHeight="1" x14ac:dyDescent="0.2">
      <c r="A37" s="309" t="s">
        <v>182</v>
      </c>
      <c r="B37" s="310"/>
      <c r="C37" s="311"/>
      <c r="D37" s="385" t="s">
        <v>354</v>
      </c>
      <c r="E37" s="386"/>
      <c r="F37" s="386"/>
      <c r="G37" s="386"/>
      <c r="H37" s="386"/>
      <c r="I37" s="386"/>
      <c r="J37" s="386"/>
      <c r="K37" s="386"/>
      <c r="L37" s="386"/>
      <c r="M37" s="386"/>
      <c r="N37" s="387"/>
      <c r="O37" s="191"/>
      <c r="P37" s="192"/>
      <c r="Q37" s="217"/>
      <c r="R37" s="191"/>
      <c r="S37" s="192"/>
      <c r="T37" s="217"/>
      <c r="U37" s="191"/>
      <c r="V37" s="192"/>
      <c r="W37" s="217"/>
      <c r="X37" s="191"/>
      <c r="Y37" s="192"/>
      <c r="Z37" s="217"/>
      <c r="AA37" s="191"/>
      <c r="AB37" s="192"/>
      <c r="AC37" s="217"/>
      <c r="AD37" s="191"/>
      <c r="AE37" s="192"/>
      <c r="AF37" s="217"/>
      <c r="AG37" s="191"/>
      <c r="AH37" s="192"/>
      <c r="AI37" s="217"/>
      <c r="AJ37" s="191"/>
      <c r="AK37" s="192"/>
      <c r="AL37" s="217"/>
      <c r="AM37" s="191"/>
      <c r="AN37" s="192"/>
      <c r="AO37" s="217"/>
      <c r="AP37" s="191"/>
      <c r="AQ37" s="192"/>
      <c r="AR37" s="217"/>
      <c r="AS37" s="191"/>
      <c r="AT37" s="192"/>
      <c r="AU37" s="217"/>
      <c r="AV37" s="191"/>
      <c r="AW37" s="192"/>
      <c r="AX37" s="217"/>
    </row>
    <row r="38" spans="1:50" ht="15.75" customHeight="1" x14ac:dyDescent="0.2">
      <c r="A38" s="309" t="s">
        <v>183</v>
      </c>
      <c r="B38" s="310"/>
      <c r="C38" s="311"/>
      <c r="D38" s="385" t="s">
        <v>355</v>
      </c>
      <c r="E38" s="386"/>
      <c r="F38" s="386"/>
      <c r="G38" s="386"/>
      <c r="H38" s="386"/>
      <c r="I38" s="386"/>
      <c r="J38" s="386"/>
      <c r="K38" s="386"/>
      <c r="L38" s="386"/>
      <c r="M38" s="386"/>
      <c r="N38" s="387"/>
      <c r="O38" s="191"/>
      <c r="P38" s="192"/>
      <c r="Q38" s="217"/>
      <c r="R38" s="191"/>
      <c r="S38" s="192"/>
      <c r="T38" s="217"/>
      <c r="U38" s="191"/>
      <c r="V38" s="192"/>
      <c r="W38" s="217"/>
      <c r="X38" s="191"/>
      <c r="Y38" s="192"/>
      <c r="Z38" s="217"/>
      <c r="AA38" s="191"/>
      <c r="AB38" s="192"/>
      <c r="AC38" s="217"/>
      <c r="AD38" s="191"/>
      <c r="AE38" s="192"/>
      <c r="AF38" s="217"/>
      <c r="AG38" s="191"/>
      <c r="AH38" s="192"/>
      <c r="AI38" s="217"/>
      <c r="AJ38" s="191"/>
      <c r="AK38" s="192"/>
      <c r="AL38" s="217"/>
      <c r="AM38" s="191"/>
      <c r="AN38" s="192"/>
      <c r="AO38" s="217"/>
      <c r="AP38" s="191"/>
      <c r="AQ38" s="192"/>
      <c r="AR38" s="217"/>
      <c r="AS38" s="191"/>
      <c r="AT38" s="192"/>
      <c r="AU38" s="217"/>
      <c r="AV38" s="191"/>
      <c r="AW38" s="192"/>
      <c r="AX38" s="217"/>
    </row>
    <row r="39" spans="1:50" ht="15.75" customHeight="1" x14ac:dyDescent="0.2">
      <c r="A39" s="309" t="s">
        <v>184</v>
      </c>
      <c r="B39" s="310"/>
      <c r="C39" s="311"/>
      <c r="D39" s="218" t="s">
        <v>356</v>
      </c>
      <c r="E39" s="219"/>
      <c r="F39" s="219"/>
      <c r="G39" s="219"/>
      <c r="H39" s="219"/>
      <c r="I39" s="219"/>
      <c r="J39" s="219"/>
      <c r="K39" s="219"/>
      <c r="L39" s="219"/>
      <c r="M39" s="219"/>
      <c r="N39" s="305"/>
      <c r="O39" s="191"/>
      <c r="P39" s="192"/>
      <c r="Q39" s="217"/>
      <c r="R39" s="191"/>
      <c r="S39" s="192"/>
      <c r="T39" s="217"/>
      <c r="U39" s="191"/>
      <c r="V39" s="192"/>
      <c r="W39" s="217"/>
      <c r="X39" s="191"/>
      <c r="Y39" s="192"/>
      <c r="Z39" s="217"/>
      <c r="AA39" s="191"/>
      <c r="AB39" s="192"/>
      <c r="AC39" s="217"/>
      <c r="AD39" s="191"/>
      <c r="AE39" s="192"/>
      <c r="AF39" s="217"/>
      <c r="AG39" s="191"/>
      <c r="AH39" s="192"/>
      <c r="AI39" s="217"/>
      <c r="AJ39" s="191"/>
      <c r="AK39" s="192"/>
      <c r="AL39" s="217"/>
      <c r="AM39" s="191"/>
      <c r="AN39" s="192"/>
      <c r="AO39" s="217"/>
      <c r="AP39" s="191"/>
      <c r="AQ39" s="192"/>
      <c r="AR39" s="217"/>
      <c r="AS39" s="191"/>
      <c r="AT39" s="192"/>
      <c r="AU39" s="217"/>
      <c r="AV39" s="191"/>
      <c r="AW39" s="192"/>
      <c r="AX39" s="217"/>
    </row>
    <row r="40" spans="1:50" ht="15.75" customHeight="1" x14ac:dyDescent="0.2">
      <c r="A40" s="309" t="s">
        <v>185</v>
      </c>
      <c r="B40" s="310"/>
      <c r="C40" s="311"/>
      <c r="D40" s="385" t="s">
        <v>394</v>
      </c>
      <c r="E40" s="386"/>
      <c r="F40" s="386"/>
      <c r="G40" s="386"/>
      <c r="H40" s="386"/>
      <c r="I40" s="386"/>
      <c r="J40" s="386"/>
      <c r="K40" s="386"/>
      <c r="L40" s="386"/>
      <c r="M40" s="386"/>
      <c r="N40" s="387"/>
      <c r="O40" s="191"/>
      <c r="P40" s="192"/>
      <c r="Q40" s="217"/>
      <c r="R40" s="191"/>
      <c r="S40" s="192"/>
      <c r="T40" s="217"/>
      <c r="U40" s="191"/>
      <c r="V40" s="192"/>
      <c r="W40" s="217"/>
      <c r="X40" s="191"/>
      <c r="Y40" s="192"/>
      <c r="Z40" s="217"/>
      <c r="AA40" s="191"/>
      <c r="AB40" s="192"/>
      <c r="AC40" s="217"/>
      <c r="AD40" s="191"/>
      <c r="AE40" s="192"/>
      <c r="AF40" s="217"/>
      <c r="AG40" s="191"/>
      <c r="AH40" s="192"/>
      <c r="AI40" s="217"/>
      <c r="AJ40" s="191"/>
      <c r="AK40" s="192"/>
      <c r="AL40" s="217"/>
      <c r="AM40" s="191"/>
      <c r="AN40" s="192"/>
      <c r="AO40" s="217"/>
      <c r="AP40" s="191"/>
      <c r="AQ40" s="192"/>
      <c r="AR40" s="217"/>
      <c r="AS40" s="191"/>
      <c r="AT40" s="192"/>
      <c r="AU40" s="217"/>
      <c r="AV40" s="191"/>
      <c r="AW40" s="192"/>
      <c r="AX40" s="217"/>
    </row>
    <row r="41" spans="1:50" ht="15.75" customHeight="1" x14ac:dyDescent="0.2">
      <c r="A41" s="309" t="s">
        <v>186</v>
      </c>
      <c r="B41" s="310"/>
      <c r="C41" s="311"/>
      <c r="D41" s="385" t="s">
        <v>357</v>
      </c>
      <c r="E41" s="386"/>
      <c r="F41" s="386"/>
      <c r="G41" s="386"/>
      <c r="H41" s="386"/>
      <c r="I41" s="386"/>
      <c r="J41" s="386"/>
      <c r="K41" s="386"/>
      <c r="L41" s="386"/>
      <c r="M41" s="386"/>
      <c r="N41" s="387"/>
      <c r="O41" s="191"/>
      <c r="P41" s="192"/>
      <c r="Q41" s="217"/>
      <c r="R41" s="191"/>
      <c r="S41" s="192"/>
      <c r="T41" s="217"/>
      <c r="U41" s="191"/>
      <c r="V41" s="192"/>
      <c r="W41" s="217"/>
      <c r="X41" s="191"/>
      <c r="Y41" s="192"/>
      <c r="Z41" s="217"/>
      <c r="AA41" s="191"/>
      <c r="AB41" s="192"/>
      <c r="AC41" s="217"/>
      <c r="AD41" s="191"/>
      <c r="AE41" s="192"/>
      <c r="AF41" s="217"/>
      <c r="AG41" s="191"/>
      <c r="AH41" s="192"/>
      <c r="AI41" s="217"/>
      <c r="AJ41" s="191"/>
      <c r="AK41" s="192"/>
      <c r="AL41" s="217"/>
      <c r="AM41" s="191"/>
      <c r="AN41" s="192"/>
      <c r="AO41" s="217"/>
      <c r="AP41" s="191"/>
      <c r="AQ41" s="192"/>
      <c r="AR41" s="217"/>
      <c r="AS41" s="191"/>
      <c r="AT41" s="192"/>
      <c r="AU41" s="217"/>
      <c r="AV41" s="191"/>
      <c r="AW41" s="192"/>
      <c r="AX41" s="217"/>
    </row>
    <row r="42" spans="1:50" ht="15.75" customHeight="1" x14ac:dyDescent="0.2">
      <c r="A42" s="309" t="s">
        <v>385</v>
      </c>
      <c r="B42" s="310"/>
      <c r="C42" s="311"/>
      <c r="D42" s="218" t="s">
        <v>358</v>
      </c>
      <c r="E42" s="219"/>
      <c r="F42" s="219"/>
      <c r="G42" s="219"/>
      <c r="H42" s="219"/>
      <c r="I42" s="219"/>
      <c r="J42" s="219"/>
      <c r="K42" s="219"/>
      <c r="L42" s="219"/>
      <c r="M42" s="219"/>
      <c r="N42" s="305"/>
      <c r="O42" s="191"/>
      <c r="P42" s="192"/>
      <c r="Q42" s="217"/>
      <c r="R42" s="191"/>
      <c r="S42" s="192"/>
      <c r="T42" s="217"/>
      <c r="U42" s="191"/>
      <c r="V42" s="192"/>
      <c r="W42" s="217"/>
      <c r="X42" s="191"/>
      <c r="Y42" s="192"/>
      <c r="Z42" s="217"/>
      <c r="AA42" s="191"/>
      <c r="AB42" s="192"/>
      <c r="AC42" s="217"/>
      <c r="AD42" s="191"/>
      <c r="AE42" s="192"/>
      <c r="AF42" s="217"/>
      <c r="AG42" s="191"/>
      <c r="AH42" s="192"/>
      <c r="AI42" s="217"/>
      <c r="AJ42" s="191"/>
      <c r="AK42" s="192"/>
      <c r="AL42" s="217"/>
      <c r="AM42" s="191"/>
      <c r="AN42" s="192"/>
      <c r="AO42" s="217"/>
      <c r="AP42" s="191"/>
      <c r="AQ42" s="192"/>
      <c r="AR42" s="217"/>
      <c r="AS42" s="191"/>
      <c r="AT42" s="192"/>
      <c r="AU42" s="217"/>
      <c r="AV42" s="191"/>
      <c r="AW42" s="192"/>
      <c r="AX42" s="217"/>
    </row>
    <row r="43" spans="1:50" ht="15.75" customHeight="1" x14ac:dyDescent="0.2">
      <c r="A43" s="309" t="s">
        <v>386</v>
      </c>
      <c r="B43" s="310"/>
      <c r="C43" s="311"/>
      <c r="D43" s="385" t="s">
        <v>397</v>
      </c>
      <c r="E43" s="386"/>
      <c r="F43" s="386"/>
      <c r="G43" s="386"/>
      <c r="H43" s="386"/>
      <c r="I43" s="386"/>
      <c r="J43" s="386"/>
      <c r="K43" s="386"/>
      <c r="L43" s="386"/>
      <c r="M43" s="386"/>
      <c r="N43" s="387"/>
      <c r="O43" s="191"/>
      <c r="P43" s="192"/>
      <c r="Q43" s="217"/>
      <c r="R43" s="191"/>
      <c r="S43" s="192"/>
      <c r="T43" s="217"/>
      <c r="U43" s="191"/>
      <c r="V43" s="192"/>
      <c r="W43" s="217"/>
      <c r="X43" s="191"/>
      <c r="Y43" s="192"/>
      <c r="Z43" s="217"/>
      <c r="AA43" s="191"/>
      <c r="AB43" s="192"/>
      <c r="AC43" s="217"/>
      <c r="AD43" s="191"/>
      <c r="AE43" s="192"/>
      <c r="AF43" s="217"/>
      <c r="AG43" s="191"/>
      <c r="AH43" s="192"/>
      <c r="AI43" s="217"/>
      <c r="AJ43" s="191"/>
      <c r="AK43" s="192"/>
      <c r="AL43" s="217"/>
      <c r="AM43" s="191"/>
      <c r="AN43" s="192"/>
      <c r="AO43" s="217"/>
      <c r="AP43" s="191"/>
      <c r="AQ43" s="192"/>
      <c r="AR43" s="217"/>
      <c r="AS43" s="191"/>
      <c r="AT43" s="192"/>
      <c r="AU43" s="217"/>
      <c r="AV43" s="191"/>
      <c r="AW43" s="192"/>
      <c r="AX43" s="217"/>
    </row>
    <row r="44" spans="1:50" ht="15.75" customHeight="1" thickBot="1" x14ac:dyDescent="0.25">
      <c r="A44" s="309" t="s">
        <v>387</v>
      </c>
      <c r="B44" s="310"/>
      <c r="C44" s="311"/>
      <c r="D44" s="385" t="s">
        <v>359</v>
      </c>
      <c r="E44" s="386"/>
      <c r="F44" s="386"/>
      <c r="G44" s="386"/>
      <c r="H44" s="386"/>
      <c r="I44" s="386"/>
      <c r="J44" s="386"/>
      <c r="K44" s="386"/>
      <c r="L44" s="386"/>
      <c r="M44" s="386"/>
      <c r="N44" s="387"/>
      <c r="O44" s="191"/>
      <c r="P44" s="192"/>
      <c r="Q44" s="217"/>
      <c r="R44" s="191"/>
      <c r="S44" s="192"/>
      <c r="T44" s="217"/>
      <c r="U44" s="191"/>
      <c r="V44" s="192"/>
      <c r="W44" s="217"/>
      <c r="X44" s="191"/>
      <c r="Y44" s="192"/>
      <c r="Z44" s="217"/>
      <c r="AA44" s="191"/>
      <c r="AB44" s="192"/>
      <c r="AC44" s="217"/>
      <c r="AD44" s="191"/>
      <c r="AE44" s="192"/>
      <c r="AF44" s="217"/>
      <c r="AG44" s="191"/>
      <c r="AH44" s="192"/>
      <c r="AI44" s="217"/>
      <c r="AJ44" s="191"/>
      <c r="AK44" s="192"/>
      <c r="AL44" s="217"/>
      <c r="AM44" s="191"/>
      <c r="AN44" s="192"/>
      <c r="AO44" s="217"/>
      <c r="AP44" s="191"/>
      <c r="AQ44" s="192"/>
      <c r="AR44" s="217"/>
      <c r="AS44" s="191"/>
      <c r="AT44" s="192"/>
      <c r="AU44" s="217"/>
      <c r="AV44" s="191"/>
      <c r="AW44" s="192"/>
      <c r="AX44" s="217"/>
    </row>
    <row r="45" spans="1:50" ht="14.25" customHeight="1" thickBot="1" x14ac:dyDescent="0.25">
      <c r="A45" s="382" t="s">
        <v>392</v>
      </c>
      <c r="B45" s="383"/>
      <c r="C45" s="384"/>
      <c r="D45" s="181" t="s">
        <v>266</v>
      </c>
      <c r="E45" s="182"/>
      <c r="F45" s="182"/>
      <c r="G45" s="182"/>
      <c r="H45" s="182"/>
      <c r="I45" s="182"/>
      <c r="J45" s="182"/>
      <c r="K45" s="182"/>
      <c r="L45" s="182"/>
      <c r="M45" s="182"/>
      <c r="N45" s="183"/>
      <c r="O45" s="327"/>
      <c r="P45" s="326"/>
      <c r="Q45" s="328"/>
      <c r="R45" s="327"/>
      <c r="S45" s="326"/>
      <c r="T45" s="328"/>
      <c r="U45" s="327"/>
      <c r="V45" s="326"/>
      <c r="W45" s="328"/>
      <c r="X45" s="327"/>
      <c r="Y45" s="326"/>
      <c r="Z45" s="328"/>
      <c r="AA45" s="327"/>
      <c r="AB45" s="326"/>
      <c r="AC45" s="328"/>
      <c r="AD45" s="327"/>
      <c r="AE45" s="326"/>
      <c r="AF45" s="328"/>
      <c r="AG45" s="327"/>
      <c r="AH45" s="326"/>
      <c r="AI45" s="328"/>
      <c r="AJ45" s="327"/>
      <c r="AK45" s="326"/>
      <c r="AL45" s="328"/>
      <c r="AM45" s="327"/>
      <c r="AN45" s="326"/>
      <c r="AO45" s="328"/>
      <c r="AP45" s="327"/>
      <c r="AQ45" s="326"/>
      <c r="AR45" s="328"/>
      <c r="AS45" s="327"/>
      <c r="AT45" s="326"/>
      <c r="AU45" s="328"/>
      <c r="AV45" s="327"/>
      <c r="AW45" s="326"/>
      <c r="AX45" s="328"/>
    </row>
    <row r="46" spans="1:50" ht="14.25" customHeight="1" x14ac:dyDescent="0.3">
      <c r="A46" s="180" t="s">
        <v>294</v>
      </c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</row>
    <row r="47" spans="1:50" ht="14.25" customHeight="1" x14ac:dyDescent="0.3"/>
  </sheetData>
  <mergeCells count="317">
    <mergeCell ref="AQ20:AT20"/>
    <mergeCell ref="AU20:AX20"/>
    <mergeCell ref="AA21:AD21"/>
    <mergeCell ref="AE21:AH21"/>
    <mergeCell ref="AI21:AL21"/>
    <mergeCell ref="AM21:AP21"/>
    <mergeCell ref="AQ21:AT21"/>
    <mergeCell ref="AU21:AX21"/>
    <mergeCell ref="A21:C21"/>
    <mergeCell ref="D21:N21"/>
    <mergeCell ref="O21:R21"/>
    <mergeCell ref="S21:V21"/>
    <mergeCell ref="W21:Z21"/>
    <mergeCell ref="A20:C20"/>
    <mergeCell ref="D20:N20"/>
    <mergeCell ref="O20:R20"/>
    <mergeCell ref="S20:V20"/>
    <mergeCell ref="W20:Z20"/>
    <mergeCell ref="AA20:AD20"/>
    <mergeCell ref="AE20:AH20"/>
    <mergeCell ref="AI20:AL20"/>
    <mergeCell ref="AM20:AP20"/>
    <mergeCell ref="AQ17:AT17"/>
    <mergeCell ref="AU17:AX17"/>
    <mergeCell ref="AU18:AX18"/>
    <mergeCell ref="D19:N19"/>
    <mergeCell ref="O19:R19"/>
    <mergeCell ref="S19:V19"/>
    <mergeCell ref="W19:Z19"/>
    <mergeCell ref="AA19:AD19"/>
    <mergeCell ref="AE19:AH19"/>
    <mergeCell ref="AI19:AL19"/>
    <mergeCell ref="AM19:AP19"/>
    <mergeCell ref="AQ19:AT19"/>
    <mergeCell ref="AU19:AX19"/>
    <mergeCell ref="D18:N18"/>
    <mergeCell ref="O18:R18"/>
    <mergeCell ref="S18:V18"/>
    <mergeCell ref="W18:Z18"/>
    <mergeCell ref="AA18:AD18"/>
    <mergeCell ref="AE18:AH18"/>
    <mergeCell ref="AI18:AL18"/>
    <mergeCell ref="AM18:AP18"/>
    <mergeCell ref="AQ18:AT18"/>
    <mergeCell ref="A17:C17"/>
    <mergeCell ref="D17:N17"/>
    <mergeCell ref="O17:R17"/>
    <mergeCell ref="S17:V17"/>
    <mergeCell ref="W17:Z17"/>
    <mergeCell ref="AA17:AD17"/>
    <mergeCell ref="AE17:AH17"/>
    <mergeCell ref="AI17:AL17"/>
    <mergeCell ref="AM17:AP17"/>
    <mergeCell ref="AQ15:AT15"/>
    <mergeCell ref="AU15:AX15"/>
    <mergeCell ref="A16:C16"/>
    <mergeCell ref="D16:N16"/>
    <mergeCell ref="O16:R16"/>
    <mergeCell ref="S16:V16"/>
    <mergeCell ref="W16:Z16"/>
    <mergeCell ref="AA16:AD16"/>
    <mergeCell ref="AE16:AH16"/>
    <mergeCell ref="AI16:AL16"/>
    <mergeCell ref="AM16:AP16"/>
    <mergeCell ref="AQ16:AT16"/>
    <mergeCell ref="AU16:AX16"/>
    <mergeCell ref="A15:C15"/>
    <mergeCell ref="D15:N15"/>
    <mergeCell ref="O15:R15"/>
    <mergeCell ref="S15:V15"/>
    <mergeCell ref="W15:Z15"/>
    <mergeCell ref="AA15:AD15"/>
    <mergeCell ref="AE15:AH15"/>
    <mergeCell ref="AI15:AL15"/>
    <mergeCell ref="AM15:AP15"/>
    <mergeCell ref="AQ13:AT13"/>
    <mergeCell ref="AU13:AX13"/>
    <mergeCell ref="A14:C14"/>
    <mergeCell ref="D14:N14"/>
    <mergeCell ref="O14:R14"/>
    <mergeCell ref="S14:V14"/>
    <mergeCell ref="W14:Z14"/>
    <mergeCell ref="AA14:AD14"/>
    <mergeCell ref="AE14:AH14"/>
    <mergeCell ref="AI14:AL14"/>
    <mergeCell ref="AM14:AP14"/>
    <mergeCell ref="AQ14:AT14"/>
    <mergeCell ref="AU14:AX14"/>
    <mergeCell ref="A13:C13"/>
    <mergeCell ref="D13:N13"/>
    <mergeCell ref="O13:R13"/>
    <mergeCell ref="S13:V13"/>
    <mergeCell ref="W13:Z13"/>
    <mergeCell ref="AA13:AD13"/>
    <mergeCell ref="AE13:AH13"/>
    <mergeCell ref="AI13:AL13"/>
    <mergeCell ref="AM13:AP13"/>
    <mergeCell ref="AE11:AH11"/>
    <mergeCell ref="AI11:AL11"/>
    <mergeCell ref="AM11:AP11"/>
    <mergeCell ref="AQ11:AT11"/>
    <mergeCell ref="AU11:AX11"/>
    <mergeCell ref="A12:C12"/>
    <mergeCell ref="D12:N12"/>
    <mergeCell ref="O12:R12"/>
    <mergeCell ref="S12:V12"/>
    <mergeCell ref="W12:Z12"/>
    <mergeCell ref="AA12:AD12"/>
    <mergeCell ref="AE12:AH12"/>
    <mergeCell ref="AI12:AL12"/>
    <mergeCell ref="AM12:AP12"/>
    <mergeCell ref="AQ12:AT12"/>
    <mergeCell ref="AU12:AX12"/>
    <mergeCell ref="A18:C18"/>
    <mergeCell ref="A19:C19"/>
    <mergeCell ref="A1:AX1"/>
    <mergeCell ref="A2:AX2"/>
    <mergeCell ref="D4:I4"/>
    <mergeCell ref="N4:R4"/>
    <mergeCell ref="S4:AI4"/>
    <mergeCell ref="E7:L7"/>
    <mergeCell ref="AM7:AN7"/>
    <mergeCell ref="A9:C11"/>
    <mergeCell ref="D9:N11"/>
    <mergeCell ref="O9:R10"/>
    <mergeCell ref="S9:V10"/>
    <mergeCell ref="W9:Z10"/>
    <mergeCell ref="AA9:AD10"/>
    <mergeCell ref="AE9:AH10"/>
    <mergeCell ref="AI9:AL10"/>
    <mergeCell ref="AM9:AP10"/>
    <mergeCell ref="AQ9:AT10"/>
    <mergeCell ref="AU9:AX10"/>
    <mergeCell ref="O11:R11"/>
    <mergeCell ref="S11:V11"/>
    <mergeCell ref="W11:Z11"/>
    <mergeCell ref="AA11:AD11"/>
    <mergeCell ref="A23:AX23"/>
    <mergeCell ref="A24:AX24"/>
    <mergeCell ref="D26:I26"/>
    <mergeCell ref="N26:R26"/>
    <mergeCell ref="S26:AE26"/>
    <mergeCell ref="E29:L29"/>
    <mergeCell ref="AI29:AJ29"/>
    <mergeCell ref="A31:C35"/>
    <mergeCell ref="D31:N35"/>
    <mergeCell ref="O31:AR31"/>
    <mergeCell ref="AS31:AU34"/>
    <mergeCell ref="AV31:AX34"/>
    <mergeCell ref="O32:W33"/>
    <mergeCell ref="X32:AL32"/>
    <mergeCell ref="AM32:AR33"/>
    <mergeCell ref="X33:AC33"/>
    <mergeCell ref="AD33:AI33"/>
    <mergeCell ref="AJ33:AL34"/>
    <mergeCell ref="O34:Q34"/>
    <mergeCell ref="R34:T34"/>
    <mergeCell ref="U34:W34"/>
    <mergeCell ref="X34:Z34"/>
    <mergeCell ref="AA34:AC34"/>
    <mergeCell ref="AD34:AF34"/>
    <mergeCell ref="AG34:AI34"/>
    <mergeCell ref="AM34:AO34"/>
    <mergeCell ref="AP34:AR34"/>
    <mergeCell ref="O35:Q35"/>
    <mergeCell ref="R35:T35"/>
    <mergeCell ref="U35:W35"/>
    <mergeCell ref="X35:Z35"/>
    <mergeCell ref="AA35:AC35"/>
    <mergeCell ref="AD35:AF35"/>
    <mergeCell ref="AG35:AI35"/>
    <mergeCell ref="AJ35:AL35"/>
    <mergeCell ref="AM35:AO35"/>
    <mergeCell ref="AP35:AR35"/>
    <mergeCell ref="AS35:AU35"/>
    <mergeCell ref="AV35:AX35"/>
    <mergeCell ref="A36:C36"/>
    <mergeCell ref="D36:N36"/>
    <mergeCell ref="O36:Q36"/>
    <mergeCell ref="R36:T36"/>
    <mergeCell ref="U36:W36"/>
    <mergeCell ref="X36:Z36"/>
    <mergeCell ref="AA36:AC36"/>
    <mergeCell ref="AD36:AF36"/>
    <mergeCell ref="AG36:AI36"/>
    <mergeCell ref="AJ36:AL36"/>
    <mergeCell ref="AM36:AO36"/>
    <mergeCell ref="AP36:AR36"/>
    <mergeCell ref="AS36:AU36"/>
    <mergeCell ref="AV36:AX36"/>
    <mergeCell ref="A37:C37"/>
    <mergeCell ref="D37:N37"/>
    <mergeCell ref="O37:Q37"/>
    <mergeCell ref="R37:T37"/>
    <mergeCell ref="U37:W37"/>
    <mergeCell ref="X37:Z37"/>
    <mergeCell ref="AA37:AC37"/>
    <mergeCell ref="AD37:AF37"/>
    <mergeCell ref="AG37:AI37"/>
    <mergeCell ref="AM39:AO39"/>
    <mergeCell ref="AP39:AR39"/>
    <mergeCell ref="AS39:AU39"/>
    <mergeCell ref="AV39:AX39"/>
    <mergeCell ref="A38:C38"/>
    <mergeCell ref="D38:N38"/>
    <mergeCell ref="O38:Q38"/>
    <mergeCell ref="R38:T38"/>
    <mergeCell ref="U38:W38"/>
    <mergeCell ref="X38:Z38"/>
    <mergeCell ref="AA38:AC38"/>
    <mergeCell ref="AD38:AF38"/>
    <mergeCell ref="AG38:AI38"/>
    <mergeCell ref="AJ37:AL37"/>
    <mergeCell ref="AM37:AO37"/>
    <mergeCell ref="AP37:AR37"/>
    <mergeCell ref="AS37:AU37"/>
    <mergeCell ref="AV37:AX37"/>
    <mergeCell ref="AJ38:AL38"/>
    <mergeCell ref="AM38:AO38"/>
    <mergeCell ref="AP38:AR38"/>
    <mergeCell ref="AS38:AU38"/>
    <mergeCell ref="AV38:AX38"/>
    <mergeCell ref="AJ40:AL40"/>
    <mergeCell ref="AM40:AO40"/>
    <mergeCell ref="AP40:AR40"/>
    <mergeCell ref="AS40:AU40"/>
    <mergeCell ref="AV40:AX40"/>
    <mergeCell ref="A39:C39"/>
    <mergeCell ref="D39:N39"/>
    <mergeCell ref="O39:Q39"/>
    <mergeCell ref="R39:T39"/>
    <mergeCell ref="U39:W39"/>
    <mergeCell ref="A40:C40"/>
    <mergeCell ref="D40:N40"/>
    <mergeCell ref="O40:Q40"/>
    <mergeCell ref="R40:T40"/>
    <mergeCell ref="U40:W40"/>
    <mergeCell ref="X40:Z40"/>
    <mergeCell ref="AA40:AC40"/>
    <mergeCell ref="AD40:AF40"/>
    <mergeCell ref="AG40:AI40"/>
    <mergeCell ref="X39:Z39"/>
    <mergeCell ref="AA39:AC39"/>
    <mergeCell ref="AD39:AF39"/>
    <mergeCell ref="AG39:AI39"/>
    <mergeCell ref="AJ39:AL39"/>
    <mergeCell ref="AJ41:AL41"/>
    <mergeCell ref="AM41:AO41"/>
    <mergeCell ref="AP41:AR41"/>
    <mergeCell ref="AS41:AU41"/>
    <mergeCell ref="AV41:AX41"/>
    <mergeCell ref="A41:C41"/>
    <mergeCell ref="D41:N41"/>
    <mergeCell ref="O41:Q41"/>
    <mergeCell ref="R41:T41"/>
    <mergeCell ref="U41:W41"/>
    <mergeCell ref="X41:Z41"/>
    <mergeCell ref="AA41:AC41"/>
    <mergeCell ref="AD41:AF41"/>
    <mergeCell ref="AG41:AI41"/>
    <mergeCell ref="AV42:AX42"/>
    <mergeCell ref="A43:C43"/>
    <mergeCell ref="D43:N43"/>
    <mergeCell ref="O43:Q43"/>
    <mergeCell ref="R43:T43"/>
    <mergeCell ref="U43:W43"/>
    <mergeCell ref="X43:Z43"/>
    <mergeCell ref="AA43:AC43"/>
    <mergeCell ref="AD43:AF43"/>
    <mergeCell ref="AG43:AI43"/>
    <mergeCell ref="AJ43:AL43"/>
    <mergeCell ref="AM43:AO43"/>
    <mergeCell ref="AP43:AR43"/>
    <mergeCell ref="AS43:AU43"/>
    <mergeCell ref="AV43:AX43"/>
    <mergeCell ref="A42:C42"/>
    <mergeCell ref="D42:N42"/>
    <mergeCell ref="O42:Q42"/>
    <mergeCell ref="R42:T42"/>
    <mergeCell ref="U42:W42"/>
    <mergeCell ref="X42:Z42"/>
    <mergeCell ref="AA42:AC42"/>
    <mergeCell ref="AD42:AF42"/>
    <mergeCell ref="AG42:AI42"/>
    <mergeCell ref="U44:W44"/>
    <mergeCell ref="X44:Z44"/>
    <mergeCell ref="AA44:AC44"/>
    <mergeCell ref="AD44:AF44"/>
    <mergeCell ref="AG44:AI44"/>
    <mergeCell ref="AJ42:AL42"/>
    <mergeCell ref="AM42:AO42"/>
    <mergeCell ref="AP42:AR42"/>
    <mergeCell ref="AS42:AU42"/>
    <mergeCell ref="A46:V46"/>
    <mergeCell ref="AJ44:AL44"/>
    <mergeCell ref="AM44:AO44"/>
    <mergeCell ref="AP44:AR44"/>
    <mergeCell ref="AS44:AU44"/>
    <mergeCell ref="AV44:AX44"/>
    <mergeCell ref="A45:C45"/>
    <mergeCell ref="D45:N45"/>
    <mergeCell ref="O45:Q45"/>
    <mergeCell ref="R45:T45"/>
    <mergeCell ref="U45:W45"/>
    <mergeCell ref="X45:Z45"/>
    <mergeCell ref="AA45:AC45"/>
    <mergeCell ref="AD45:AF45"/>
    <mergeCell ref="AG45:AI45"/>
    <mergeCell ref="AJ45:AL45"/>
    <mergeCell ref="AM45:AO45"/>
    <mergeCell ref="AP45:AR45"/>
    <mergeCell ref="AS45:AU45"/>
    <mergeCell ref="AV45:AX45"/>
    <mergeCell ref="A44:C44"/>
    <mergeCell ref="D44:N44"/>
    <mergeCell ref="O44:Q44"/>
    <mergeCell ref="R44:T44"/>
  </mergeCells>
  <pageMargins left="0.70866141732283472" right="0.70866141732283472" top="0.74803149606299213" bottom="0.74803149606299213" header="0.31496062992125984" footer="0.31496062992125984"/>
  <pageSetup paperSize="9" scale="75" orientation="landscape" horizontalDpi="300" verticalDpi="300" r:id="rId1"/>
  <rowBreaks count="1" manualBreakCount="1">
    <brk id="21" max="4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AL99"/>
  <sheetViews>
    <sheetView showGridLines="0" view="pageBreakPreview" zoomScaleNormal="100" zoomScaleSheetLayoutView="100" workbookViewId="0">
      <selection activeCell="A90" sqref="A90:D90"/>
    </sheetView>
  </sheetViews>
  <sheetFormatPr baseColWidth="10" defaultColWidth="3.44140625" defaultRowHeight="10.199999999999999" x14ac:dyDescent="0.3"/>
  <cols>
    <col min="1" max="5" width="3.44140625" style="1"/>
    <col min="6" max="6" width="4.44140625" style="1" bestFit="1" customWidth="1"/>
    <col min="7" max="25" width="3.44140625" style="1"/>
    <col min="26" max="26" width="3.44140625" style="1" customWidth="1"/>
    <col min="27" max="27" width="5.44140625" style="1" customWidth="1"/>
    <col min="28" max="28" width="0.77734375" style="1" customWidth="1"/>
    <col min="29" max="31" width="3.77734375" style="1" bestFit="1" customWidth="1"/>
    <col min="32" max="32" width="4.44140625" style="1" bestFit="1" customWidth="1"/>
    <col min="33" max="35" width="3.77734375" style="1" bestFit="1" customWidth="1"/>
    <col min="36" max="36" width="1" style="1" customWidth="1"/>
    <col min="37" max="37" width="3.77734375" style="1" hidden="1" customWidth="1"/>
    <col min="38" max="38" width="0.21875" style="1" customWidth="1"/>
    <col min="39" max="16384" width="3.44140625" style="1"/>
  </cols>
  <sheetData>
    <row r="1" spans="1:38" x14ac:dyDescent="0.3">
      <c r="A1" s="214" t="s">
        <v>395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</row>
    <row r="2" spans="1:38" ht="10.8" thickBot="1" x14ac:dyDescent="0.35">
      <c r="A2" s="120" t="s">
        <v>585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</row>
    <row r="3" spans="1:38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6"/>
      <c r="J4" s="156"/>
      <c r="K4" s="156"/>
      <c r="L4" s="157"/>
      <c r="M4" s="25"/>
      <c r="N4" s="25"/>
      <c r="O4" s="25"/>
      <c r="P4" s="25"/>
      <c r="Q4" s="158" t="s">
        <v>478</v>
      </c>
      <c r="R4" s="158"/>
      <c r="S4" s="158"/>
      <c r="T4" s="158"/>
      <c r="U4" s="158"/>
      <c r="V4" s="155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7"/>
      <c r="AI4" s="25"/>
      <c r="AJ4" s="25"/>
      <c r="AK4" s="25"/>
      <c r="AL4" s="25"/>
    </row>
    <row r="5" spans="1:38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spans="1:38" x14ac:dyDescent="0.2">
      <c r="A6" s="24"/>
      <c r="B6" s="25"/>
      <c r="C6" s="25"/>
      <c r="D6" s="25"/>
      <c r="E6" s="25"/>
      <c r="F6" s="25"/>
      <c r="G6" s="25"/>
      <c r="H6" s="27" t="s">
        <v>128</v>
      </c>
      <c r="I6" s="27" t="s">
        <v>128</v>
      </c>
      <c r="J6" s="27" t="s">
        <v>128</v>
      </c>
      <c r="K6" s="27" t="s">
        <v>128</v>
      </c>
      <c r="L6" s="27" t="s">
        <v>127</v>
      </c>
      <c r="M6" s="27" t="s">
        <v>127</v>
      </c>
      <c r="N6" s="27" t="s">
        <v>126</v>
      </c>
      <c r="O6" s="27" t="s">
        <v>126</v>
      </c>
      <c r="P6" s="25"/>
      <c r="Q6" s="25"/>
      <c r="R6" s="25"/>
      <c r="S6" s="25"/>
      <c r="T6" s="27"/>
      <c r="U6" s="27"/>
      <c r="V6" s="27"/>
      <c r="W6" s="27"/>
      <c r="X6" s="27"/>
      <c r="Y6" s="25"/>
      <c r="Z6" s="27"/>
      <c r="AA6" s="25"/>
      <c r="AB6" s="25"/>
      <c r="AC6" s="27" t="s">
        <v>259</v>
      </c>
      <c r="AD6" s="27" t="s">
        <v>128</v>
      </c>
      <c r="AE6" s="27"/>
      <c r="AF6" s="25"/>
      <c r="AG6" s="25"/>
      <c r="AH6" s="25"/>
      <c r="AI6" s="25"/>
      <c r="AJ6" s="25"/>
      <c r="AK6" s="25"/>
      <c r="AL6" s="27">
        <v>1</v>
      </c>
    </row>
    <row r="7" spans="1:38" x14ac:dyDescent="0.2">
      <c r="A7" s="24"/>
      <c r="B7" s="25"/>
      <c r="C7" s="25"/>
      <c r="D7" s="25"/>
      <c r="E7" s="25"/>
      <c r="F7" s="25"/>
      <c r="G7" s="25"/>
      <c r="H7" s="159" t="s">
        <v>129</v>
      </c>
      <c r="I7" s="159"/>
      <c r="J7" s="159"/>
      <c r="K7" s="159"/>
      <c r="L7" s="159"/>
      <c r="M7" s="159"/>
      <c r="N7" s="159"/>
      <c r="O7" s="159"/>
      <c r="P7" s="19"/>
      <c r="Q7" s="25"/>
      <c r="R7" s="25"/>
      <c r="S7" s="25"/>
      <c r="T7" s="25"/>
      <c r="U7" s="25"/>
      <c r="V7" s="33" t="s">
        <v>130</v>
      </c>
      <c r="W7" s="33"/>
      <c r="X7" s="25"/>
      <c r="Y7" s="25"/>
      <c r="Z7" s="25" t="s">
        <v>244</v>
      </c>
      <c r="AA7" s="25"/>
      <c r="AB7" s="25"/>
      <c r="AC7" s="25"/>
      <c r="AD7" s="19" t="s">
        <v>245</v>
      </c>
      <c r="AE7" s="25"/>
      <c r="AF7" s="25"/>
      <c r="AG7" s="25"/>
      <c r="AH7" s="25"/>
      <c r="AI7" s="25"/>
      <c r="AJ7" s="25"/>
      <c r="AK7" s="25"/>
      <c r="AL7" s="33" t="s">
        <v>131</v>
      </c>
    </row>
    <row r="8" spans="1:38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spans="1:38" ht="15.75" customHeight="1" thickBot="1" x14ac:dyDescent="0.35">
      <c r="A9" s="122" t="s">
        <v>761</v>
      </c>
      <c r="B9" s="123"/>
      <c r="C9" s="123"/>
      <c r="D9" s="123"/>
      <c r="E9" s="143" t="s">
        <v>485</v>
      </c>
      <c r="F9" s="144"/>
      <c r="G9" s="145"/>
      <c r="H9" s="144" t="s">
        <v>235</v>
      </c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5"/>
      <c r="AC9" s="144" t="s">
        <v>0</v>
      </c>
      <c r="AD9" s="144"/>
      <c r="AE9" s="144"/>
      <c r="AF9" s="144"/>
      <c r="AG9" s="144"/>
      <c r="AH9" s="144"/>
      <c r="AI9" s="144"/>
      <c r="AJ9" s="144"/>
      <c r="AK9" s="144"/>
      <c r="AL9" s="145"/>
    </row>
    <row r="10" spans="1:38" ht="15.75" customHeight="1" thickBot="1" x14ac:dyDescent="0.35">
      <c r="A10" s="125"/>
      <c r="B10" s="126"/>
      <c r="C10" s="126"/>
      <c r="D10" s="126"/>
      <c r="E10" s="146"/>
      <c r="F10" s="147"/>
      <c r="G10" s="148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8"/>
      <c r="AC10" s="153" t="s">
        <v>672</v>
      </c>
      <c r="AD10" s="153"/>
      <c r="AE10" s="153"/>
      <c r="AF10" s="153"/>
      <c r="AG10" s="154"/>
      <c r="AH10" s="152" t="s">
        <v>511</v>
      </c>
      <c r="AI10" s="153"/>
      <c r="AJ10" s="153"/>
      <c r="AK10" s="153"/>
      <c r="AL10" s="154"/>
    </row>
    <row r="11" spans="1:38" ht="15.75" customHeight="1" thickBot="1" x14ac:dyDescent="0.35">
      <c r="A11" s="128"/>
      <c r="B11" s="129"/>
      <c r="C11" s="129"/>
      <c r="D11" s="129"/>
      <c r="E11" s="149"/>
      <c r="F11" s="150"/>
      <c r="G11" s="151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1"/>
      <c r="AC11" s="153">
        <v>1</v>
      </c>
      <c r="AD11" s="153"/>
      <c r="AE11" s="153"/>
      <c r="AF11" s="153"/>
      <c r="AG11" s="154"/>
      <c r="AH11" s="152">
        <v>2</v>
      </c>
      <c r="AI11" s="153"/>
      <c r="AJ11" s="153"/>
      <c r="AK11" s="153"/>
      <c r="AL11" s="154"/>
    </row>
    <row r="12" spans="1:38" ht="15.75" customHeight="1" thickBot="1" x14ac:dyDescent="0.35">
      <c r="A12" s="434" t="s">
        <v>38</v>
      </c>
      <c r="B12" s="435"/>
      <c r="C12" s="435"/>
      <c r="D12" s="435"/>
      <c r="E12" s="152"/>
      <c r="F12" s="153"/>
      <c r="G12" s="154"/>
      <c r="H12" s="439" t="s">
        <v>550</v>
      </c>
      <c r="I12" s="439"/>
      <c r="J12" s="439"/>
      <c r="K12" s="439"/>
      <c r="L12" s="439"/>
      <c r="M12" s="439"/>
      <c r="N12" s="439"/>
      <c r="O12" s="439"/>
      <c r="P12" s="439"/>
      <c r="Q12" s="439"/>
      <c r="R12" s="439"/>
      <c r="S12" s="439"/>
      <c r="T12" s="439"/>
      <c r="U12" s="439"/>
      <c r="V12" s="439"/>
      <c r="W12" s="439"/>
      <c r="X12" s="439"/>
      <c r="Y12" s="439"/>
      <c r="Z12" s="439"/>
      <c r="AA12" s="439"/>
      <c r="AB12" s="439"/>
      <c r="AC12" s="400">
        <f>AC13+AC17+AC25+AC32+AC37+AC41+AC44</f>
        <v>0</v>
      </c>
      <c r="AD12" s="401"/>
      <c r="AE12" s="401"/>
      <c r="AF12" s="401"/>
      <c r="AG12" s="402"/>
      <c r="AH12" s="400" t="e">
        <f>(AC12/$AC$12)*100</f>
        <v>#DIV/0!</v>
      </c>
      <c r="AI12" s="401"/>
      <c r="AJ12" s="401"/>
      <c r="AK12" s="401"/>
      <c r="AL12" s="402"/>
    </row>
    <row r="13" spans="1:38" ht="15" customHeight="1" thickBot="1" x14ac:dyDescent="0.35">
      <c r="A13" s="428" t="s">
        <v>39</v>
      </c>
      <c r="B13" s="429"/>
      <c r="C13" s="429"/>
      <c r="D13" s="429"/>
      <c r="E13" s="152">
        <v>70</v>
      </c>
      <c r="F13" s="153"/>
      <c r="G13" s="154"/>
      <c r="H13" s="397" t="s">
        <v>486</v>
      </c>
      <c r="I13" s="398"/>
      <c r="J13" s="398"/>
      <c r="K13" s="398"/>
      <c r="L13" s="398"/>
      <c r="M13" s="398"/>
      <c r="N13" s="398"/>
      <c r="O13" s="398"/>
      <c r="P13" s="398"/>
      <c r="Q13" s="398"/>
      <c r="R13" s="398"/>
      <c r="S13" s="398"/>
      <c r="T13" s="398"/>
      <c r="U13" s="398"/>
      <c r="V13" s="398"/>
      <c r="W13" s="398"/>
      <c r="X13" s="398"/>
      <c r="Y13" s="398"/>
      <c r="Z13" s="398"/>
      <c r="AA13" s="398"/>
      <c r="AB13" s="399"/>
      <c r="AC13" s="401">
        <f>+AC14+AC15+AC16</f>
        <v>0</v>
      </c>
      <c r="AD13" s="401"/>
      <c r="AE13" s="401"/>
      <c r="AF13" s="401"/>
      <c r="AG13" s="402"/>
      <c r="AH13" s="400" t="e">
        <f>(AC13/$AC$12)*100</f>
        <v>#DIV/0!</v>
      </c>
      <c r="AI13" s="401"/>
      <c r="AJ13" s="401"/>
      <c r="AK13" s="401"/>
      <c r="AL13" s="402"/>
    </row>
    <row r="14" spans="1:38" x14ac:dyDescent="0.3">
      <c r="A14" s="300" t="s">
        <v>40</v>
      </c>
      <c r="B14" s="301"/>
      <c r="C14" s="301"/>
      <c r="D14" s="301"/>
      <c r="E14" s="191">
        <v>701</v>
      </c>
      <c r="F14" s="192"/>
      <c r="G14" s="217"/>
      <c r="H14" s="303" t="s">
        <v>487</v>
      </c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4"/>
      <c r="AC14" s="438"/>
      <c r="AD14" s="422"/>
      <c r="AE14" s="422"/>
      <c r="AF14" s="422"/>
      <c r="AG14" s="423"/>
      <c r="AH14" s="421" t="e">
        <f>(AC14/$AC$12)*100</f>
        <v>#DIV/0!</v>
      </c>
      <c r="AI14" s="422"/>
      <c r="AJ14" s="422"/>
      <c r="AK14" s="422"/>
      <c r="AL14" s="423"/>
    </row>
    <row r="15" spans="1:38" x14ac:dyDescent="0.3">
      <c r="A15" s="300" t="s">
        <v>41</v>
      </c>
      <c r="B15" s="301"/>
      <c r="C15" s="301"/>
      <c r="D15" s="301"/>
      <c r="E15" s="191">
        <v>702</v>
      </c>
      <c r="F15" s="192"/>
      <c r="G15" s="217"/>
      <c r="H15" s="303" t="s">
        <v>488</v>
      </c>
      <c r="I15" s="303"/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3"/>
      <c r="AA15" s="303"/>
      <c r="AB15" s="304"/>
      <c r="AC15" s="438"/>
      <c r="AD15" s="422"/>
      <c r="AE15" s="422"/>
      <c r="AF15" s="422"/>
      <c r="AG15" s="423"/>
      <c r="AH15" s="421" t="e">
        <f t="shared" ref="AH15:AH16" si="0">(AC15/$AC$12)*100</f>
        <v>#DIV/0!</v>
      </c>
      <c r="AI15" s="422"/>
      <c r="AJ15" s="422"/>
      <c r="AK15" s="422"/>
      <c r="AL15" s="423"/>
    </row>
    <row r="16" spans="1:38" ht="10.8" thickBot="1" x14ac:dyDescent="0.35">
      <c r="A16" s="300" t="s">
        <v>42</v>
      </c>
      <c r="B16" s="301"/>
      <c r="C16" s="301"/>
      <c r="D16" s="301"/>
      <c r="E16" s="191">
        <v>703</v>
      </c>
      <c r="F16" s="192"/>
      <c r="G16" s="217"/>
      <c r="H16" s="303" t="s">
        <v>489</v>
      </c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3"/>
      <c r="AA16" s="303"/>
      <c r="AB16" s="304"/>
      <c r="AC16" s="438">
        <v>0</v>
      </c>
      <c r="AD16" s="422"/>
      <c r="AE16" s="422"/>
      <c r="AF16" s="422"/>
      <c r="AG16" s="423"/>
      <c r="AH16" s="421" t="e">
        <f t="shared" si="0"/>
        <v>#DIV/0!</v>
      </c>
      <c r="AI16" s="422"/>
      <c r="AJ16" s="422"/>
      <c r="AK16" s="422"/>
      <c r="AL16" s="423"/>
    </row>
    <row r="17" spans="1:38" ht="10.8" thickBot="1" x14ac:dyDescent="0.35">
      <c r="A17" s="428" t="s">
        <v>43</v>
      </c>
      <c r="B17" s="429"/>
      <c r="C17" s="429"/>
      <c r="D17" s="429"/>
      <c r="E17" s="152">
        <v>71</v>
      </c>
      <c r="F17" s="153"/>
      <c r="G17" s="154"/>
      <c r="H17" s="398" t="s">
        <v>490</v>
      </c>
      <c r="I17" s="398"/>
      <c r="J17" s="398"/>
      <c r="K17" s="398"/>
      <c r="L17" s="398"/>
      <c r="M17" s="398"/>
      <c r="N17" s="398"/>
      <c r="O17" s="398"/>
      <c r="P17" s="398"/>
      <c r="Q17" s="398"/>
      <c r="R17" s="398"/>
      <c r="S17" s="398"/>
      <c r="T17" s="398"/>
      <c r="U17" s="398"/>
      <c r="V17" s="398"/>
      <c r="W17" s="398"/>
      <c r="X17" s="398"/>
      <c r="Y17" s="398"/>
      <c r="Z17" s="398"/>
      <c r="AA17" s="398"/>
      <c r="AB17" s="399"/>
      <c r="AC17" s="400">
        <f>+AC18+AC19+AC20+AC21+AC22+AC23+AC24</f>
        <v>0</v>
      </c>
      <c r="AD17" s="401"/>
      <c r="AE17" s="401"/>
      <c r="AF17" s="401"/>
      <c r="AG17" s="402"/>
      <c r="AH17" s="400" t="e">
        <f>(AC17/$AC$12)*100</f>
        <v>#DIV/0!</v>
      </c>
      <c r="AI17" s="401"/>
      <c r="AJ17" s="401"/>
      <c r="AK17" s="401"/>
      <c r="AL17" s="402"/>
    </row>
    <row r="18" spans="1:38" x14ac:dyDescent="0.3">
      <c r="A18" s="300" t="s">
        <v>44</v>
      </c>
      <c r="B18" s="301"/>
      <c r="C18" s="301"/>
      <c r="D18" s="301"/>
      <c r="E18" s="191">
        <v>711</v>
      </c>
      <c r="F18" s="192"/>
      <c r="G18" s="217"/>
      <c r="H18" s="303" t="s">
        <v>491</v>
      </c>
      <c r="I18" s="303"/>
      <c r="J18" s="303"/>
      <c r="K18" s="303"/>
      <c r="L18" s="303"/>
      <c r="M18" s="303"/>
      <c r="N18" s="303"/>
      <c r="O18" s="303"/>
      <c r="P18" s="303"/>
      <c r="Q18" s="303"/>
      <c r="R18" s="303"/>
      <c r="S18" s="303"/>
      <c r="T18" s="303"/>
      <c r="U18" s="303"/>
      <c r="V18" s="303"/>
      <c r="W18" s="303"/>
      <c r="X18" s="303"/>
      <c r="Y18" s="303"/>
      <c r="Z18" s="303"/>
      <c r="AA18" s="303"/>
      <c r="AB18" s="304"/>
      <c r="AC18" s="438"/>
      <c r="AD18" s="438"/>
      <c r="AE18" s="438"/>
      <c r="AF18" s="438"/>
      <c r="AG18" s="423"/>
      <c r="AH18" s="421" t="e">
        <f t="shared" ref="AH18" si="1">(AC18/$AC$12)*100</f>
        <v>#DIV/0!</v>
      </c>
      <c r="AI18" s="422"/>
      <c r="AJ18" s="422"/>
      <c r="AK18" s="422"/>
      <c r="AL18" s="423"/>
    </row>
    <row r="19" spans="1:38" x14ac:dyDescent="0.3">
      <c r="A19" s="300" t="s">
        <v>45</v>
      </c>
      <c r="B19" s="301"/>
      <c r="C19" s="301"/>
      <c r="D19" s="301"/>
      <c r="E19" s="191">
        <v>712</v>
      </c>
      <c r="F19" s="192"/>
      <c r="G19" s="217"/>
      <c r="H19" s="303" t="s">
        <v>492</v>
      </c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303"/>
      <c r="AB19" s="304"/>
      <c r="AC19" s="438"/>
      <c r="AD19" s="438"/>
      <c r="AE19" s="438"/>
      <c r="AF19" s="438"/>
      <c r="AG19" s="423"/>
      <c r="AH19" s="421" t="e">
        <f t="shared" ref="AH19:AH24" si="2">(AC19/$AC$12)*100</f>
        <v>#DIV/0!</v>
      </c>
      <c r="AI19" s="422"/>
      <c r="AJ19" s="422"/>
      <c r="AK19" s="422"/>
      <c r="AL19" s="423"/>
    </row>
    <row r="20" spans="1:38" x14ac:dyDescent="0.3">
      <c r="A20" s="300" t="s">
        <v>46</v>
      </c>
      <c r="B20" s="301"/>
      <c r="C20" s="301"/>
      <c r="D20" s="301"/>
      <c r="E20" s="191">
        <v>713</v>
      </c>
      <c r="F20" s="192"/>
      <c r="G20" s="217"/>
      <c r="H20" s="303" t="s">
        <v>493</v>
      </c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4"/>
      <c r="AC20" s="438"/>
      <c r="AD20" s="438"/>
      <c r="AE20" s="438"/>
      <c r="AF20" s="438"/>
      <c r="AG20" s="423"/>
      <c r="AH20" s="421" t="e">
        <f t="shared" si="2"/>
        <v>#DIV/0!</v>
      </c>
      <c r="AI20" s="422"/>
      <c r="AJ20" s="422"/>
      <c r="AK20" s="422"/>
      <c r="AL20" s="423"/>
    </row>
    <row r="21" spans="1:38" x14ac:dyDescent="0.3">
      <c r="A21" s="300" t="s">
        <v>47</v>
      </c>
      <c r="B21" s="301"/>
      <c r="C21" s="301"/>
      <c r="D21" s="301"/>
      <c r="E21" s="191">
        <v>714</v>
      </c>
      <c r="F21" s="192"/>
      <c r="G21" s="217"/>
      <c r="H21" s="303" t="s">
        <v>494</v>
      </c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4"/>
      <c r="AC21" s="438"/>
      <c r="AD21" s="438"/>
      <c r="AE21" s="438"/>
      <c r="AF21" s="438"/>
      <c r="AG21" s="423"/>
      <c r="AH21" s="421" t="e">
        <f t="shared" si="2"/>
        <v>#DIV/0!</v>
      </c>
      <c r="AI21" s="422"/>
      <c r="AJ21" s="422"/>
      <c r="AK21" s="422"/>
      <c r="AL21" s="423"/>
    </row>
    <row r="22" spans="1:38" x14ac:dyDescent="0.3">
      <c r="A22" s="300" t="s">
        <v>48</v>
      </c>
      <c r="B22" s="301"/>
      <c r="C22" s="301"/>
      <c r="D22" s="301"/>
      <c r="E22" s="191">
        <v>715</v>
      </c>
      <c r="F22" s="192"/>
      <c r="G22" s="217"/>
      <c r="H22" s="303" t="s">
        <v>495</v>
      </c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3"/>
      <c r="AA22" s="303"/>
      <c r="AB22" s="304"/>
      <c r="AC22" s="438"/>
      <c r="AD22" s="438"/>
      <c r="AE22" s="438"/>
      <c r="AF22" s="438"/>
      <c r="AG22" s="423"/>
      <c r="AH22" s="421" t="e">
        <f t="shared" si="2"/>
        <v>#DIV/0!</v>
      </c>
      <c r="AI22" s="422"/>
      <c r="AJ22" s="422"/>
      <c r="AK22" s="422"/>
      <c r="AL22" s="423"/>
    </row>
    <row r="23" spans="1:38" x14ac:dyDescent="0.3">
      <c r="A23" s="300" t="s">
        <v>49</v>
      </c>
      <c r="B23" s="301"/>
      <c r="C23" s="301"/>
      <c r="D23" s="301"/>
      <c r="E23" s="191">
        <v>716</v>
      </c>
      <c r="F23" s="192"/>
      <c r="G23" s="217"/>
      <c r="H23" s="303" t="s">
        <v>496</v>
      </c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4"/>
      <c r="AC23" s="438"/>
      <c r="AD23" s="438"/>
      <c r="AE23" s="438"/>
      <c r="AF23" s="438"/>
      <c r="AG23" s="423"/>
      <c r="AH23" s="421" t="e">
        <f t="shared" si="2"/>
        <v>#DIV/0!</v>
      </c>
      <c r="AI23" s="422"/>
      <c r="AJ23" s="422"/>
      <c r="AK23" s="422"/>
      <c r="AL23" s="423"/>
    </row>
    <row r="24" spans="1:38" ht="10.8" thickBot="1" x14ac:dyDescent="0.35">
      <c r="A24" s="10"/>
      <c r="B24" s="17"/>
      <c r="C24" s="17"/>
      <c r="D24" s="17"/>
      <c r="E24" s="191">
        <v>717</v>
      </c>
      <c r="F24" s="192">
        <v>717</v>
      </c>
      <c r="G24" s="217"/>
      <c r="H24" s="303" t="s">
        <v>730</v>
      </c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3"/>
      <c r="Y24" s="303"/>
      <c r="Z24" s="303"/>
      <c r="AA24" s="303"/>
      <c r="AB24" s="304"/>
      <c r="AC24" s="115"/>
      <c r="AD24" s="197"/>
      <c r="AE24" s="197"/>
      <c r="AF24" s="197"/>
      <c r="AG24" s="117"/>
      <c r="AH24" s="421" t="e">
        <f t="shared" si="2"/>
        <v>#DIV/0!</v>
      </c>
      <c r="AI24" s="422"/>
      <c r="AJ24" s="422"/>
      <c r="AK24" s="422"/>
      <c r="AL24" s="423"/>
    </row>
    <row r="25" spans="1:38" ht="10.8" thickBot="1" x14ac:dyDescent="0.35">
      <c r="A25" s="428" t="s">
        <v>50</v>
      </c>
      <c r="B25" s="429"/>
      <c r="C25" s="429"/>
      <c r="D25" s="429"/>
      <c r="E25" s="152">
        <v>72</v>
      </c>
      <c r="F25" s="153"/>
      <c r="G25" s="154"/>
      <c r="H25" s="398" t="s">
        <v>497</v>
      </c>
      <c r="I25" s="398"/>
      <c r="J25" s="398"/>
      <c r="K25" s="398"/>
      <c r="L25" s="398"/>
      <c r="M25" s="398"/>
      <c r="N25" s="398"/>
      <c r="O25" s="398"/>
      <c r="P25" s="398"/>
      <c r="Q25" s="398"/>
      <c r="R25" s="398"/>
      <c r="S25" s="398"/>
      <c r="T25" s="398"/>
      <c r="U25" s="398"/>
      <c r="V25" s="398"/>
      <c r="W25" s="398"/>
      <c r="X25" s="398"/>
      <c r="Y25" s="398"/>
      <c r="Z25" s="398"/>
      <c r="AA25" s="398"/>
      <c r="AB25" s="399"/>
      <c r="AC25" s="400">
        <f>+AC26+AC27+AC28+AC29+AC30+AC31</f>
        <v>0</v>
      </c>
      <c r="AD25" s="401"/>
      <c r="AE25" s="401"/>
      <c r="AF25" s="401"/>
      <c r="AG25" s="402"/>
      <c r="AH25" s="400" t="e">
        <f>(AC25/$AC$12)*100</f>
        <v>#DIV/0!</v>
      </c>
      <c r="AI25" s="401"/>
      <c r="AJ25" s="401"/>
      <c r="AK25" s="401"/>
      <c r="AL25" s="402"/>
    </row>
    <row r="26" spans="1:38" x14ac:dyDescent="0.3">
      <c r="A26" s="300" t="s">
        <v>51</v>
      </c>
      <c r="B26" s="301"/>
      <c r="C26" s="301"/>
      <c r="D26" s="301"/>
      <c r="E26" s="191">
        <v>721</v>
      </c>
      <c r="F26" s="192"/>
      <c r="G26" s="217"/>
      <c r="H26" s="303" t="s">
        <v>498</v>
      </c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4"/>
      <c r="AC26" s="438">
        <v>0</v>
      </c>
      <c r="AD26" s="422"/>
      <c r="AE26" s="422"/>
      <c r="AF26" s="422"/>
      <c r="AG26" s="423"/>
      <c r="AH26" s="421" t="e">
        <f t="shared" ref="AH26" si="3">(AC26/$AC$12)*100</f>
        <v>#DIV/0!</v>
      </c>
      <c r="AI26" s="422"/>
      <c r="AJ26" s="422"/>
      <c r="AK26" s="422"/>
      <c r="AL26" s="423"/>
    </row>
    <row r="27" spans="1:38" x14ac:dyDescent="0.3">
      <c r="A27" s="300" t="s">
        <v>52</v>
      </c>
      <c r="B27" s="301"/>
      <c r="C27" s="301"/>
      <c r="D27" s="301"/>
      <c r="E27" s="191">
        <v>722</v>
      </c>
      <c r="F27" s="192"/>
      <c r="G27" s="217"/>
      <c r="H27" s="303" t="s">
        <v>499</v>
      </c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3"/>
      <c r="AA27" s="303"/>
      <c r="AB27" s="304"/>
      <c r="AC27" s="438">
        <v>0</v>
      </c>
      <c r="AD27" s="422"/>
      <c r="AE27" s="422"/>
      <c r="AF27" s="422"/>
      <c r="AG27" s="423"/>
      <c r="AH27" s="421" t="e">
        <f t="shared" ref="AH27:AH31" si="4">(AC27/$AC$12)*100</f>
        <v>#DIV/0!</v>
      </c>
      <c r="AI27" s="422"/>
      <c r="AJ27" s="422"/>
      <c r="AK27" s="422"/>
      <c r="AL27" s="423"/>
    </row>
    <row r="28" spans="1:38" x14ac:dyDescent="0.3">
      <c r="A28" s="300" t="s">
        <v>53</v>
      </c>
      <c r="B28" s="301"/>
      <c r="C28" s="301"/>
      <c r="D28" s="301"/>
      <c r="E28" s="191">
        <v>723</v>
      </c>
      <c r="F28" s="192"/>
      <c r="G28" s="217"/>
      <c r="H28" s="303" t="s">
        <v>501</v>
      </c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4"/>
      <c r="AC28" s="438">
        <v>0</v>
      </c>
      <c r="AD28" s="422"/>
      <c r="AE28" s="422"/>
      <c r="AF28" s="422"/>
      <c r="AG28" s="423"/>
      <c r="AH28" s="421" t="e">
        <f t="shared" si="4"/>
        <v>#DIV/0!</v>
      </c>
      <c r="AI28" s="422"/>
      <c r="AJ28" s="422"/>
      <c r="AK28" s="422"/>
      <c r="AL28" s="423"/>
    </row>
    <row r="29" spans="1:38" x14ac:dyDescent="0.3">
      <c r="A29" s="300" t="s">
        <v>54</v>
      </c>
      <c r="B29" s="301"/>
      <c r="C29" s="301"/>
      <c r="D29" s="301"/>
      <c r="E29" s="191">
        <v>724</v>
      </c>
      <c r="F29" s="192"/>
      <c r="G29" s="217"/>
      <c r="H29" s="303" t="s">
        <v>500</v>
      </c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3"/>
      <c r="AA29" s="303"/>
      <c r="AB29" s="304"/>
      <c r="AC29" s="438">
        <v>0</v>
      </c>
      <c r="AD29" s="422"/>
      <c r="AE29" s="422"/>
      <c r="AF29" s="422"/>
      <c r="AG29" s="423"/>
      <c r="AH29" s="421" t="e">
        <f t="shared" si="4"/>
        <v>#DIV/0!</v>
      </c>
      <c r="AI29" s="422"/>
      <c r="AJ29" s="422"/>
      <c r="AK29" s="422"/>
      <c r="AL29" s="423"/>
    </row>
    <row r="30" spans="1:38" x14ac:dyDescent="0.3">
      <c r="A30" s="300" t="s">
        <v>55</v>
      </c>
      <c r="B30" s="301"/>
      <c r="C30" s="301"/>
      <c r="D30" s="301"/>
      <c r="E30" s="191">
        <v>725</v>
      </c>
      <c r="F30" s="192"/>
      <c r="G30" s="217"/>
      <c r="H30" s="303" t="s">
        <v>502</v>
      </c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3"/>
      <c r="AA30" s="303"/>
      <c r="AB30" s="304"/>
      <c r="AC30" s="438">
        <v>0</v>
      </c>
      <c r="AD30" s="422"/>
      <c r="AE30" s="422"/>
      <c r="AF30" s="422"/>
      <c r="AG30" s="423"/>
      <c r="AH30" s="421" t="e">
        <f t="shared" si="4"/>
        <v>#DIV/0!</v>
      </c>
      <c r="AI30" s="422"/>
      <c r="AJ30" s="422"/>
      <c r="AK30" s="422"/>
      <c r="AL30" s="423"/>
    </row>
    <row r="31" spans="1:38" ht="10.8" thickBot="1" x14ac:dyDescent="0.35">
      <c r="A31" s="300" t="s">
        <v>56</v>
      </c>
      <c r="B31" s="301"/>
      <c r="C31" s="301"/>
      <c r="D31" s="301"/>
      <c r="E31" s="191">
        <v>726</v>
      </c>
      <c r="F31" s="192"/>
      <c r="G31" s="217"/>
      <c r="H31" s="303" t="s">
        <v>503</v>
      </c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3"/>
      <c r="AA31" s="303"/>
      <c r="AB31" s="304"/>
      <c r="AC31" s="438">
        <v>0</v>
      </c>
      <c r="AD31" s="422"/>
      <c r="AE31" s="422"/>
      <c r="AF31" s="422"/>
      <c r="AG31" s="423"/>
      <c r="AH31" s="421" t="e">
        <f t="shared" si="4"/>
        <v>#DIV/0!</v>
      </c>
      <c r="AI31" s="422"/>
      <c r="AJ31" s="422"/>
      <c r="AK31" s="422"/>
      <c r="AL31" s="423"/>
    </row>
    <row r="32" spans="1:38" ht="10.8" thickBot="1" x14ac:dyDescent="0.35">
      <c r="A32" s="428" t="s">
        <v>67</v>
      </c>
      <c r="B32" s="429"/>
      <c r="C32" s="429"/>
      <c r="D32" s="430"/>
      <c r="E32" s="152">
        <v>73</v>
      </c>
      <c r="F32" s="153"/>
      <c r="G32" s="154"/>
      <c r="H32" s="437" t="s">
        <v>551</v>
      </c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437"/>
      <c r="AA32" s="437"/>
      <c r="AB32" s="437"/>
      <c r="AC32" s="400">
        <f>+AC33+AC34+AC35+AC36</f>
        <v>0</v>
      </c>
      <c r="AD32" s="401"/>
      <c r="AE32" s="401"/>
      <c r="AF32" s="401"/>
      <c r="AG32" s="402"/>
      <c r="AH32" s="400" t="e">
        <f>(AC32/$AC$12)*100</f>
        <v>#DIV/0!</v>
      </c>
      <c r="AI32" s="401"/>
      <c r="AJ32" s="401"/>
      <c r="AK32" s="401"/>
      <c r="AL32" s="402"/>
    </row>
    <row r="33" spans="1:38" x14ac:dyDescent="0.3">
      <c r="A33" s="300" t="s">
        <v>68</v>
      </c>
      <c r="B33" s="301"/>
      <c r="C33" s="301"/>
      <c r="D33" s="302"/>
      <c r="E33" s="191">
        <v>731</v>
      </c>
      <c r="F33" s="192"/>
      <c r="G33" s="217"/>
      <c r="H33" s="386" t="s">
        <v>552</v>
      </c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6"/>
      <c r="V33" s="386"/>
      <c r="W33" s="386"/>
      <c r="X33" s="386"/>
      <c r="Y33" s="386"/>
      <c r="Z33" s="386"/>
      <c r="AA33" s="386"/>
      <c r="AB33" s="386"/>
      <c r="AC33" s="115"/>
      <c r="AD33" s="197"/>
      <c r="AE33" s="197"/>
      <c r="AF33" s="197"/>
      <c r="AG33" s="117"/>
      <c r="AH33" s="421" t="e">
        <f t="shared" ref="AH33" si="5">(AC33/$AC$12)*100</f>
        <v>#DIV/0!</v>
      </c>
      <c r="AI33" s="422"/>
      <c r="AJ33" s="422"/>
      <c r="AK33" s="422"/>
      <c r="AL33" s="423"/>
    </row>
    <row r="34" spans="1:38" x14ac:dyDescent="0.3">
      <c r="A34" s="300" t="s">
        <v>69</v>
      </c>
      <c r="B34" s="301"/>
      <c r="C34" s="301"/>
      <c r="D34" s="302"/>
      <c r="E34" s="191">
        <v>732</v>
      </c>
      <c r="F34" s="192"/>
      <c r="G34" s="217"/>
      <c r="H34" s="386" t="s">
        <v>553</v>
      </c>
      <c r="I34" s="386"/>
      <c r="J34" s="386"/>
      <c r="K34" s="386"/>
      <c r="L34" s="386"/>
      <c r="M34" s="386"/>
      <c r="N34" s="386"/>
      <c r="O34" s="386"/>
      <c r="P34" s="386"/>
      <c r="Q34" s="386"/>
      <c r="R34" s="386"/>
      <c r="S34" s="386"/>
      <c r="T34" s="386"/>
      <c r="U34" s="386"/>
      <c r="V34" s="386"/>
      <c r="W34" s="386"/>
      <c r="X34" s="386"/>
      <c r="Y34" s="386"/>
      <c r="Z34" s="386"/>
      <c r="AA34" s="386"/>
      <c r="AB34" s="386"/>
      <c r="AC34" s="115"/>
      <c r="AD34" s="197"/>
      <c r="AE34" s="197"/>
      <c r="AF34" s="197"/>
      <c r="AG34" s="117"/>
      <c r="AH34" s="421" t="e">
        <f t="shared" ref="AH34:AH36" si="6">(AC34/$AC$12)*100</f>
        <v>#DIV/0!</v>
      </c>
      <c r="AI34" s="422"/>
      <c r="AJ34" s="422"/>
      <c r="AK34" s="422"/>
      <c r="AL34" s="423"/>
    </row>
    <row r="35" spans="1:38" x14ac:dyDescent="0.3">
      <c r="A35" s="300" t="s">
        <v>70</v>
      </c>
      <c r="B35" s="301"/>
      <c r="C35" s="301"/>
      <c r="D35" s="302"/>
      <c r="E35" s="191">
        <v>733</v>
      </c>
      <c r="F35" s="192"/>
      <c r="G35" s="217"/>
      <c r="H35" s="386" t="s">
        <v>554</v>
      </c>
      <c r="I35" s="386"/>
      <c r="J35" s="386"/>
      <c r="K35" s="386"/>
      <c r="L35" s="386"/>
      <c r="M35" s="386"/>
      <c r="N35" s="386"/>
      <c r="O35" s="386"/>
      <c r="P35" s="386"/>
      <c r="Q35" s="386"/>
      <c r="R35" s="386"/>
      <c r="S35" s="386"/>
      <c r="T35" s="386"/>
      <c r="U35" s="386"/>
      <c r="V35" s="386"/>
      <c r="W35" s="386"/>
      <c r="X35" s="386"/>
      <c r="Y35" s="386"/>
      <c r="Z35" s="386"/>
      <c r="AA35" s="386"/>
      <c r="AB35" s="386"/>
      <c r="AC35" s="115"/>
      <c r="AD35" s="197"/>
      <c r="AE35" s="197"/>
      <c r="AF35" s="197"/>
      <c r="AG35" s="117"/>
      <c r="AH35" s="421" t="e">
        <f t="shared" si="6"/>
        <v>#DIV/0!</v>
      </c>
      <c r="AI35" s="422"/>
      <c r="AJ35" s="422"/>
      <c r="AK35" s="422"/>
      <c r="AL35" s="423"/>
    </row>
    <row r="36" spans="1:38" ht="10.8" thickBot="1" x14ac:dyDescent="0.35">
      <c r="A36" s="300" t="s">
        <v>71</v>
      </c>
      <c r="B36" s="301"/>
      <c r="C36" s="301"/>
      <c r="D36" s="302"/>
      <c r="E36" s="191">
        <v>734</v>
      </c>
      <c r="F36" s="192"/>
      <c r="G36" s="217"/>
      <c r="H36" s="386" t="s">
        <v>555</v>
      </c>
      <c r="I36" s="386"/>
      <c r="J36" s="386"/>
      <c r="K36" s="386"/>
      <c r="L36" s="386"/>
      <c r="M36" s="386"/>
      <c r="N36" s="386"/>
      <c r="O36" s="386"/>
      <c r="P36" s="386"/>
      <c r="Q36" s="386"/>
      <c r="R36" s="386"/>
      <c r="S36" s="386"/>
      <c r="T36" s="386"/>
      <c r="U36" s="386"/>
      <c r="V36" s="386"/>
      <c r="W36" s="386"/>
      <c r="X36" s="386"/>
      <c r="Y36" s="386"/>
      <c r="Z36" s="386"/>
      <c r="AA36" s="386"/>
      <c r="AB36" s="386"/>
      <c r="AC36" s="115"/>
      <c r="AD36" s="197"/>
      <c r="AE36" s="197"/>
      <c r="AF36" s="197"/>
      <c r="AG36" s="117"/>
      <c r="AH36" s="421" t="e">
        <f t="shared" si="6"/>
        <v>#DIV/0!</v>
      </c>
      <c r="AI36" s="422"/>
      <c r="AJ36" s="422"/>
      <c r="AK36" s="422"/>
      <c r="AL36" s="423"/>
    </row>
    <row r="37" spans="1:38" ht="10.8" thickBot="1" x14ac:dyDescent="0.35">
      <c r="A37" s="428" t="s">
        <v>57</v>
      </c>
      <c r="B37" s="429"/>
      <c r="C37" s="429"/>
      <c r="D37" s="429"/>
      <c r="E37" s="152">
        <v>74</v>
      </c>
      <c r="F37" s="153"/>
      <c r="G37" s="154"/>
      <c r="H37" s="398" t="s">
        <v>481</v>
      </c>
      <c r="I37" s="398"/>
      <c r="J37" s="398"/>
      <c r="K37" s="398"/>
      <c r="L37" s="398"/>
      <c r="M37" s="398"/>
      <c r="N37" s="398"/>
      <c r="O37" s="398"/>
      <c r="P37" s="398"/>
      <c r="Q37" s="398"/>
      <c r="R37" s="398"/>
      <c r="S37" s="398"/>
      <c r="T37" s="398"/>
      <c r="U37" s="398"/>
      <c r="V37" s="398"/>
      <c r="W37" s="398"/>
      <c r="X37" s="398"/>
      <c r="Y37" s="398"/>
      <c r="Z37" s="398"/>
      <c r="AA37" s="398"/>
      <c r="AB37" s="399"/>
      <c r="AC37" s="400">
        <f>+AC38+AC39+AC40</f>
        <v>0</v>
      </c>
      <c r="AD37" s="401"/>
      <c r="AE37" s="401"/>
      <c r="AF37" s="401"/>
      <c r="AG37" s="402"/>
      <c r="AH37" s="400" t="e">
        <f>(AC37/$AC$12)*100</f>
        <v>#DIV/0!</v>
      </c>
      <c r="AI37" s="401"/>
      <c r="AJ37" s="401"/>
      <c r="AK37" s="401"/>
      <c r="AL37" s="402"/>
    </row>
    <row r="38" spans="1:38" x14ac:dyDescent="0.3">
      <c r="A38" s="300" t="s">
        <v>58</v>
      </c>
      <c r="B38" s="301"/>
      <c r="C38" s="301"/>
      <c r="D38" s="301"/>
      <c r="E38" s="191">
        <v>740</v>
      </c>
      <c r="F38" s="192"/>
      <c r="G38" s="217"/>
      <c r="H38" s="303" t="s">
        <v>556</v>
      </c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303"/>
      <c r="AB38" s="303"/>
      <c r="AC38" s="257">
        <v>0</v>
      </c>
      <c r="AD38" s="258"/>
      <c r="AE38" s="258"/>
      <c r="AF38" s="258"/>
      <c r="AG38" s="259"/>
      <c r="AH38" s="421" t="e">
        <f t="shared" ref="AH38" si="7">(AC38/$AC$12)*100</f>
        <v>#DIV/0!</v>
      </c>
      <c r="AI38" s="422"/>
      <c r="AJ38" s="422"/>
      <c r="AK38" s="422"/>
      <c r="AL38" s="423"/>
    </row>
    <row r="39" spans="1:38" x14ac:dyDescent="0.3">
      <c r="A39" s="300" t="s">
        <v>59</v>
      </c>
      <c r="B39" s="301"/>
      <c r="C39" s="301"/>
      <c r="D39" s="301"/>
      <c r="E39" s="191">
        <v>741</v>
      </c>
      <c r="F39" s="192"/>
      <c r="G39" s="217"/>
      <c r="H39" s="303" t="s">
        <v>557</v>
      </c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3"/>
      <c r="Z39" s="303"/>
      <c r="AA39" s="303"/>
      <c r="AB39" s="303"/>
      <c r="AC39" s="421">
        <v>0</v>
      </c>
      <c r="AD39" s="438"/>
      <c r="AE39" s="438"/>
      <c r="AF39" s="438"/>
      <c r="AG39" s="423"/>
      <c r="AH39" s="421" t="e">
        <f t="shared" ref="AH39:AH40" si="8">(AC39/$AC$12)*100</f>
        <v>#DIV/0!</v>
      </c>
      <c r="AI39" s="422"/>
      <c r="AJ39" s="422"/>
      <c r="AK39" s="422"/>
      <c r="AL39" s="423"/>
    </row>
    <row r="40" spans="1:38" ht="10.8" thickBot="1" x14ac:dyDescent="0.35">
      <c r="A40" s="449" t="s">
        <v>60</v>
      </c>
      <c r="B40" s="450"/>
      <c r="C40" s="450"/>
      <c r="D40" s="450"/>
      <c r="E40" s="290">
        <v>742</v>
      </c>
      <c r="F40" s="291"/>
      <c r="G40" s="292"/>
      <c r="H40" s="457" t="s">
        <v>558</v>
      </c>
      <c r="I40" s="457"/>
      <c r="J40" s="457"/>
      <c r="K40" s="457"/>
      <c r="L40" s="457"/>
      <c r="M40" s="457"/>
      <c r="N40" s="457"/>
      <c r="O40" s="457"/>
      <c r="P40" s="457"/>
      <c r="Q40" s="457"/>
      <c r="R40" s="457"/>
      <c r="S40" s="457"/>
      <c r="T40" s="457"/>
      <c r="U40" s="457"/>
      <c r="V40" s="457"/>
      <c r="W40" s="457"/>
      <c r="X40" s="457"/>
      <c r="Y40" s="457"/>
      <c r="Z40" s="457"/>
      <c r="AA40" s="457"/>
      <c r="AB40" s="457"/>
      <c r="AC40" s="446">
        <v>0</v>
      </c>
      <c r="AD40" s="447"/>
      <c r="AE40" s="447"/>
      <c r="AF40" s="447"/>
      <c r="AG40" s="448"/>
      <c r="AH40" s="421" t="e">
        <f t="shared" si="8"/>
        <v>#DIV/0!</v>
      </c>
      <c r="AI40" s="422"/>
      <c r="AJ40" s="422"/>
      <c r="AK40" s="422"/>
      <c r="AL40" s="423"/>
    </row>
    <row r="41" spans="1:38" ht="15.75" customHeight="1" thickBot="1" x14ac:dyDescent="0.35">
      <c r="A41" s="428" t="s">
        <v>72</v>
      </c>
      <c r="B41" s="429"/>
      <c r="C41" s="429"/>
      <c r="D41" s="430"/>
      <c r="E41" s="152">
        <v>76</v>
      </c>
      <c r="F41" s="153"/>
      <c r="G41" s="154"/>
      <c r="H41" s="398" t="s">
        <v>559</v>
      </c>
      <c r="I41" s="398"/>
      <c r="J41" s="398"/>
      <c r="K41" s="398"/>
      <c r="L41" s="398"/>
      <c r="M41" s="398"/>
      <c r="N41" s="398"/>
      <c r="O41" s="398"/>
      <c r="P41" s="398"/>
      <c r="Q41" s="398"/>
      <c r="R41" s="398"/>
      <c r="S41" s="398"/>
      <c r="T41" s="398"/>
      <c r="U41" s="398"/>
      <c r="V41" s="398"/>
      <c r="W41" s="398"/>
      <c r="X41" s="398"/>
      <c r="Y41" s="398"/>
      <c r="Z41" s="398"/>
      <c r="AA41" s="398"/>
      <c r="AB41" s="398"/>
      <c r="AC41" s="400">
        <f>AC42+AC43</f>
        <v>0</v>
      </c>
      <c r="AD41" s="401"/>
      <c r="AE41" s="401"/>
      <c r="AF41" s="401"/>
      <c r="AG41" s="402"/>
      <c r="AH41" s="400" t="e">
        <f>(AC41/$AC$12)*100</f>
        <v>#DIV/0!</v>
      </c>
      <c r="AI41" s="401"/>
      <c r="AJ41" s="401"/>
      <c r="AK41" s="401"/>
      <c r="AL41" s="402"/>
    </row>
    <row r="42" spans="1:38" x14ac:dyDescent="0.3">
      <c r="A42" s="300" t="s">
        <v>95</v>
      </c>
      <c r="B42" s="301"/>
      <c r="C42" s="301"/>
      <c r="D42" s="302"/>
      <c r="E42" s="191">
        <v>761</v>
      </c>
      <c r="F42" s="192"/>
      <c r="G42" s="217"/>
      <c r="H42" s="386" t="s">
        <v>560</v>
      </c>
      <c r="I42" s="386"/>
      <c r="J42" s="386"/>
      <c r="K42" s="386"/>
      <c r="L42" s="386"/>
      <c r="M42" s="386"/>
      <c r="N42" s="386"/>
      <c r="O42" s="386"/>
      <c r="P42" s="386"/>
      <c r="Q42" s="386"/>
      <c r="R42" s="386"/>
      <c r="S42" s="386"/>
      <c r="T42" s="386"/>
      <c r="U42" s="386"/>
      <c r="V42" s="386"/>
      <c r="W42" s="386"/>
      <c r="X42" s="386"/>
      <c r="Y42" s="386"/>
      <c r="Z42" s="386"/>
      <c r="AA42" s="386"/>
      <c r="AB42" s="386"/>
      <c r="AC42" s="443"/>
      <c r="AD42" s="444"/>
      <c r="AE42" s="444"/>
      <c r="AF42" s="444"/>
      <c r="AG42" s="445"/>
      <c r="AH42" s="421" t="e">
        <f t="shared" ref="AH42" si="9">(AC42/$AC$12)*100</f>
        <v>#DIV/0!</v>
      </c>
      <c r="AI42" s="422"/>
      <c r="AJ42" s="422"/>
      <c r="AK42" s="422"/>
      <c r="AL42" s="423"/>
    </row>
    <row r="43" spans="1:38" ht="10.8" thickBot="1" x14ac:dyDescent="0.35">
      <c r="A43" s="300" t="s">
        <v>96</v>
      </c>
      <c r="B43" s="301"/>
      <c r="C43" s="301"/>
      <c r="D43" s="302"/>
      <c r="E43" s="118">
        <v>762</v>
      </c>
      <c r="F43" s="119"/>
      <c r="G43" s="325"/>
      <c r="H43" s="386" t="s">
        <v>561</v>
      </c>
      <c r="I43" s="386"/>
      <c r="J43" s="386"/>
      <c r="K43" s="386"/>
      <c r="L43" s="386"/>
      <c r="M43" s="386"/>
      <c r="N43" s="386"/>
      <c r="O43" s="386"/>
      <c r="P43" s="386"/>
      <c r="Q43" s="386"/>
      <c r="R43" s="386"/>
      <c r="S43" s="386"/>
      <c r="T43" s="386"/>
      <c r="U43" s="386"/>
      <c r="V43" s="386"/>
      <c r="W43" s="386"/>
      <c r="X43" s="386"/>
      <c r="Y43" s="386"/>
      <c r="Z43" s="386"/>
      <c r="AA43" s="386"/>
      <c r="AB43" s="386"/>
      <c r="AC43" s="440"/>
      <c r="AD43" s="441"/>
      <c r="AE43" s="441"/>
      <c r="AF43" s="441"/>
      <c r="AG43" s="442"/>
      <c r="AH43" s="421" t="e">
        <f t="shared" ref="AH43" si="10">(AC43/$AC$12)*100</f>
        <v>#DIV/0!</v>
      </c>
      <c r="AI43" s="422"/>
      <c r="AJ43" s="422"/>
      <c r="AK43" s="422"/>
      <c r="AL43" s="423"/>
    </row>
    <row r="44" spans="1:38" ht="15.75" customHeight="1" thickBot="1" x14ac:dyDescent="0.35">
      <c r="A44" s="428" t="s">
        <v>72</v>
      </c>
      <c r="B44" s="429"/>
      <c r="C44" s="429"/>
      <c r="D44" s="430"/>
      <c r="E44" s="152">
        <v>77</v>
      </c>
      <c r="F44" s="153"/>
      <c r="G44" s="154"/>
      <c r="H44" s="398" t="s">
        <v>562</v>
      </c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/>
      <c r="T44" s="398"/>
      <c r="U44" s="398"/>
      <c r="V44" s="398"/>
      <c r="W44" s="398"/>
      <c r="X44" s="398"/>
      <c r="Y44" s="398"/>
      <c r="Z44" s="398"/>
      <c r="AA44" s="398"/>
      <c r="AB44" s="398"/>
      <c r="AC44" s="400">
        <f>AC45+AC46+AC47+AC48</f>
        <v>0</v>
      </c>
      <c r="AD44" s="401"/>
      <c r="AE44" s="401"/>
      <c r="AF44" s="401"/>
      <c r="AG44" s="402"/>
      <c r="AH44" s="400" t="e">
        <f>(AC44/$AC$12)*100</f>
        <v>#DIV/0!</v>
      </c>
      <c r="AI44" s="401"/>
      <c r="AJ44" s="401"/>
      <c r="AK44" s="401"/>
      <c r="AL44" s="402"/>
    </row>
    <row r="45" spans="1:38" x14ac:dyDescent="0.3">
      <c r="A45" s="300" t="s">
        <v>95</v>
      </c>
      <c r="B45" s="301"/>
      <c r="C45" s="301"/>
      <c r="D45" s="302"/>
      <c r="E45" s="191">
        <v>771</v>
      </c>
      <c r="F45" s="192"/>
      <c r="G45" s="217"/>
      <c r="H45" s="386" t="s">
        <v>563</v>
      </c>
      <c r="I45" s="386"/>
      <c r="J45" s="386"/>
      <c r="K45" s="386"/>
      <c r="L45" s="386"/>
      <c r="M45" s="386"/>
      <c r="N45" s="386"/>
      <c r="O45" s="386"/>
      <c r="P45" s="386"/>
      <c r="Q45" s="386"/>
      <c r="R45" s="386"/>
      <c r="S45" s="386"/>
      <c r="T45" s="386"/>
      <c r="U45" s="386"/>
      <c r="V45" s="386"/>
      <c r="W45" s="386"/>
      <c r="X45" s="386"/>
      <c r="Y45" s="386"/>
      <c r="Z45" s="386"/>
      <c r="AA45" s="386"/>
      <c r="AB45" s="386"/>
      <c r="AC45" s="115"/>
      <c r="AD45" s="116"/>
      <c r="AE45" s="116"/>
      <c r="AF45" s="116"/>
      <c r="AG45" s="117"/>
      <c r="AH45" s="257" t="e">
        <f t="shared" ref="AH45" si="11">(AC45/$AC$12)*100</f>
        <v>#DIV/0!</v>
      </c>
      <c r="AI45" s="258"/>
      <c r="AJ45" s="258"/>
      <c r="AK45" s="258"/>
      <c r="AL45" s="259"/>
    </row>
    <row r="46" spans="1:38" x14ac:dyDescent="0.3">
      <c r="A46" s="300" t="s">
        <v>96</v>
      </c>
      <c r="B46" s="301"/>
      <c r="C46" s="301"/>
      <c r="D46" s="302"/>
      <c r="E46" s="191">
        <v>772</v>
      </c>
      <c r="F46" s="192"/>
      <c r="G46" s="217"/>
      <c r="H46" s="386" t="s">
        <v>564</v>
      </c>
      <c r="I46" s="386"/>
      <c r="J46" s="386"/>
      <c r="K46" s="386"/>
      <c r="L46" s="386"/>
      <c r="M46" s="386"/>
      <c r="N46" s="386"/>
      <c r="O46" s="386"/>
      <c r="P46" s="386"/>
      <c r="Q46" s="386"/>
      <c r="R46" s="386"/>
      <c r="S46" s="386"/>
      <c r="T46" s="386"/>
      <c r="U46" s="386"/>
      <c r="V46" s="386"/>
      <c r="W46" s="386"/>
      <c r="X46" s="386"/>
      <c r="Y46" s="386"/>
      <c r="Z46" s="386"/>
      <c r="AA46" s="386"/>
      <c r="AB46" s="386"/>
      <c r="AC46" s="421">
        <v>0</v>
      </c>
      <c r="AD46" s="438"/>
      <c r="AE46" s="438"/>
      <c r="AF46" s="438"/>
      <c r="AG46" s="423"/>
      <c r="AH46" s="421" t="e">
        <f t="shared" ref="AH46:AH48" si="12">(AC46/$AC$12)*100</f>
        <v>#DIV/0!</v>
      </c>
      <c r="AI46" s="438"/>
      <c r="AJ46" s="438"/>
      <c r="AK46" s="438"/>
      <c r="AL46" s="423"/>
    </row>
    <row r="47" spans="1:38" x14ac:dyDescent="0.3">
      <c r="A47" s="300" t="s">
        <v>59</v>
      </c>
      <c r="B47" s="301"/>
      <c r="C47" s="301"/>
      <c r="D47" s="301"/>
      <c r="E47" s="191">
        <v>773</v>
      </c>
      <c r="F47" s="192"/>
      <c r="G47" s="217"/>
      <c r="H47" s="386" t="s">
        <v>565</v>
      </c>
      <c r="I47" s="386"/>
      <c r="J47" s="386"/>
      <c r="K47" s="386"/>
      <c r="L47" s="386"/>
      <c r="M47" s="386"/>
      <c r="N47" s="386"/>
      <c r="O47" s="386"/>
      <c r="P47" s="386"/>
      <c r="Q47" s="386"/>
      <c r="R47" s="386"/>
      <c r="S47" s="386"/>
      <c r="T47" s="386"/>
      <c r="U47" s="386"/>
      <c r="V47" s="386"/>
      <c r="W47" s="386"/>
      <c r="X47" s="386"/>
      <c r="Y47" s="386"/>
      <c r="Z47" s="386"/>
      <c r="AA47" s="386"/>
      <c r="AB47" s="386"/>
      <c r="AC47" s="421">
        <v>0</v>
      </c>
      <c r="AD47" s="438"/>
      <c r="AE47" s="438"/>
      <c r="AF47" s="438"/>
      <c r="AG47" s="423"/>
      <c r="AH47" s="421" t="e">
        <f t="shared" si="12"/>
        <v>#DIV/0!</v>
      </c>
      <c r="AI47" s="438"/>
      <c r="AJ47" s="438"/>
      <c r="AK47" s="438"/>
      <c r="AL47" s="423"/>
    </row>
    <row r="48" spans="1:38" ht="10.8" thickBot="1" x14ac:dyDescent="0.35">
      <c r="A48" s="449" t="s">
        <v>60</v>
      </c>
      <c r="B48" s="450"/>
      <c r="C48" s="450"/>
      <c r="D48" s="450"/>
      <c r="E48" s="290">
        <v>774</v>
      </c>
      <c r="F48" s="291"/>
      <c r="G48" s="292"/>
      <c r="H48" s="451" t="s">
        <v>566</v>
      </c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  <c r="AA48" s="451"/>
      <c r="AB48" s="451"/>
      <c r="AC48" s="446">
        <v>0</v>
      </c>
      <c r="AD48" s="447"/>
      <c r="AE48" s="447"/>
      <c r="AF48" s="447"/>
      <c r="AG48" s="448"/>
      <c r="AH48" s="446" t="e">
        <f t="shared" si="12"/>
        <v>#DIV/0!</v>
      </c>
      <c r="AI48" s="447"/>
      <c r="AJ48" s="447"/>
      <c r="AK48" s="447"/>
      <c r="AL48" s="448"/>
    </row>
    <row r="49" spans="1:38" ht="10.8" thickBot="1" x14ac:dyDescent="0.35">
      <c r="A49" s="34"/>
      <c r="B49" s="35"/>
      <c r="C49" s="35"/>
      <c r="D49" s="35"/>
      <c r="E49" s="35"/>
      <c r="F49" s="35"/>
      <c r="G49" s="35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pans="1:38" x14ac:dyDescent="0.3">
      <c r="A50" s="214" t="s">
        <v>395</v>
      </c>
      <c r="B50" s="195"/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</row>
    <row r="51" spans="1:38" ht="10.8" thickBot="1" x14ac:dyDescent="0.35">
      <c r="A51" s="120" t="s">
        <v>585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</row>
    <row r="52" spans="1:38" x14ac:dyDescent="0.2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 spans="1:38" x14ac:dyDescent="0.2">
      <c r="A53" s="24"/>
      <c r="B53" s="25" t="s">
        <v>243</v>
      </c>
      <c r="C53" s="25"/>
      <c r="D53" s="155"/>
      <c r="E53" s="156"/>
      <c r="F53" s="156"/>
      <c r="G53" s="156"/>
      <c r="H53" s="156"/>
      <c r="I53" s="156"/>
      <c r="J53" s="156"/>
      <c r="K53" s="156"/>
      <c r="L53" s="157"/>
      <c r="M53" s="25"/>
      <c r="N53" s="25"/>
      <c r="O53" s="25"/>
      <c r="P53" s="25"/>
      <c r="Q53" s="158" t="s">
        <v>125</v>
      </c>
      <c r="R53" s="158"/>
      <c r="S53" s="158"/>
      <c r="T53" s="158"/>
      <c r="U53" s="158"/>
      <c r="V53" s="155"/>
      <c r="W53" s="156"/>
      <c r="X53" s="156"/>
      <c r="Y53" s="156"/>
      <c r="Z53" s="156"/>
      <c r="AA53" s="156"/>
      <c r="AB53" s="156"/>
      <c r="AC53" s="156"/>
      <c r="AD53" s="156"/>
      <c r="AE53" s="156"/>
      <c r="AF53" s="156"/>
      <c r="AG53" s="156"/>
      <c r="AH53" s="157"/>
      <c r="AI53" s="25"/>
      <c r="AJ53" s="25"/>
      <c r="AK53" s="25"/>
      <c r="AL53" s="25"/>
    </row>
    <row r="54" spans="1:38" x14ac:dyDescent="0.2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spans="1:38" x14ac:dyDescent="0.2">
      <c r="A55" s="24"/>
      <c r="B55" s="25"/>
      <c r="C55" s="25"/>
      <c r="D55" s="25"/>
      <c r="E55" s="25"/>
      <c r="F55" s="25"/>
      <c r="G55" s="25"/>
      <c r="H55" s="27" t="s">
        <v>128</v>
      </c>
      <c r="I55" s="27" t="s">
        <v>128</v>
      </c>
      <c r="J55" s="27" t="s">
        <v>128</v>
      </c>
      <c r="K55" s="27" t="s">
        <v>128</v>
      </c>
      <c r="L55" s="27" t="s">
        <v>127</v>
      </c>
      <c r="M55" s="27" t="s">
        <v>127</v>
      </c>
      <c r="N55" s="27" t="s">
        <v>126</v>
      </c>
      <c r="O55" s="27" t="s">
        <v>126</v>
      </c>
      <c r="P55" s="25"/>
      <c r="Q55" s="25"/>
      <c r="R55" s="25"/>
      <c r="S55" s="25"/>
      <c r="T55" s="27"/>
      <c r="U55" s="27"/>
      <c r="V55" s="27"/>
      <c r="W55" s="27"/>
      <c r="X55" s="27"/>
      <c r="Y55" s="25"/>
      <c r="Z55" s="27"/>
      <c r="AA55" s="25"/>
      <c r="AB55" s="25"/>
      <c r="AC55" s="27" t="s">
        <v>259</v>
      </c>
      <c r="AD55" s="27" t="s">
        <v>128</v>
      </c>
      <c r="AE55" s="27"/>
      <c r="AF55" s="25"/>
      <c r="AG55" s="25"/>
      <c r="AH55" s="25"/>
      <c r="AI55" s="25"/>
      <c r="AJ55" s="25"/>
      <c r="AK55" s="25"/>
      <c r="AL55" s="27">
        <v>1</v>
      </c>
    </row>
    <row r="56" spans="1:38" x14ac:dyDescent="0.2">
      <c r="A56" s="24"/>
      <c r="B56" s="25"/>
      <c r="C56" s="25"/>
      <c r="D56" s="25"/>
      <c r="E56" s="25"/>
      <c r="F56" s="25"/>
      <c r="G56" s="25"/>
      <c r="H56" s="159" t="s">
        <v>129</v>
      </c>
      <c r="I56" s="159"/>
      <c r="J56" s="159"/>
      <c r="K56" s="159"/>
      <c r="L56" s="159"/>
      <c r="M56" s="159"/>
      <c r="N56" s="159"/>
      <c r="O56" s="159"/>
      <c r="P56" s="19"/>
      <c r="Q56" s="25"/>
      <c r="R56" s="25"/>
      <c r="S56" s="25"/>
      <c r="T56" s="25"/>
      <c r="U56" s="25"/>
      <c r="V56" s="33" t="s">
        <v>130</v>
      </c>
      <c r="W56" s="33"/>
      <c r="X56" s="25"/>
      <c r="Y56" s="25"/>
      <c r="Z56" s="25" t="s">
        <v>244</v>
      </c>
      <c r="AA56" s="25"/>
      <c r="AB56" s="25"/>
      <c r="AC56" s="25"/>
      <c r="AD56" s="19" t="s">
        <v>245</v>
      </c>
      <c r="AE56" s="25"/>
      <c r="AF56" s="25"/>
      <c r="AG56" s="25"/>
      <c r="AH56" s="25"/>
      <c r="AI56" s="25"/>
      <c r="AJ56" s="25"/>
      <c r="AK56" s="25"/>
      <c r="AL56" s="33" t="s">
        <v>131</v>
      </c>
    </row>
    <row r="57" spans="1:38" ht="10.8" thickBot="1" x14ac:dyDescent="0.25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 spans="1:38" ht="15.75" customHeight="1" thickBot="1" x14ac:dyDescent="0.35">
      <c r="A58" s="122" t="s">
        <v>3</v>
      </c>
      <c r="B58" s="123"/>
      <c r="C58" s="123"/>
      <c r="D58" s="124"/>
      <c r="E58" s="143"/>
      <c r="F58" s="144"/>
      <c r="G58" s="145"/>
      <c r="H58" s="144" t="s">
        <v>235</v>
      </c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5"/>
      <c r="AC58" s="144" t="s">
        <v>0</v>
      </c>
      <c r="AD58" s="144"/>
      <c r="AE58" s="144"/>
      <c r="AF58" s="144"/>
      <c r="AG58" s="144"/>
      <c r="AH58" s="144"/>
      <c r="AI58" s="144"/>
      <c r="AJ58" s="144"/>
      <c r="AK58" s="144"/>
      <c r="AL58" s="145"/>
    </row>
    <row r="59" spans="1:38" ht="15.75" customHeight="1" thickBot="1" x14ac:dyDescent="0.35">
      <c r="A59" s="125"/>
      <c r="B59" s="126"/>
      <c r="C59" s="126"/>
      <c r="D59" s="127"/>
      <c r="E59" s="146"/>
      <c r="F59" s="147"/>
      <c r="G59" s="148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8"/>
      <c r="AC59" s="153" t="s">
        <v>514</v>
      </c>
      <c r="AD59" s="153"/>
      <c r="AE59" s="153"/>
      <c r="AF59" s="153"/>
      <c r="AG59" s="154"/>
      <c r="AH59" s="152" t="s">
        <v>511</v>
      </c>
      <c r="AI59" s="153"/>
      <c r="AJ59" s="153"/>
      <c r="AK59" s="153"/>
      <c r="AL59" s="154"/>
    </row>
    <row r="60" spans="1:38" ht="15.75" customHeight="1" thickBot="1" x14ac:dyDescent="0.35">
      <c r="A60" s="128"/>
      <c r="B60" s="129"/>
      <c r="C60" s="129"/>
      <c r="D60" s="130"/>
      <c r="E60" s="149"/>
      <c r="F60" s="150"/>
      <c r="G60" s="151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1"/>
      <c r="AC60" s="153">
        <v>2</v>
      </c>
      <c r="AD60" s="153"/>
      <c r="AE60" s="153"/>
      <c r="AF60" s="153"/>
      <c r="AG60" s="154"/>
      <c r="AH60" s="152">
        <v>2</v>
      </c>
      <c r="AI60" s="153"/>
      <c r="AJ60" s="153"/>
      <c r="AK60" s="153"/>
      <c r="AL60" s="154"/>
    </row>
    <row r="61" spans="1:38" ht="15.75" customHeight="1" thickBot="1" x14ac:dyDescent="0.35">
      <c r="A61" s="434" t="s">
        <v>61</v>
      </c>
      <c r="B61" s="435"/>
      <c r="C61" s="435"/>
      <c r="D61" s="436"/>
      <c r="E61" s="152"/>
      <c r="F61" s="153"/>
      <c r="G61" s="154"/>
      <c r="H61" s="398" t="s">
        <v>567</v>
      </c>
      <c r="I61" s="398"/>
      <c r="J61" s="398"/>
      <c r="K61" s="398"/>
      <c r="L61" s="398"/>
      <c r="M61" s="398"/>
      <c r="N61" s="398"/>
      <c r="O61" s="398"/>
      <c r="P61" s="398"/>
      <c r="Q61" s="398"/>
      <c r="R61" s="398"/>
      <c r="S61" s="398"/>
      <c r="T61" s="398"/>
      <c r="U61" s="398"/>
      <c r="V61" s="398"/>
      <c r="W61" s="398"/>
      <c r="X61" s="398"/>
      <c r="Y61" s="398"/>
      <c r="Z61" s="398"/>
      <c r="AA61" s="398"/>
      <c r="AB61" s="398"/>
      <c r="AC61" s="400">
        <f>AC62+AC65+AC71+AC78+AC82+AC85+AC89+AC92+AC95</f>
        <v>0</v>
      </c>
      <c r="AD61" s="401"/>
      <c r="AE61" s="401"/>
      <c r="AF61" s="401"/>
      <c r="AG61" s="402"/>
      <c r="AH61" s="400" t="e">
        <f>+(AC61/$AC$61)*100</f>
        <v>#DIV/0!</v>
      </c>
      <c r="AI61" s="401"/>
      <c r="AJ61" s="401"/>
      <c r="AK61" s="401"/>
      <c r="AL61" s="402"/>
    </row>
    <row r="62" spans="1:38" ht="10.8" thickBot="1" x14ac:dyDescent="0.35">
      <c r="A62" s="428" t="s">
        <v>62</v>
      </c>
      <c r="B62" s="429"/>
      <c r="C62" s="429"/>
      <c r="D62" s="429"/>
      <c r="E62" s="152">
        <v>60</v>
      </c>
      <c r="F62" s="153"/>
      <c r="G62" s="154"/>
      <c r="H62" s="398" t="s">
        <v>577</v>
      </c>
      <c r="I62" s="398"/>
      <c r="J62" s="398"/>
      <c r="K62" s="398"/>
      <c r="L62" s="398"/>
      <c r="M62" s="398"/>
      <c r="N62" s="398"/>
      <c r="O62" s="398"/>
      <c r="P62" s="398"/>
      <c r="Q62" s="398"/>
      <c r="R62" s="398"/>
      <c r="S62" s="398"/>
      <c r="T62" s="398"/>
      <c r="U62" s="398"/>
      <c r="V62" s="398"/>
      <c r="W62" s="398"/>
      <c r="X62" s="398"/>
      <c r="Y62" s="398"/>
      <c r="Z62" s="398"/>
      <c r="AA62" s="398"/>
      <c r="AB62" s="398"/>
      <c r="AC62" s="400">
        <f>AC63+AC64</f>
        <v>0</v>
      </c>
      <c r="AD62" s="401"/>
      <c r="AE62" s="401"/>
      <c r="AF62" s="401"/>
      <c r="AG62" s="402"/>
      <c r="AH62" s="452" t="e">
        <f>+(AC62/$AC$61)*100</f>
        <v>#DIV/0!</v>
      </c>
      <c r="AI62" s="453"/>
      <c r="AJ62" s="453"/>
      <c r="AK62" s="453"/>
      <c r="AL62" s="454"/>
    </row>
    <row r="63" spans="1:38" x14ac:dyDescent="0.3">
      <c r="A63" s="300" t="s">
        <v>63</v>
      </c>
      <c r="B63" s="301"/>
      <c r="C63" s="301"/>
      <c r="D63" s="301"/>
      <c r="E63" s="191">
        <v>601</v>
      </c>
      <c r="F63" s="192"/>
      <c r="G63" s="217"/>
      <c r="H63" s="303" t="s">
        <v>504</v>
      </c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303"/>
      <c r="AB63" s="303"/>
      <c r="AC63" s="421"/>
      <c r="AD63" s="422"/>
      <c r="AE63" s="422"/>
      <c r="AF63" s="422"/>
      <c r="AG63" s="423"/>
      <c r="AH63" s="421" t="e">
        <f t="shared" ref="AH63:AH96" si="13">+(AC63/$AC$61)*100</f>
        <v>#DIV/0!</v>
      </c>
      <c r="AI63" s="422"/>
      <c r="AJ63" s="422"/>
      <c r="AK63" s="422"/>
      <c r="AL63" s="423"/>
    </row>
    <row r="64" spans="1:38" ht="10.8" thickBot="1" x14ac:dyDescent="0.35">
      <c r="A64" s="300" t="s">
        <v>64</v>
      </c>
      <c r="B64" s="301"/>
      <c r="C64" s="301"/>
      <c r="D64" s="301"/>
      <c r="E64" s="191">
        <v>602</v>
      </c>
      <c r="F64" s="192"/>
      <c r="G64" s="217"/>
      <c r="H64" s="303" t="s">
        <v>505</v>
      </c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303"/>
      <c r="W64" s="303"/>
      <c r="X64" s="303"/>
      <c r="Y64" s="303"/>
      <c r="Z64" s="303"/>
      <c r="AA64" s="303"/>
      <c r="AB64" s="303"/>
      <c r="AC64" s="421">
        <v>0</v>
      </c>
      <c r="AD64" s="422"/>
      <c r="AE64" s="422"/>
      <c r="AF64" s="422"/>
      <c r="AG64" s="423"/>
      <c r="AH64" s="421" t="e">
        <f t="shared" si="13"/>
        <v>#DIV/0!</v>
      </c>
      <c r="AI64" s="422"/>
      <c r="AJ64" s="422"/>
      <c r="AK64" s="422"/>
      <c r="AL64" s="423"/>
    </row>
    <row r="65" spans="1:38" ht="15.75" customHeight="1" thickBot="1" x14ac:dyDescent="0.35">
      <c r="A65" s="428" t="s">
        <v>62</v>
      </c>
      <c r="B65" s="429"/>
      <c r="C65" s="429"/>
      <c r="D65" s="429"/>
      <c r="E65" s="152">
        <v>61</v>
      </c>
      <c r="F65" s="153"/>
      <c r="G65" s="154"/>
      <c r="H65" s="398" t="s">
        <v>578</v>
      </c>
      <c r="I65" s="398"/>
      <c r="J65" s="398"/>
      <c r="K65" s="398"/>
      <c r="L65" s="398"/>
      <c r="M65" s="398"/>
      <c r="N65" s="398"/>
      <c r="O65" s="398"/>
      <c r="P65" s="398"/>
      <c r="Q65" s="398"/>
      <c r="R65" s="398"/>
      <c r="S65" s="398"/>
      <c r="T65" s="398"/>
      <c r="U65" s="398"/>
      <c r="V65" s="398"/>
      <c r="W65" s="398"/>
      <c r="X65" s="398"/>
      <c r="Y65" s="398"/>
      <c r="Z65" s="398"/>
      <c r="AA65" s="398"/>
      <c r="AB65" s="398"/>
      <c r="AC65" s="415">
        <f>AC66+AC67+AC68+AC69+AC70</f>
        <v>0</v>
      </c>
      <c r="AD65" s="416"/>
      <c r="AE65" s="416"/>
      <c r="AF65" s="416"/>
      <c r="AG65" s="417"/>
      <c r="AH65" s="400" t="e">
        <f t="shared" si="13"/>
        <v>#DIV/0!</v>
      </c>
      <c r="AI65" s="401"/>
      <c r="AJ65" s="401"/>
      <c r="AK65" s="401"/>
      <c r="AL65" s="402"/>
    </row>
    <row r="66" spans="1:38" x14ac:dyDescent="0.3">
      <c r="A66" s="300" t="s">
        <v>63</v>
      </c>
      <c r="B66" s="301"/>
      <c r="C66" s="301"/>
      <c r="D66" s="301"/>
      <c r="E66" s="191">
        <v>611</v>
      </c>
      <c r="F66" s="192"/>
      <c r="G66" s="217"/>
      <c r="H66" s="427" t="s">
        <v>707</v>
      </c>
      <c r="I66" s="427"/>
      <c r="J66" s="427"/>
      <c r="K66" s="427"/>
      <c r="L66" s="427"/>
      <c r="M66" s="427"/>
      <c r="N66" s="427"/>
      <c r="O66" s="427"/>
      <c r="P66" s="427"/>
      <c r="Q66" s="427"/>
      <c r="R66" s="427"/>
      <c r="S66" s="427"/>
      <c r="T66" s="427"/>
      <c r="U66" s="427"/>
      <c r="V66" s="427"/>
      <c r="W66" s="427"/>
      <c r="X66" s="427"/>
      <c r="Y66" s="427"/>
      <c r="Z66" s="427"/>
      <c r="AA66" s="427"/>
      <c r="AB66" s="427"/>
      <c r="AC66" s="115"/>
      <c r="AD66" s="116"/>
      <c r="AE66" s="116"/>
      <c r="AF66" s="116"/>
      <c r="AG66" s="117"/>
      <c r="AH66" s="421" t="e">
        <f t="shared" si="13"/>
        <v>#DIV/0!</v>
      </c>
      <c r="AI66" s="422"/>
      <c r="AJ66" s="422"/>
      <c r="AK66" s="422"/>
      <c r="AL66" s="423"/>
    </row>
    <row r="67" spans="1:38" x14ac:dyDescent="0.3">
      <c r="A67" s="300" t="s">
        <v>64</v>
      </c>
      <c r="B67" s="301"/>
      <c r="C67" s="301"/>
      <c r="D67" s="301"/>
      <c r="E67" s="191">
        <v>612</v>
      </c>
      <c r="F67" s="192"/>
      <c r="G67" s="217"/>
      <c r="H67" s="386" t="s">
        <v>708</v>
      </c>
      <c r="I67" s="386"/>
      <c r="J67" s="386"/>
      <c r="K67" s="386"/>
      <c r="L67" s="386"/>
      <c r="M67" s="386"/>
      <c r="N67" s="386"/>
      <c r="O67" s="386"/>
      <c r="P67" s="386"/>
      <c r="Q67" s="386"/>
      <c r="R67" s="386"/>
      <c r="S67" s="386"/>
      <c r="T67" s="386"/>
      <c r="U67" s="386"/>
      <c r="V67" s="386"/>
      <c r="W67" s="386"/>
      <c r="X67" s="386"/>
      <c r="Y67" s="386"/>
      <c r="Z67" s="386"/>
      <c r="AA67" s="386"/>
      <c r="AB67" s="386"/>
      <c r="AC67" s="115"/>
      <c r="AD67" s="116"/>
      <c r="AE67" s="116"/>
      <c r="AF67" s="116"/>
      <c r="AG67" s="117"/>
      <c r="AH67" s="421" t="e">
        <f t="shared" si="13"/>
        <v>#DIV/0!</v>
      </c>
      <c r="AI67" s="422"/>
      <c r="AJ67" s="422"/>
      <c r="AK67" s="422"/>
      <c r="AL67" s="423"/>
    </row>
    <row r="68" spans="1:38" x14ac:dyDescent="0.3">
      <c r="A68" s="300" t="s">
        <v>63</v>
      </c>
      <c r="B68" s="301"/>
      <c r="C68" s="301"/>
      <c r="D68" s="301"/>
      <c r="E68" s="191">
        <v>613</v>
      </c>
      <c r="F68" s="192"/>
      <c r="G68" s="217"/>
      <c r="H68" s="386" t="s">
        <v>709</v>
      </c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86"/>
      <c r="X68" s="386"/>
      <c r="Y68" s="386"/>
      <c r="Z68" s="386"/>
      <c r="AA68" s="386"/>
      <c r="AB68" s="386"/>
      <c r="AC68" s="115"/>
      <c r="AD68" s="116"/>
      <c r="AE68" s="116"/>
      <c r="AF68" s="116"/>
      <c r="AG68" s="117"/>
      <c r="AH68" s="421" t="e">
        <f t="shared" si="13"/>
        <v>#DIV/0!</v>
      </c>
      <c r="AI68" s="422"/>
      <c r="AJ68" s="422"/>
      <c r="AK68" s="422"/>
      <c r="AL68" s="423"/>
    </row>
    <row r="69" spans="1:38" x14ac:dyDescent="0.3">
      <c r="A69" s="300" t="s">
        <v>64</v>
      </c>
      <c r="B69" s="301"/>
      <c r="C69" s="301"/>
      <c r="D69" s="301"/>
      <c r="E69" s="191">
        <v>614</v>
      </c>
      <c r="F69" s="192"/>
      <c r="G69" s="217"/>
      <c r="H69" s="386" t="s">
        <v>710</v>
      </c>
      <c r="I69" s="386"/>
      <c r="J69" s="386"/>
      <c r="K69" s="386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115"/>
      <c r="AD69" s="116"/>
      <c r="AE69" s="116"/>
      <c r="AF69" s="116"/>
      <c r="AG69" s="117"/>
      <c r="AH69" s="421" t="e">
        <f t="shared" si="13"/>
        <v>#DIV/0!</v>
      </c>
      <c r="AI69" s="422"/>
      <c r="AJ69" s="422"/>
      <c r="AK69" s="422"/>
      <c r="AL69" s="423"/>
    </row>
    <row r="70" spans="1:38" ht="10.8" thickBot="1" x14ac:dyDescent="0.35">
      <c r="A70" s="300" t="s">
        <v>64</v>
      </c>
      <c r="B70" s="301"/>
      <c r="C70" s="301"/>
      <c r="D70" s="301"/>
      <c r="E70" s="191">
        <v>615</v>
      </c>
      <c r="F70" s="192"/>
      <c r="G70" s="217"/>
      <c r="H70" s="386" t="s">
        <v>711</v>
      </c>
      <c r="I70" s="386"/>
      <c r="J70" s="386"/>
      <c r="K70" s="386"/>
      <c r="L70" s="386"/>
      <c r="M70" s="386"/>
      <c r="N70" s="386"/>
      <c r="O70" s="386"/>
      <c r="P70" s="386"/>
      <c r="Q70" s="386"/>
      <c r="R70" s="386"/>
      <c r="S70" s="386"/>
      <c r="T70" s="386"/>
      <c r="U70" s="386"/>
      <c r="V70" s="386"/>
      <c r="W70" s="386"/>
      <c r="X70" s="386"/>
      <c r="Y70" s="386"/>
      <c r="Z70" s="386"/>
      <c r="AA70" s="386"/>
      <c r="AB70" s="386"/>
      <c r="AC70" s="115"/>
      <c r="AD70" s="116"/>
      <c r="AE70" s="116"/>
      <c r="AF70" s="116"/>
      <c r="AG70" s="117"/>
      <c r="AH70" s="421" t="e">
        <f t="shared" si="13"/>
        <v>#DIV/0!</v>
      </c>
      <c r="AI70" s="422"/>
      <c r="AJ70" s="422"/>
      <c r="AK70" s="422"/>
      <c r="AL70" s="423"/>
    </row>
    <row r="71" spans="1:38" ht="10.8" thickBot="1" x14ac:dyDescent="0.35">
      <c r="A71" s="428" t="s">
        <v>80</v>
      </c>
      <c r="B71" s="429"/>
      <c r="C71" s="429"/>
      <c r="D71" s="430"/>
      <c r="E71" s="152">
        <v>62</v>
      </c>
      <c r="F71" s="153"/>
      <c r="G71" s="154"/>
      <c r="H71" s="398" t="s">
        <v>701</v>
      </c>
      <c r="I71" s="398"/>
      <c r="J71" s="398"/>
      <c r="K71" s="398"/>
      <c r="L71" s="398"/>
      <c r="M71" s="398"/>
      <c r="N71" s="398"/>
      <c r="O71" s="398"/>
      <c r="P71" s="398"/>
      <c r="Q71" s="398"/>
      <c r="R71" s="398"/>
      <c r="S71" s="398"/>
      <c r="T71" s="398"/>
      <c r="U71" s="398"/>
      <c r="V71" s="398"/>
      <c r="W71" s="398"/>
      <c r="X71" s="398"/>
      <c r="Y71" s="398"/>
      <c r="Z71" s="398"/>
      <c r="AA71" s="398"/>
      <c r="AB71" s="398"/>
      <c r="AC71" s="418">
        <f>AC72+AC73+AC74+AC75+AC76+AC77</f>
        <v>0</v>
      </c>
      <c r="AD71" s="419"/>
      <c r="AE71" s="419"/>
      <c r="AF71" s="419"/>
      <c r="AG71" s="420"/>
      <c r="AH71" s="424" t="e">
        <f t="shared" si="13"/>
        <v>#DIV/0!</v>
      </c>
      <c r="AI71" s="425"/>
      <c r="AJ71" s="425"/>
      <c r="AK71" s="425"/>
      <c r="AL71" s="426"/>
    </row>
    <row r="72" spans="1:38" x14ac:dyDescent="0.3">
      <c r="A72" s="300" t="s">
        <v>81</v>
      </c>
      <c r="B72" s="301"/>
      <c r="C72" s="301"/>
      <c r="D72" s="302"/>
      <c r="E72" s="191">
        <v>621</v>
      </c>
      <c r="F72" s="192"/>
      <c r="G72" s="217"/>
      <c r="H72" s="303" t="s">
        <v>712</v>
      </c>
      <c r="I72" s="303"/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  <c r="X72" s="303"/>
      <c r="Y72" s="303"/>
      <c r="Z72" s="303"/>
      <c r="AA72" s="303"/>
      <c r="AB72" s="303"/>
      <c r="AC72" s="115"/>
      <c r="AD72" s="116"/>
      <c r="AE72" s="116"/>
      <c r="AF72" s="116"/>
      <c r="AG72" s="117"/>
      <c r="AH72" s="421" t="e">
        <f t="shared" si="13"/>
        <v>#DIV/0!</v>
      </c>
      <c r="AI72" s="422"/>
      <c r="AJ72" s="422"/>
      <c r="AK72" s="422"/>
      <c r="AL72" s="423"/>
    </row>
    <row r="73" spans="1:38" x14ac:dyDescent="0.3">
      <c r="A73" s="300" t="s">
        <v>82</v>
      </c>
      <c r="B73" s="301"/>
      <c r="C73" s="301"/>
      <c r="D73" s="302"/>
      <c r="E73" s="191">
        <v>622</v>
      </c>
      <c r="F73" s="192"/>
      <c r="G73" s="217"/>
      <c r="H73" s="303" t="s">
        <v>713</v>
      </c>
      <c r="I73" s="303"/>
      <c r="J73" s="303"/>
      <c r="K73" s="303"/>
      <c r="L73" s="303"/>
      <c r="M73" s="303"/>
      <c r="N73" s="303"/>
      <c r="O73" s="303"/>
      <c r="P73" s="303"/>
      <c r="Q73" s="303"/>
      <c r="R73" s="303"/>
      <c r="S73" s="303"/>
      <c r="T73" s="303"/>
      <c r="U73" s="303"/>
      <c r="V73" s="303"/>
      <c r="W73" s="303"/>
      <c r="X73" s="303"/>
      <c r="Y73" s="303"/>
      <c r="Z73" s="303"/>
      <c r="AA73" s="303"/>
      <c r="AB73" s="303"/>
      <c r="AC73" s="115"/>
      <c r="AD73" s="116"/>
      <c r="AE73" s="116"/>
      <c r="AF73" s="116"/>
      <c r="AG73" s="117"/>
      <c r="AH73" s="421" t="e">
        <f t="shared" si="13"/>
        <v>#DIV/0!</v>
      </c>
      <c r="AI73" s="422"/>
      <c r="AJ73" s="422"/>
      <c r="AK73" s="422"/>
      <c r="AL73" s="423"/>
    </row>
    <row r="74" spans="1:38" x14ac:dyDescent="0.3">
      <c r="A74" s="300" t="s">
        <v>83</v>
      </c>
      <c r="B74" s="301"/>
      <c r="C74" s="301"/>
      <c r="D74" s="302"/>
      <c r="E74" s="191">
        <v>623</v>
      </c>
      <c r="F74" s="192"/>
      <c r="G74" s="217"/>
      <c r="H74" s="303" t="s">
        <v>714</v>
      </c>
      <c r="I74" s="303"/>
      <c r="J74" s="303"/>
      <c r="K74" s="303"/>
      <c r="L74" s="303"/>
      <c r="M74" s="303"/>
      <c r="N74" s="303"/>
      <c r="O74" s="303"/>
      <c r="P74" s="303"/>
      <c r="Q74" s="303"/>
      <c r="R74" s="303"/>
      <c r="S74" s="303"/>
      <c r="T74" s="303"/>
      <c r="U74" s="303"/>
      <c r="V74" s="303"/>
      <c r="W74" s="303"/>
      <c r="X74" s="303"/>
      <c r="Y74" s="303"/>
      <c r="Z74" s="303"/>
      <c r="AA74" s="303"/>
      <c r="AB74" s="303"/>
      <c r="AC74" s="115"/>
      <c r="AD74" s="116"/>
      <c r="AE74" s="116"/>
      <c r="AF74" s="116"/>
      <c r="AG74" s="117"/>
      <c r="AH74" s="421" t="e">
        <f t="shared" si="13"/>
        <v>#DIV/0!</v>
      </c>
      <c r="AI74" s="422"/>
      <c r="AJ74" s="422"/>
      <c r="AK74" s="422"/>
      <c r="AL74" s="423"/>
    </row>
    <row r="75" spans="1:38" x14ac:dyDescent="0.3">
      <c r="A75" s="300" t="s">
        <v>84</v>
      </c>
      <c r="B75" s="301"/>
      <c r="C75" s="301"/>
      <c r="D75" s="302"/>
      <c r="E75" s="191">
        <v>624</v>
      </c>
      <c r="F75" s="192"/>
      <c r="G75" s="217"/>
      <c r="H75" s="303" t="s">
        <v>715</v>
      </c>
      <c r="I75" s="303"/>
      <c r="J75" s="303"/>
      <c r="K75" s="303"/>
      <c r="L75" s="303"/>
      <c r="M75" s="303"/>
      <c r="N75" s="303"/>
      <c r="O75" s="303"/>
      <c r="P75" s="303"/>
      <c r="Q75" s="303"/>
      <c r="R75" s="303"/>
      <c r="S75" s="303"/>
      <c r="T75" s="303"/>
      <c r="U75" s="303"/>
      <c r="V75" s="303"/>
      <c r="W75" s="303"/>
      <c r="X75" s="303"/>
      <c r="Y75" s="303"/>
      <c r="Z75" s="303"/>
      <c r="AA75" s="303"/>
      <c r="AB75" s="303"/>
      <c r="AC75" s="115"/>
      <c r="AD75" s="116"/>
      <c r="AE75" s="116"/>
      <c r="AF75" s="116"/>
      <c r="AG75" s="117"/>
      <c r="AH75" s="421" t="e">
        <f t="shared" si="13"/>
        <v>#DIV/0!</v>
      </c>
      <c r="AI75" s="422"/>
      <c r="AJ75" s="422"/>
      <c r="AK75" s="422"/>
      <c r="AL75" s="423"/>
    </row>
    <row r="76" spans="1:38" x14ac:dyDescent="0.3">
      <c r="A76" s="300" t="s">
        <v>85</v>
      </c>
      <c r="B76" s="301"/>
      <c r="C76" s="301"/>
      <c r="D76" s="302"/>
      <c r="E76" s="191">
        <v>625</v>
      </c>
      <c r="F76" s="192"/>
      <c r="G76" s="217"/>
      <c r="H76" s="303" t="s">
        <v>716</v>
      </c>
      <c r="I76" s="303"/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  <c r="X76" s="303"/>
      <c r="Y76" s="303"/>
      <c r="Z76" s="303"/>
      <c r="AA76" s="303"/>
      <c r="AB76" s="303"/>
      <c r="AC76" s="115"/>
      <c r="AD76" s="116"/>
      <c r="AE76" s="116"/>
      <c r="AF76" s="116"/>
      <c r="AG76" s="117"/>
      <c r="AH76" s="421" t="e">
        <f t="shared" si="13"/>
        <v>#DIV/0!</v>
      </c>
      <c r="AI76" s="422"/>
      <c r="AJ76" s="422"/>
      <c r="AK76" s="422"/>
      <c r="AL76" s="423"/>
    </row>
    <row r="77" spans="1:38" ht="10.8" thickBot="1" x14ac:dyDescent="0.35">
      <c r="A77" s="300" t="s">
        <v>86</v>
      </c>
      <c r="B77" s="301"/>
      <c r="C77" s="301"/>
      <c r="D77" s="302"/>
      <c r="E77" s="191">
        <v>626</v>
      </c>
      <c r="F77" s="192"/>
      <c r="G77" s="217"/>
      <c r="H77" s="342" t="s">
        <v>717</v>
      </c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  <c r="AA77" s="342"/>
      <c r="AB77" s="342"/>
      <c r="AC77" s="115"/>
      <c r="AD77" s="116"/>
      <c r="AE77" s="116"/>
      <c r="AF77" s="116"/>
      <c r="AG77" s="117"/>
      <c r="AH77" s="421" t="e">
        <f t="shared" si="13"/>
        <v>#DIV/0!</v>
      </c>
      <c r="AI77" s="422"/>
      <c r="AJ77" s="422"/>
      <c r="AK77" s="422"/>
      <c r="AL77" s="423"/>
    </row>
    <row r="78" spans="1:38" ht="10.8" thickBot="1" x14ac:dyDescent="0.35">
      <c r="A78" s="428" t="s">
        <v>87</v>
      </c>
      <c r="B78" s="429"/>
      <c r="C78" s="429"/>
      <c r="D78" s="430"/>
      <c r="E78" s="152">
        <v>63</v>
      </c>
      <c r="F78" s="153"/>
      <c r="G78" s="154"/>
      <c r="H78" s="398" t="s">
        <v>702</v>
      </c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  <c r="AA78" s="398"/>
      <c r="AB78" s="398"/>
      <c r="AC78" s="415">
        <f>AC79+AC80+AC81</f>
        <v>0</v>
      </c>
      <c r="AD78" s="416"/>
      <c r="AE78" s="416"/>
      <c r="AF78" s="416"/>
      <c r="AG78" s="417"/>
      <c r="AH78" s="400" t="e">
        <f t="shared" si="13"/>
        <v>#DIV/0!</v>
      </c>
      <c r="AI78" s="401"/>
      <c r="AJ78" s="401"/>
      <c r="AK78" s="401"/>
      <c r="AL78" s="402"/>
    </row>
    <row r="79" spans="1:38" x14ac:dyDescent="0.3">
      <c r="A79" s="300" t="s">
        <v>88</v>
      </c>
      <c r="B79" s="301"/>
      <c r="C79" s="301"/>
      <c r="D79" s="302"/>
      <c r="E79" s="191">
        <v>631</v>
      </c>
      <c r="F79" s="192"/>
      <c r="G79" s="217"/>
      <c r="H79" s="303" t="s">
        <v>718</v>
      </c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3"/>
      <c r="Y79" s="303"/>
      <c r="Z79" s="303"/>
      <c r="AA79" s="303"/>
      <c r="AB79" s="303"/>
      <c r="AC79" s="115"/>
      <c r="AD79" s="116"/>
      <c r="AE79" s="116"/>
      <c r="AF79" s="116"/>
      <c r="AG79" s="117"/>
      <c r="AH79" s="421" t="e">
        <f t="shared" si="13"/>
        <v>#DIV/0!</v>
      </c>
      <c r="AI79" s="422"/>
      <c r="AJ79" s="422"/>
      <c r="AK79" s="422"/>
      <c r="AL79" s="423"/>
    </row>
    <row r="80" spans="1:38" x14ac:dyDescent="0.3">
      <c r="A80" s="300" t="s">
        <v>89</v>
      </c>
      <c r="B80" s="301"/>
      <c r="C80" s="301"/>
      <c r="D80" s="302"/>
      <c r="E80" s="191">
        <v>632</v>
      </c>
      <c r="F80" s="192"/>
      <c r="G80" s="217"/>
      <c r="H80" s="303" t="s">
        <v>719</v>
      </c>
      <c r="I80" s="303"/>
      <c r="J80" s="303"/>
      <c r="K80" s="303"/>
      <c r="L80" s="303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  <c r="X80" s="303"/>
      <c r="Y80" s="303"/>
      <c r="Z80" s="303"/>
      <c r="AA80" s="303"/>
      <c r="AB80" s="303"/>
      <c r="AC80" s="115"/>
      <c r="AD80" s="116"/>
      <c r="AE80" s="116"/>
      <c r="AF80" s="116"/>
      <c r="AG80" s="117"/>
      <c r="AH80" s="421" t="e">
        <f t="shared" si="13"/>
        <v>#DIV/0!</v>
      </c>
      <c r="AI80" s="422"/>
      <c r="AJ80" s="422"/>
      <c r="AK80" s="422"/>
      <c r="AL80" s="423"/>
    </row>
    <row r="81" spans="1:38" ht="10.8" thickBot="1" x14ac:dyDescent="0.35">
      <c r="A81" s="300" t="s">
        <v>798</v>
      </c>
      <c r="B81" s="301"/>
      <c r="C81" s="301"/>
      <c r="D81" s="302"/>
      <c r="E81" s="191">
        <v>633</v>
      </c>
      <c r="F81" s="192"/>
      <c r="G81" s="217"/>
      <c r="H81" s="303" t="s">
        <v>720</v>
      </c>
      <c r="I81" s="303"/>
      <c r="J81" s="303"/>
      <c r="K81" s="303"/>
      <c r="L81" s="303"/>
      <c r="M81" s="303"/>
      <c r="N81" s="303"/>
      <c r="O81" s="303"/>
      <c r="P81" s="303"/>
      <c r="Q81" s="303"/>
      <c r="R81" s="303"/>
      <c r="S81" s="303"/>
      <c r="T81" s="303"/>
      <c r="U81" s="303"/>
      <c r="V81" s="303"/>
      <c r="W81" s="303"/>
      <c r="X81" s="303"/>
      <c r="Y81" s="303"/>
      <c r="Z81" s="303"/>
      <c r="AA81" s="303"/>
      <c r="AB81" s="303"/>
      <c r="AC81" s="115"/>
      <c r="AD81" s="116"/>
      <c r="AE81" s="116"/>
      <c r="AF81" s="116"/>
      <c r="AG81" s="117"/>
      <c r="AH81" s="421" t="e">
        <f t="shared" si="13"/>
        <v>#DIV/0!</v>
      </c>
      <c r="AI81" s="422"/>
      <c r="AJ81" s="422"/>
      <c r="AK81" s="422"/>
      <c r="AL81" s="423"/>
    </row>
    <row r="82" spans="1:38" ht="15" customHeight="1" thickBot="1" x14ac:dyDescent="0.35">
      <c r="A82" s="634" t="s">
        <v>90</v>
      </c>
      <c r="B82" s="634"/>
      <c r="C82" s="634"/>
      <c r="D82" s="634"/>
      <c r="E82" s="153">
        <v>64</v>
      </c>
      <c r="F82" s="153"/>
      <c r="G82" s="154"/>
      <c r="H82" s="398" t="s">
        <v>703</v>
      </c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  <c r="AA82" s="398"/>
      <c r="AB82" s="398"/>
      <c r="AC82" s="415">
        <f>AC83+AC84</f>
        <v>0</v>
      </c>
      <c r="AD82" s="416"/>
      <c r="AE82" s="416"/>
      <c r="AF82" s="416"/>
      <c r="AG82" s="417"/>
      <c r="AH82" s="400" t="e">
        <f t="shared" si="13"/>
        <v>#DIV/0!</v>
      </c>
      <c r="AI82" s="401"/>
      <c r="AJ82" s="401"/>
      <c r="AK82" s="401"/>
      <c r="AL82" s="402"/>
    </row>
    <row r="83" spans="1:38" x14ac:dyDescent="0.3">
      <c r="A83" s="635" t="s">
        <v>120</v>
      </c>
      <c r="B83" s="635"/>
      <c r="C83" s="635"/>
      <c r="D83" s="635"/>
      <c r="E83" s="191">
        <v>641</v>
      </c>
      <c r="F83" s="192"/>
      <c r="G83" s="217"/>
      <c r="H83" s="303" t="s">
        <v>721</v>
      </c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  <c r="V83" s="303"/>
      <c r="W83" s="303"/>
      <c r="X83" s="303"/>
      <c r="Y83" s="303"/>
      <c r="Z83" s="303"/>
      <c r="AA83" s="303"/>
      <c r="AB83" s="303"/>
      <c r="AC83" s="115"/>
      <c r="AD83" s="197"/>
      <c r="AE83" s="197"/>
      <c r="AF83" s="197"/>
      <c r="AG83" s="117"/>
      <c r="AH83" s="421" t="e">
        <f t="shared" si="13"/>
        <v>#DIV/0!</v>
      </c>
      <c r="AI83" s="422"/>
      <c r="AJ83" s="422"/>
      <c r="AK83" s="422"/>
      <c r="AL83" s="423"/>
    </row>
    <row r="84" spans="1:38" ht="10.8" thickBot="1" x14ac:dyDescent="0.35">
      <c r="A84" s="635" t="s">
        <v>121</v>
      </c>
      <c r="B84" s="635"/>
      <c r="C84" s="635"/>
      <c r="D84" s="635"/>
      <c r="E84" s="191">
        <v>642</v>
      </c>
      <c r="F84" s="192"/>
      <c r="G84" s="217"/>
      <c r="H84" s="303" t="s">
        <v>722</v>
      </c>
      <c r="I84" s="303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  <c r="V84" s="303"/>
      <c r="W84" s="303"/>
      <c r="X84" s="303"/>
      <c r="Y84" s="303"/>
      <c r="Z84" s="303"/>
      <c r="AA84" s="303"/>
      <c r="AB84" s="303"/>
      <c r="AC84" s="115"/>
      <c r="AD84" s="197"/>
      <c r="AE84" s="197"/>
      <c r="AF84" s="197"/>
      <c r="AG84" s="117"/>
      <c r="AH84" s="421" t="e">
        <f t="shared" si="13"/>
        <v>#DIV/0!</v>
      </c>
      <c r="AI84" s="422"/>
      <c r="AJ84" s="422"/>
      <c r="AK84" s="422"/>
      <c r="AL84" s="423"/>
    </row>
    <row r="85" spans="1:38" ht="15" customHeight="1" thickBot="1" x14ac:dyDescent="0.35">
      <c r="A85" s="428" t="s">
        <v>91</v>
      </c>
      <c r="B85" s="429"/>
      <c r="C85" s="429"/>
      <c r="D85" s="430"/>
      <c r="E85" s="95"/>
      <c r="F85" s="74">
        <v>65</v>
      </c>
      <c r="G85" s="96"/>
      <c r="H85" s="398" t="s">
        <v>704</v>
      </c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398"/>
      <c r="V85" s="398"/>
      <c r="W85" s="398"/>
      <c r="X85" s="398"/>
      <c r="Y85" s="398"/>
      <c r="Z85" s="398"/>
      <c r="AA85" s="398"/>
      <c r="AB85" s="398"/>
      <c r="AC85" s="415">
        <f>AC86+AC87+AC88</f>
        <v>0</v>
      </c>
      <c r="AD85" s="416"/>
      <c r="AE85" s="416"/>
      <c r="AF85" s="416"/>
      <c r="AG85" s="417"/>
      <c r="AH85" s="400" t="e">
        <f t="shared" si="13"/>
        <v>#DIV/0!</v>
      </c>
      <c r="AI85" s="401"/>
      <c r="AJ85" s="401"/>
      <c r="AK85" s="401"/>
      <c r="AL85" s="402"/>
    </row>
    <row r="86" spans="1:38" x14ac:dyDescent="0.3">
      <c r="A86" s="300" t="s">
        <v>92</v>
      </c>
      <c r="B86" s="301"/>
      <c r="C86" s="301"/>
      <c r="D86" s="302"/>
      <c r="E86" s="12"/>
      <c r="F86" s="13">
        <v>651</v>
      </c>
      <c r="G86" s="14"/>
      <c r="H86" s="303" t="s">
        <v>723</v>
      </c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  <c r="X86" s="303"/>
      <c r="Y86" s="303"/>
      <c r="Z86" s="303"/>
      <c r="AA86" s="303"/>
      <c r="AB86" s="303"/>
      <c r="AC86" s="115"/>
      <c r="AD86" s="197"/>
      <c r="AE86" s="197"/>
      <c r="AF86" s="197"/>
      <c r="AG86" s="117"/>
      <c r="AH86" s="421" t="e">
        <f t="shared" si="13"/>
        <v>#DIV/0!</v>
      </c>
      <c r="AI86" s="422"/>
      <c r="AJ86" s="422"/>
      <c r="AK86" s="422"/>
      <c r="AL86" s="423"/>
    </row>
    <row r="87" spans="1:38" x14ac:dyDescent="0.3">
      <c r="A87" s="300" t="s">
        <v>799</v>
      </c>
      <c r="B87" s="301"/>
      <c r="C87" s="301"/>
      <c r="D87" s="302"/>
      <c r="E87" s="12"/>
      <c r="F87" s="13">
        <v>652</v>
      </c>
      <c r="G87" s="14"/>
      <c r="H87" s="303" t="s">
        <v>724</v>
      </c>
      <c r="I87" s="303"/>
      <c r="J87" s="303"/>
      <c r="K87" s="303"/>
      <c r="L87" s="303"/>
      <c r="M87" s="303"/>
      <c r="N87" s="303"/>
      <c r="O87" s="303"/>
      <c r="P87" s="303"/>
      <c r="Q87" s="303"/>
      <c r="R87" s="303"/>
      <c r="S87" s="303"/>
      <c r="T87" s="303"/>
      <c r="U87" s="303"/>
      <c r="V87" s="303"/>
      <c r="W87" s="303"/>
      <c r="X87" s="303"/>
      <c r="Y87" s="303"/>
      <c r="Z87" s="303"/>
      <c r="AA87" s="303"/>
      <c r="AB87" s="303"/>
      <c r="AC87" s="115"/>
      <c r="AD87" s="197"/>
      <c r="AE87" s="197"/>
      <c r="AF87" s="197"/>
      <c r="AG87" s="117"/>
      <c r="AH87" s="421" t="e">
        <f t="shared" si="13"/>
        <v>#DIV/0!</v>
      </c>
      <c r="AI87" s="422"/>
      <c r="AJ87" s="422"/>
      <c r="AK87" s="422"/>
      <c r="AL87" s="423"/>
    </row>
    <row r="88" spans="1:38" ht="10.8" thickBot="1" x14ac:dyDescent="0.35">
      <c r="A88" s="300" t="s">
        <v>800</v>
      </c>
      <c r="B88" s="301"/>
      <c r="C88" s="301"/>
      <c r="D88" s="302"/>
      <c r="E88" s="12"/>
      <c r="F88" s="13">
        <v>653</v>
      </c>
      <c r="G88" s="14"/>
      <c r="H88" s="303" t="s">
        <v>725</v>
      </c>
      <c r="I88" s="303"/>
      <c r="J88" s="303"/>
      <c r="K88" s="303"/>
      <c r="L88" s="303"/>
      <c r="M88" s="303"/>
      <c r="N88" s="303"/>
      <c r="O88" s="303"/>
      <c r="P88" s="303"/>
      <c r="Q88" s="303"/>
      <c r="R88" s="303"/>
      <c r="S88" s="303"/>
      <c r="T88" s="303"/>
      <c r="U88" s="303"/>
      <c r="V88" s="303"/>
      <c r="W88" s="303"/>
      <c r="X88" s="303"/>
      <c r="Y88" s="303"/>
      <c r="Z88" s="303"/>
      <c r="AA88" s="303"/>
      <c r="AB88" s="303"/>
      <c r="AC88" s="115"/>
      <c r="AD88" s="197"/>
      <c r="AE88" s="197"/>
      <c r="AF88" s="197"/>
      <c r="AG88" s="117"/>
      <c r="AH88" s="421" t="e">
        <f t="shared" si="13"/>
        <v>#DIV/0!</v>
      </c>
      <c r="AI88" s="422"/>
      <c r="AJ88" s="422"/>
      <c r="AK88" s="422"/>
      <c r="AL88" s="423"/>
    </row>
    <row r="89" spans="1:38" ht="11.25" customHeight="1" thickBot="1" x14ac:dyDescent="0.35">
      <c r="A89" s="428" t="s">
        <v>93</v>
      </c>
      <c r="B89" s="429"/>
      <c r="C89" s="429"/>
      <c r="D89" s="430"/>
      <c r="E89" s="152">
        <v>66</v>
      </c>
      <c r="F89" s="153"/>
      <c r="G89" s="154"/>
      <c r="H89" s="398" t="s">
        <v>705</v>
      </c>
      <c r="I89" s="398"/>
      <c r="J89" s="398"/>
      <c r="K89" s="398"/>
      <c r="L89" s="398"/>
      <c r="M89" s="398"/>
      <c r="N89" s="398"/>
      <c r="O89" s="398"/>
      <c r="P89" s="398"/>
      <c r="Q89" s="398"/>
      <c r="R89" s="398"/>
      <c r="S89" s="398"/>
      <c r="T89" s="398"/>
      <c r="U89" s="398"/>
      <c r="V89" s="398"/>
      <c r="W89" s="398"/>
      <c r="X89" s="398"/>
      <c r="Y89" s="398"/>
      <c r="Z89" s="398"/>
      <c r="AA89" s="398"/>
      <c r="AB89" s="398"/>
      <c r="AC89" s="415">
        <f>AC90+AC91</f>
        <v>0</v>
      </c>
      <c r="AD89" s="416"/>
      <c r="AE89" s="416"/>
      <c r="AF89" s="416"/>
      <c r="AG89" s="417"/>
      <c r="AH89" s="400" t="e">
        <f t="shared" si="13"/>
        <v>#DIV/0!</v>
      </c>
      <c r="AI89" s="401"/>
      <c r="AJ89" s="401"/>
      <c r="AK89" s="401"/>
      <c r="AL89" s="402"/>
    </row>
    <row r="90" spans="1:38" x14ac:dyDescent="0.3">
      <c r="A90" s="300" t="s">
        <v>94</v>
      </c>
      <c r="B90" s="301"/>
      <c r="C90" s="301"/>
      <c r="D90" s="302"/>
      <c r="E90" s="191">
        <v>661</v>
      </c>
      <c r="F90" s="192"/>
      <c r="G90" s="217"/>
      <c r="H90" s="386" t="s">
        <v>726</v>
      </c>
      <c r="I90" s="386"/>
      <c r="J90" s="386"/>
      <c r="K90" s="386"/>
      <c r="L90" s="386"/>
      <c r="M90" s="386"/>
      <c r="N90" s="386"/>
      <c r="O90" s="386"/>
      <c r="P90" s="386"/>
      <c r="Q90" s="386"/>
      <c r="R90" s="386"/>
      <c r="S90" s="386"/>
      <c r="T90" s="386"/>
      <c r="U90" s="386"/>
      <c r="V90" s="386"/>
      <c r="W90" s="386"/>
      <c r="X90" s="386"/>
      <c r="Y90" s="386"/>
      <c r="Z90" s="386"/>
      <c r="AA90" s="386"/>
      <c r="AB90" s="386"/>
      <c r="AC90" s="115"/>
      <c r="AD90" s="116"/>
      <c r="AE90" s="116"/>
      <c r="AF90" s="116"/>
      <c r="AG90" s="117"/>
      <c r="AH90" s="421" t="e">
        <f t="shared" si="13"/>
        <v>#DIV/0!</v>
      </c>
      <c r="AI90" s="422"/>
      <c r="AJ90" s="422"/>
      <c r="AK90" s="422"/>
      <c r="AL90" s="423"/>
    </row>
    <row r="91" spans="1:38" ht="10.8" thickBot="1" x14ac:dyDescent="0.35">
      <c r="A91" s="300" t="s">
        <v>94</v>
      </c>
      <c r="B91" s="301"/>
      <c r="C91" s="301"/>
      <c r="D91" s="302"/>
      <c r="E91" s="191">
        <v>662</v>
      </c>
      <c r="F91" s="192"/>
      <c r="G91" s="217"/>
      <c r="H91" s="386" t="s">
        <v>727</v>
      </c>
      <c r="I91" s="386"/>
      <c r="J91" s="386"/>
      <c r="K91" s="386"/>
      <c r="L91" s="386"/>
      <c r="M91" s="386"/>
      <c r="N91" s="386"/>
      <c r="O91" s="386"/>
      <c r="P91" s="386"/>
      <c r="Q91" s="386"/>
      <c r="R91" s="386"/>
      <c r="S91" s="386"/>
      <c r="T91" s="386"/>
      <c r="U91" s="386"/>
      <c r="V91" s="386"/>
      <c r="W91" s="386"/>
      <c r="X91" s="386"/>
      <c r="Y91" s="386"/>
      <c r="Z91" s="386"/>
      <c r="AA91" s="386"/>
      <c r="AB91" s="386"/>
      <c r="AC91" s="115"/>
      <c r="AD91" s="116"/>
      <c r="AE91" s="116"/>
      <c r="AF91" s="116"/>
      <c r="AG91" s="117"/>
      <c r="AH91" s="421" t="e">
        <f t="shared" si="13"/>
        <v>#DIV/0!</v>
      </c>
      <c r="AI91" s="422"/>
      <c r="AJ91" s="422"/>
      <c r="AK91" s="422"/>
      <c r="AL91" s="423"/>
    </row>
    <row r="92" spans="1:38" ht="10.8" thickBot="1" x14ac:dyDescent="0.35">
      <c r="A92" s="428" t="s">
        <v>93</v>
      </c>
      <c r="B92" s="429"/>
      <c r="C92" s="429"/>
      <c r="D92" s="430"/>
      <c r="E92" s="152">
        <v>67</v>
      </c>
      <c r="F92" s="153"/>
      <c r="G92" s="154"/>
      <c r="H92" s="398" t="s">
        <v>706</v>
      </c>
      <c r="I92" s="398"/>
      <c r="J92" s="398"/>
      <c r="K92" s="398"/>
      <c r="L92" s="398"/>
      <c r="M92" s="398"/>
      <c r="N92" s="398"/>
      <c r="O92" s="398"/>
      <c r="P92" s="398"/>
      <c r="Q92" s="398"/>
      <c r="R92" s="398"/>
      <c r="S92" s="398"/>
      <c r="T92" s="398"/>
      <c r="U92" s="398"/>
      <c r="V92" s="398"/>
      <c r="W92" s="398"/>
      <c r="X92" s="398"/>
      <c r="Y92" s="398"/>
      <c r="Z92" s="398"/>
      <c r="AA92" s="398"/>
      <c r="AB92" s="398"/>
      <c r="AC92" s="415">
        <f>AC93+AC94</f>
        <v>0</v>
      </c>
      <c r="AD92" s="416"/>
      <c r="AE92" s="416"/>
      <c r="AF92" s="416"/>
      <c r="AG92" s="417"/>
      <c r="AH92" s="400" t="e">
        <f t="shared" si="13"/>
        <v>#DIV/0!</v>
      </c>
      <c r="AI92" s="401"/>
      <c r="AJ92" s="401"/>
      <c r="AK92" s="401"/>
      <c r="AL92" s="402"/>
    </row>
    <row r="93" spans="1:38" x14ac:dyDescent="0.3">
      <c r="A93" s="300" t="s">
        <v>64</v>
      </c>
      <c r="B93" s="301"/>
      <c r="C93" s="301"/>
      <c r="D93" s="301"/>
      <c r="E93" s="191">
        <v>671</v>
      </c>
      <c r="F93" s="192"/>
      <c r="G93" s="217"/>
      <c r="H93" s="386" t="s">
        <v>728</v>
      </c>
      <c r="I93" s="386"/>
      <c r="J93" s="386"/>
      <c r="K93" s="386"/>
      <c r="L93" s="386"/>
      <c r="M93" s="386"/>
      <c r="N93" s="386"/>
      <c r="O93" s="386"/>
      <c r="P93" s="386"/>
      <c r="Q93" s="386"/>
      <c r="R93" s="386"/>
      <c r="S93" s="386"/>
      <c r="T93" s="386"/>
      <c r="U93" s="386"/>
      <c r="V93" s="386"/>
      <c r="W93" s="386"/>
      <c r="X93" s="386"/>
      <c r="Y93" s="386"/>
      <c r="Z93" s="386"/>
      <c r="AA93" s="386"/>
      <c r="AB93" s="386"/>
      <c r="AC93" s="115"/>
      <c r="AD93" s="116"/>
      <c r="AE93" s="116"/>
      <c r="AF93" s="116"/>
      <c r="AG93" s="117"/>
      <c r="AH93" s="421" t="e">
        <f t="shared" si="13"/>
        <v>#DIV/0!</v>
      </c>
      <c r="AI93" s="422"/>
      <c r="AJ93" s="422"/>
      <c r="AK93" s="422"/>
      <c r="AL93" s="423"/>
    </row>
    <row r="94" spans="1:38" ht="10.8" thickBot="1" x14ac:dyDescent="0.35">
      <c r="A94" s="300" t="s">
        <v>64</v>
      </c>
      <c r="B94" s="301"/>
      <c r="C94" s="301"/>
      <c r="D94" s="301"/>
      <c r="E94" s="191">
        <v>672</v>
      </c>
      <c r="F94" s="192"/>
      <c r="G94" s="217"/>
      <c r="H94" s="386" t="s">
        <v>729</v>
      </c>
      <c r="I94" s="386"/>
      <c r="J94" s="386"/>
      <c r="K94" s="386"/>
      <c r="L94" s="386"/>
      <c r="M94" s="386"/>
      <c r="N94" s="386"/>
      <c r="O94" s="386"/>
      <c r="P94" s="386"/>
      <c r="Q94" s="386"/>
      <c r="R94" s="386"/>
      <c r="S94" s="386"/>
      <c r="T94" s="386"/>
      <c r="U94" s="386"/>
      <c r="V94" s="386"/>
      <c r="W94" s="386"/>
      <c r="X94" s="386"/>
      <c r="Y94" s="386"/>
      <c r="Z94" s="386"/>
      <c r="AA94" s="386"/>
      <c r="AB94" s="386"/>
      <c r="AC94" s="115"/>
      <c r="AD94" s="197"/>
      <c r="AE94" s="197"/>
      <c r="AF94" s="197"/>
      <c r="AG94" s="117"/>
      <c r="AH94" s="421" t="e">
        <f t="shared" si="13"/>
        <v>#DIV/0!</v>
      </c>
      <c r="AI94" s="422"/>
      <c r="AJ94" s="422"/>
      <c r="AK94" s="422"/>
      <c r="AL94" s="423"/>
    </row>
    <row r="95" spans="1:38" ht="10.8" thickBot="1" x14ac:dyDescent="0.35">
      <c r="A95" s="428" t="s">
        <v>65</v>
      </c>
      <c r="B95" s="429"/>
      <c r="C95" s="429"/>
      <c r="D95" s="429"/>
      <c r="E95" s="152">
        <v>68</v>
      </c>
      <c r="F95" s="153"/>
      <c r="G95" s="154"/>
      <c r="H95" s="398" t="s">
        <v>579</v>
      </c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  <c r="AA95" s="398"/>
      <c r="AB95" s="398"/>
      <c r="AC95" s="403">
        <v>0</v>
      </c>
      <c r="AD95" s="404"/>
      <c r="AE95" s="404"/>
      <c r="AF95" s="404"/>
      <c r="AG95" s="405"/>
      <c r="AH95" s="431" t="e">
        <f t="shared" si="13"/>
        <v>#DIV/0!</v>
      </c>
      <c r="AI95" s="432"/>
      <c r="AJ95" s="432"/>
      <c r="AK95" s="432"/>
      <c r="AL95" s="433"/>
    </row>
    <row r="96" spans="1:38" ht="15.75" customHeight="1" thickBot="1" x14ac:dyDescent="0.35">
      <c r="A96" s="434" t="s">
        <v>151</v>
      </c>
      <c r="B96" s="435"/>
      <c r="C96" s="435"/>
      <c r="D96" s="436"/>
      <c r="E96" s="152"/>
      <c r="F96" s="153"/>
      <c r="G96" s="154"/>
      <c r="H96" s="398" t="s">
        <v>580</v>
      </c>
      <c r="I96" s="398"/>
      <c r="J96" s="398"/>
      <c r="K96" s="398"/>
      <c r="L96" s="398"/>
      <c r="M96" s="398"/>
      <c r="N96" s="398"/>
      <c r="O96" s="398"/>
      <c r="P96" s="398"/>
      <c r="Q96" s="398"/>
      <c r="R96" s="398"/>
      <c r="S96" s="398"/>
      <c r="T96" s="398"/>
      <c r="U96" s="398"/>
      <c r="V96" s="398"/>
      <c r="W96" s="398"/>
      <c r="X96" s="398"/>
      <c r="Y96" s="398"/>
      <c r="Z96" s="398"/>
      <c r="AA96" s="398"/>
      <c r="AB96" s="398"/>
      <c r="AC96" s="400">
        <f>+AC12-AC61</f>
        <v>0</v>
      </c>
      <c r="AD96" s="401"/>
      <c r="AE96" s="401"/>
      <c r="AF96" s="401"/>
      <c r="AG96" s="402"/>
      <c r="AH96" s="403" t="e">
        <f t="shared" si="13"/>
        <v>#DIV/0!</v>
      </c>
      <c r="AI96" s="404"/>
      <c r="AJ96" s="404"/>
      <c r="AK96" s="404"/>
      <c r="AL96" s="405"/>
    </row>
    <row r="97" spans="1:38" ht="15.75" customHeight="1" thickBot="1" x14ac:dyDescent="0.35">
      <c r="A97" s="171" t="s">
        <v>151</v>
      </c>
      <c r="B97" s="172"/>
      <c r="C97" s="172"/>
      <c r="D97" s="173"/>
      <c r="E97" s="406">
        <v>59</v>
      </c>
      <c r="F97" s="407"/>
      <c r="G97" s="408"/>
      <c r="H97" s="182" t="s">
        <v>581</v>
      </c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  <c r="AA97" s="182"/>
      <c r="AB97" s="182"/>
      <c r="AC97" s="409"/>
      <c r="AD97" s="410"/>
      <c r="AE97" s="410"/>
      <c r="AF97" s="410"/>
      <c r="AG97" s="411"/>
      <c r="AH97" s="412" t="e">
        <f t="shared" ref="AH97" si="14">+(AC97/$AC$61)*100</f>
        <v>#DIV/0!</v>
      </c>
      <c r="AI97" s="413"/>
      <c r="AJ97" s="413"/>
      <c r="AK97" s="413"/>
      <c r="AL97" s="414"/>
    </row>
    <row r="98" spans="1:38" ht="10.8" thickBot="1" x14ac:dyDescent="0.35">
      <c r="A98" s="397"/>
      <c r="B98" s="398"/>
      <c r="C98" s="398"/>
      <c r="D98" s="399"/>
      <c r="E98" s="152"/>
      <c r="F98" s="153"/>
      <c r="G98" s="154"/>
      <c r="H98" s="398" t="s">
        <v>582</v>
      </c>
      <c r="I98" s="398"/>
      <c r="J98" s="398"/>
      <c r="K98" s="398"/>
      <c r="L98" s="398"/>
      <c r="M98" s="398"/>
      <c r="N98" s="398"/>
      <c r="O98" s="398"/>
      <c r="P98" s="398"/>
      <c r="Q98" s="398"/>
      <c r="R98" s="398"/>
      <c r="S98" s="398"/>
      <c r="T98" s="398"/>
      <c r="U98" s="398"/>
      <c r="V98" s="398"/>
      <c r="W98" s="398"/>
      <c r="X98" s="398"/>
      <c r="Y98" s="398"/>
      <c r="Z98" s="398"/>
      <c r="AA98" s="398"/>
      <c r="AB98" s="398"/>
      <c r="AC98" s="400">
        <f>+AC96-AC97</f>
        <v>0</v>
      </c>
      <c r="AD98" s="401"/>
      <c r="AE98" s="401"/>
      <c r="AF98" s="401"/>
      <c r="AG98" s="402"/>
      <c r="AH98" s="403"/>
      <c r="AI98" s="404"/>
      <c r="AJ98" s="404"/>
      <c r="AK98" s="404"/>
      <c r="AL98" s="405"/>
    </row>
    <row r="99" spans="1:38" x14ac:dyDescent="0.3">
      <c r="AH99" s="455"/>
      <c r="AI99" s="456"/>
      <c r="AJ99" s="456"/>
      <c r="AK99" s="456"/>
      <c r="AL99" s="456"/>
    </row>
  </sheetData>
  <mergeCells count="399">
    <mergeCell ref="A82:D82"/>
    <mergeCell ref="A83:D83"/>
    <mergeCell ref="A84:D84"/>
    <mergeCell ref="A85:D85"/>
    <mergeCell ref="A86:D86"/>
    <mergeCell ref="A87:D87"/>
    <mergeCell ref="A88:D88"/>
    <mergeCell ref="AH40:AL40"/>
    <mergeCell ref="A42:D42"/>
    <mergeCell ref="E42:G42"/>
    <mergeCell ref="H42:AB42"/>
    <mergeCell ref="A41:D41"/>
    <mergeCell ref="A43:D43"/>
    <mergeCell ref="E43:G43"/>
    <mergeCell ref="H43:AB43"/>
    <mergeCell ref="A40:D40"/>
    <mergeCell ref="E40:G40"/>
    <mergeCell ref="H40:AB40"/>
    <mergeCell ref="AH39:AL39"/>
    <mergeCell ref="AC34:AG34"/>
    <mergeCell ref="AH34:AL34"/>
    <mergeCell ref="AC35:AG35"/>
    <mergeCell ref="AH35:AL35"/>
    <mergeCell ref="E36:G36"/>
    <mergeCell ref="H36:AB36"/>
    <mergeCell ref="AC36:AG36"/>
    <mergeCell ref="AH36:AL36"/>
    <mergeCell ref="E9:G11"/>
    <mergeCell ref="E12:G12"/>
    <mergeCell ref="E13:G13"/>
    <mergeCell ref="E14:G14"/>
    <mergeCell ref="E15:G15"/>
    <mergeCell ref="E16:G16"/>
    <mergeCell ref="AH99:AL99"/>
    <mergeCell ref="E46:G46"/>
    <mergeCell ref="E47:G47"/>
    <mergeCell ref="E48:G48"/>
    <mergeCell ref="D53:L53"/>
    <mergeCell ref="H56:O56"/>
    <mergeCell ref="AC33:AG33"/>
    <mergeCell ref="AH33:AL33"/>
    <mergeCell ref="A37:D37"/>
    <mergeCell ref="E37:G37"/>
    <mergeCell ref="H37:AB37"/>
    <mergeCell ref="AC37:AG37"/>
    <mergeCell ref="AH37:AL37"/>
    <mergeCell ref="A44:D44"/>
    <mergeCell ref="E44:G44"/>
    <mergeCell ref="H44:AB44"/>
    <mergeCell ref="AC41:AG41"/>
    <mergeCell ref="AH27:AL27"/>
    <mergeCell ref="A58:D60"/>
    <mergeCell ref="AH21:AL21"/>
    <mergeCell ref="AH22:AL22"/>
    <mergeCell ref="AH63:AL63"/>
    <mergeCell ref="AH64:AL64"/>
    <mergeCell ref="AH28:AL28"/>
    <mergeCell ref="AH29:AL29"/>
    <mergeCell ref="AH30:AL30"/>
    <mergeCell ref="AH31:AL31"/>
    <mergeCell ref="AH61:AL61"/>
    <mergeCell ref="AH46:AL46"/>
    <mergeCell ref="AH47:AL47"/>
    <mergeCell ref="AH45:AL45"/>
    <mergeCell ref="AH25:AL25"/>
    <mergeCell ref="AH26:AL26"/>
    <mergeCell ref="AC32:AG32"/>
    <mergeCell ref="AH32:AL32"/>
    <mergeCell ref="A36:D36"/>
    <mergeCell ref="A38:D38"/>
    <mergeCell ref="E38:G38"/>
    <mergeCell ref="H38:AB38"/>
    <mergeCell ref="AH38:AL38"/>
    <mergeCell ref="A39:D39"/>
    <mergeCell ref="E39:G39"/>
    <mergeCell ref="AC26:AG26"/>
    <mergeCell ref="H26:AB26"/>
    <mergeCell ref="A64:D64"/>
    <mergeCell ref="A48:D48"/>
    <mergeCell ref="A61:D61"/>
    <mergeCell ref="A62:D62"/>
    <mergeCell ref="AC58:AL58"/>
    <mergeCell ref="H48:AB48"/>
    <mergeCell ref="H46:AB46"/>
    <mergeCell ref="AC46:AG46"/>
    <mergeCell ref="AC47:AG47"/>
    <mergeCell ref="AC48:AG48"/>
    <mergeCell ref="AC61:AG61"/>
    <mergeCell ref="AC62:AG62"/>
    <mergeCell ref="AC63:AG63"/>
    <mergeCell ref="AC64:AG64"/>
    <mergeCell ref="AH48:AL48"/>
    <mergeCell ref="AH62:AL62"/>
    <mergeCell ref="A46:D46"/>
    <mergeCell ref="A47:D47"/>
    <mergeCell ref="A50:AL50"/>
    <mergeCell ref="A51:AL51"/>
    <mergeCell ref="Q53:U53"/>
    <mergeCell ref="V53:AH53"/>
    <mergeCell ref="AC45:AG45"/>
    <mergeCell ref="AC44:AG44"/>
    <mergeCell ref="AC38:AG38"/>
    <mergeCell ref="AC43:AG43"/>
    <mergeCell ref="E41:G41"/>
    <mergeCell ref="H41:AB41"/>
    <mergeCell ref="H39:AB39"/>
    <mergeCell ref="AC39:AG39"/>
    <mergeCell ref="AC42:AG42"/>
    <mergeCell ref="AC40:AG40"/>
    <mergeCell ref="AH15:AL15"/>
    <mergeCell ref="A20:D20"/>
    <mergeCell ref="A21:D21"/>
    <mergeCell ref="H20:AB20"/>
    <mergeCell ref="H21:AB21"/>
    <mergeCell ref="AC21:AG21"/>
    <mergeCell ref="AH17:AL17"/>
    <mergeCell ref="AC15:AG15"/>
    <mergeCell ref="AC16:AG16"/>
    <mergeCell ref="A17:D17"/>
    <mergeCell ref="H17:AB17"/>
    <mergeCell ref="AC14:AG14"/>
    <mergeCell ref="AH12:AL12"/>
    <mergeCell ref="A22:D22"/>
    <mergeCell ref="A23:D23"/>
    <mergeCell ref="A25:D25"/>
    <mergeCell ref="H15:AB15"/>
    <mergeCell ref="A18:D18"/>
    <mergeCell ref="A19:D19"/>
    <mergeCell ref="A15:D15"/>
    <mergeCell ref="A16:D16"/>
    <mergeCell ref="AH19:AL19"/>
    <mergeCell ref="AH23:AL23"/>
    <mergeCell ref="AH20:AL20"/>
    <mergeCell ref="E20:G20"/>
    <mergeCell ref="E21:G21"/>
    <mergeCell ref="E22:G22"/>
    <mergeCell ref="E23:G23"/>
    <mergeCell ref="E25:G25"/>
    <mergeCell ref="AC17:AG17"/>
    <mergeCell ref="AC18:AG18"/>
    <mergeCell ref="AC19:AG19"/>
    <mergeCell ref="AC20:AG20"/>
    <mergeCell ref="AH18:AL18"/>
    <mergeCell ref="AH14:AL14"/>
    <mergeCell ref="A12:D12"/>
    <mergeCell ref="A13:D13"/>
    <mergeCell ref="A14:D14"/>
    <mergeCell ref="AH13:AL13"/>
    <mergeCell ref="AH16:AL16"/>
    <mergeCell ref="H16:AB16"/>
    <mergeCell ref="A1:AL1"/>
    <mergeCell ref="A2:AL2"/>
    <mergeCell ref="Q4:U4"/>
    <mergeCell ref="V4:AH4"/>
    <mergeCell ref="H9:AB11"/>
    <mergeCell ref="H12:AB12"/>
    <mergeCell ref="H13:AB13"/>
    <mergeCell ref="H14:AB14"/>
    <mergeCell ref="D4:L4"/>
    <mergeCell ref="H7:O7"/>
    <mergeCell ref="A9:D11"/>
    <mergeCell ref="AC9:AL9"/>
    <mergeCell ref="AC10:AG10"/>
    <mergeCell ref="AH10:AL10"/>
    <mergeCell ref="AC11:AG11"/>
    <mergeCell ref="AH11:AL11"/>
    <mergeCell ref="AC12:AG12"/>
    <mergeCell ref="AC13:AG13"/>
    <mergeCell ref="AH24:AL24"/>
    <mergeCell ref="AH41:AL41"/>
    <mergeCell ref="AH42:AL42"/>
    <mergeCell ref="AH43:AL43"/>
    <mergeCell ref="AH44:AL44"/>
    <mergeCell ref="H22:AB22"/>
    <mergeCell ref="E24:G24"/>
    <mergeCell ref="H24:AB24"/>
    <mergeCell ref="AC24:AG24"/>
    <mergeCell ref="H23:AB23"/>
    <mergeCell ref="H28:AB28"/>
    <mergeCell ref="H29:AB29"/>
    <mergeCell ref="H30:AB30"/>
    <mergeCell ref="H31:AB31"/>
    <mergeCell ref="E28:G28"/>
    <mergeCell ref="E29:G29"/>
    <mergeCell ref="AC22:AG22"/>
    <mergeCell ref="AC23:AG23"/>
    <mergeCell ref="AC29:AG29"/>
    <mergeCell ref="AC27:AG27"/>
    <mergeCell ref="AC28:AG28"/>
    <mergeCell ref="AC30:AG30"/>
    <mergeCell ref="AC31:AG31"/>
    <mergeCell ref="AC25:AG25"/>
    <mergeCell ref="H25:AB25"/>
    <mergeCell ref="H27:AB27"/>
    <mergeCell ref="A26:D26"/>
    <mergeCell ref="A27:D27"/>
    <mergeCell ref="A28:D28"/>
    <mergeCell ref="A29:D29"/>
    <mergeCell ref="E26:G26"/>
    <mergeCell ref="E27:G27"/>
    <mergeCell ref="E17:G17"/>
    <mergeCell ref="E18:G18"/>
    <mergeCell ref="E19:G19"/>
    <mergeCell ref="H18:AB18"/>
    <mergeCell ref="H19:AB19"/>
    <mergeCell ref="H47:AB47"/>
    <mergeCell ref="H62:AB62"/>
    <mergeCell ref="E58:G60"/>
    <mergeCell ref="E61:G61"/>
    <mergeCell ref="A45:D45"/>
    <mergeCell ref="E30:G30"/>
    <mergeCell ref="E31:G31"/>
    <mergeCell ref="A32:D32"/>
    <mergeCell ref="E32:G32"/>
    <mergeCell ref="H32:AB32"/>
    <mergeCell ref="A33:D33"/>
    <mergeCell ref="E33:G33"/>
    <mergeCell ref="H33:AB33"/>
    <mergeCell ref="A34:D34"/>
    <mergeCell ref="E34:G34"/>
    <mergeCell ref="H34:AB34"/>
    <mergeCell ref="A35:D35"/>
    <mergeCell ref="E35:G35"/>
    <mergeCell ref="H35:AB35"/>
    <mergeCell ref="E62:G62"/>
    <mergeCell ref="A30:D30"/>
    <mergeCell ref="A31:D31"/>
    <mergeCell ref="E45:G45"/>
    <mergeCell ref="H45:AB45"/>
    <mergeCell ref="AC96:AG96"/>
    <mergeCell ref="A95:D95"/>
    <mergeCell ref="A96:D96"/>
    <mergeCell ref="H96:AB96"/>
    <mergeCell ref="AC95:AG95"/>
    <mergeCell ref="AH96:AL96"/>
    <mergeCell ref="E96:G96"/>
    <mergeCell ref="E95:G95"/>
    <mergeCell ref="H63:AB63"/>
    <mergeCell ref="A63:D63"/>
    <mergeCell ref="E63:G63"/>
    <mergeCell ref="E64:G64"/>
    <mergeCell ref="A65:D65"/>
    <mergeCell ref="H65:AB65"/>
    <mergeCell ref="A89:D89"/>
    <mergeCell ref="E89:G89"/>
    <mergeCell ref="H89:AB89"/>
    <mergeCell ref="E71:G71"/>
    <mergeCell ref="H71:AB71"/>
    <mergeCell ref="A72:D72"/>
    <mergeCell ref="E72:G72"/>
    <mergeCell ref="H72:AB72"/>
    <mergeCell ref="A73:D73"/>
    <mergeCell ref="E73:G73"/>
    <mergeCell ref="H61:AB61"/>
    <mergeCell ref="AC59:AG59"/>
    <mergeCell ref="AH59:AL59"/>
    <mergeCell ref="AC60:AG60"/>
    <mergeCell ref="AH60:AL60"/>
    <mergeCell ref="H95:AB95"/>
    <mergeCell ref="E94:G94"/>
    <mergeCell ref="H94:AB94"/>
    <mergeCell ref="E82:G82"/>
    <mergeCell ref="H82:AB82"/>
    <mergeCell ref="E83:G83"/>
    <mergeCell ref="H83:AB83"/>
    <mergeCell ref="E84:G84"/>
    <mergeCell ref="H84:AB84"/>
    <mergeCell ref="H85:AB85"/>
    <mergeCell ref="H86:AB86"/>
    <mergeCell ref="H88:AB88"/>
    <mergeCell ref="H87:AB87"/>
    <mergeCell ref="AH66:AL66"/>
    <mergeCell ref="AH67:AL67"/>
    <mergeCell ref="AH68:AL68"/>
    <mergeCell ref="AH69:AL69"/>
    <mergeCell ref="AH95:AL95"/>
    <mergeCell ref="E65:G65"/>
    <mergeCell ref="H73:AB73"/>
    <mergeCell ref="A74:D74"/>
    <mergeCell ref="E74:G74"/>
    <mergeCell ref="H74:AB74"/>
    <mergeCell ref="A75:D75"/>
    <mergeCell ref="E75:G75"/>
    <mergeCell ref="H75:AB75"/>
    <mergeCell ref="H77:AB77"/>
    <mergeCell ref="A78:D78"/>
    <mergeCell ref="E78:G78"/>
    <mergeCell ref="H78:AB78"/>
    <mergeCell ref="A90:D90"/>
    <mergeCell ref="E90:G90"/>
    <mergeCell ref="H90:AB90"/>
    <mergeCell ref="A92:D92"/>
    <mergeCell ref="E92:G92"/>
    <mergeCell ref="H92:AB92"/>
    <mergeCell ref="A93:D93"/>
    <mergeCell ref="E93:G93"/>
    <mergeCell ref="H93:AB93"/>
    <mergeCell ref="A91:D91"/>
    <mergeCell ref="E91:G91"/>
    <mergeCell ref="H91:AB91"/>
    <mergeCell ref="A94:D94"/>
    <mergeCell ref="H64:AB64"/>
    <mergeCell ref="H58:AB60"/>
    <mergeCell ref="A66:D66"/>
    <mergeCell ref="E66:G66"/>
    <mergeCell ref="H66:AB66"/>
    <mergeCell ref="A67:D67"/>
    <mergeCell ref="E67:G67"/>
    <mergeCell ref="H67:AB67"/>
    <mergeCell ref="A68:D68"/>
    <mergeCell ref="E68:G68"/>
    <mergeCell ref="H68:AB68"/>
    <mergeCell ref="A76:D76"/>
    <mergeCell ref="E76:G76"/>
    <mergeCell ref="H76:AB76"/>
    <mergeCell ref="A77:D77"/>
    <mergeCell ref="E77:G77"/>
    <mergeCell ref="A69:D69"/>
    <mergeCell ref="E69:G69"/>
    <mergeCell ref="H69:AB69"/>
    <mergeCell ref="A70:D70"/>
    <mergeCell ref="E70:G70"/>
    <mergeCell ref="H70:AB70"/>
    <mergeCell ref="A71:D71"/>
    <mergeCell ref="A79:D79"/>
    <mergeCell ref="E79:G79"/>
    <mergeCell ref="H79:AB79"/>
    <mergeCell ref="A80:D80"/>
    <mergeCell ref="E80:G80"/>
    <mergeCell ref="H80:AB80"/>
    <mergeCell ref="A81:D81"/>
    <mergeCell ref="E81:G81"/>
    <mergeCell ref="H81:AB81"/>
    <mergeCell ref="AH72:AL72"/>
    <mergeCell ref="AH73:AL73"/>
    <mergeCell ref="AH74:AL74"/>
    <mergeCell ref="AH75:AL75"/>
    <mergeCell ref="AH76:AL76"/>
    <mergeCell ref="AH77:AL77"/>
    <mergeCell ref="AH79:AL79"/>
    <mergeCell ref="AH80:AL80"/>
    <mergeCell ref="AH71:AL71"/>
    <mergeCell ref="AH78:AL78"/>
    <mergeCell ref="AH81:AL81"/>
    <mergeCell ref="AH83:AL83"/>
    <mergeCell ref="AH84:AL84"/>
    <mergeCell ref="AH86:AL86"/>
    <mergeCell ref="AC81:AG81"/>
    <mergeCell ref="AC82:AG82"/>
    <mergeCell ref="AC83:AG83"/>
    <mergeCell ref="AH87:AL87"/>
    <mergeCell ref="AH88:AL88"/>
    <mergeCell ref="AC84:AG84"/>
    <mergeCell ref="AH82:AL82"/>
    <mergeCell ref="AH90:AL90"/>
    <mergeCell ref="AH91:AL91"/>
    <mergeCell ref="AH93:AL93"/>
    <mergeCell ref="AH94:AL94"/>
    <mergeCell ref="AH92:AL92"/>
    <mergeCell ref="AH89:AL89"/>
    <mergeCell ref="AC92:AG92"/>
    <mergeCell ref="AH85:AL85"/>
    <mergeCell ref="AC93:AG93"/>
    <mergeCell ref="AC94:AG94"/>
    <mergeCell ref="AC85:AG85"/>
    <mergeCell ref="AC86:AG86"/>
    <mergeCell ref="AC87:AG87"/>
    <mergeCell ref="AC88:AG88"/>
    <mergeCell ref="AC89:AG89"/>
    <mergeCell ref="AC90:AG90"/>
    <mergeCell ref="AC91:AG91"/>
    <mergeCell ref="AC72:AG72"/>
    <mergeCell ref="AC73:AG73"/>
    <mergeCell ref="AC74:AG74"/>
    <mergeCell ref="AC75:AG75"/>
    <mergeCell ref="AC76:AG76"/>
    <mergeCell ref="AC77:AG77"/>
    <mergeCell ref="AC78:AG78"/>
    <mergeCell ref="AC79:AG79"/>
    <mergeCell ref="AC80:AG80"/>
    <mergeCell ref="AH65:AL65"/>
    <mergeCell ref="AC65:AG65"/>
    <mergeCell ref="AC66:AG66"/>
    <mergeCell ref="AC67:AG67"/>
    <mergeCell ref="AC68:AG68"/>
    <mergeCell ref="AC69:AG69"/>
    <mergeCell ref="AC70:AG70"/>
    <mergeCell ref="AC71:AG71"/>
    <mergeCell ref="AH70:AL70"/>
    <mergeCell ref="A98:D98"/>
    <mergeCell ref="E98:G98"/>
    <mergeCell ref="H98:AB98"/>
    <mergeCell ref="AC98:AG98"/>
    <mergeCell ref="AH98:AL98"/>
    <mergeCell ref="A97:D97"/>
    <mergeCell ref="E97:G97"/>
    <mergeCell ref="H97:AB97"/>
    <mergeCell ref="AC97:AG97"/>
    <mergeCell ref="AH97:AL97"/>
  </mergeCells>
  <pageMargins left="0.70866141732283472" right="0.70866141732283472" top="0.74803149606299213" bottom="0.74803149606299213" header="0.31496062992125984" footer="0.31496062992125984"/>
  <pageSetup paperSize="9" scale="72" orientation="landscape" horizontalDpi="300" verticalDpi="300" r:id="rId1"/>
  <rowBreaks count="1" manualBreakCount="1">
    <brk id="49" min="1" max="4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2D35F-851F-4B48-A6EF-5090211674A8}">
  <sheetPr>
    <tabColor rgb="FFFFC000"/>
  </sheetPr>
  <dimension ref="A1:AE143"/>
  <sheetViews>
    <sheetView showGridLines="0" view="pageBreakPreview" topLeftCell="A125" zoomScale="106" zoomScaleNormal="100" zoomScaleSheetLayoutView="106" workbookViewId="0">
      <selection activeCell="A142" sqref="A142:B142"/>
    </sheetView>
  </sheetViews>
  <sheetFormatPr baseColWidth="10" defaultColWidth="3.44140625" defaultRowHeight="10.199999999999999" x14ac:dyDescent="0.3"/>
  <cols>
    <col min="1" max="3" width="3.44140625" style="1"/>
    <col min="4" max="4" width="4.44140625" style="1" bestFit="1" customWidth="1"/>
    <col min="5" max="24" width="3.44140625" style="1"/>
    <col min="25" max="25" width="5.44140625" style="1" customWidth="1"/>
    <col min="26" max="26" width="0.77734375" style="1" customWidth="1"/>
    <col min="27" max="29" width="3.77734375" style="1" bestFit="1" customWidth="1"/>
    <col min="30" max="30" width="4.44140625" style="1" bestFit="1" customWidth="1"/>
    <col min="31" max="31" width="3.77734375" style="1" bestFit="1" customWidth="1"/>
    <col min="32" max="16384" width="3.44140625" style="1"/>
  </cols>
  <sheetData>
    <row r="1" spans="1:31" x14ac:dyDescent="0.3">
      <c r="A1" s="214" t="s">
        <v>629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</row>
    <row r="2" spans="1:31" ht="10.8" thickBot="1" x14ac:dyDescent="0.35">
      <c r="A2" s="120" t="s">
        <v>34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</row>
    <row r="3" spans="1:31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x14ac:dyDescent="0.2">
      <c r="A4" s="24"/>
      <c r="B4" s="25" t="s">
        <v>243</v>
      </c>
      <c r="C4" s="156"/>
      <c r="D4" s="156"/>
      <c r="E4" s="156"/>
      <c r="F4" s="156"/>
      <c r="G4" s="156"/>
      <c r="H4" s="156"/>
      <c r="I4" s="156"/>
      <c r="J4" s="157"/>
      <c r="K4" s="25"/>
      <c r="L4" s="25"/>
      <c r="M4" s="25"/>
      <c r="N4" s="25"/>
      <c r="O4" s="158" t="s">
        <v>478</v>
      </c>
      <c r="P4" s="158"/>
      <c r="Q4" s="158"/>
      <c r="R4" s="158"/>
      <c r="S4" s="158"/>
      <c r="T4" s="155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</row>
    <row r="5" spans="1:31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</row>
    <row r="6" spans="1:31" x14ac:dyDescent="0.2">
      <c r="A6" s="24"/>
      <c r="B6" s="25"/>
      <c r="C6" s="25"/>
      <c r="D6" s="25"/>
      <c r="E6" s="25"/>
      <c r="F6" s="27" t="s">
        <v>128</v>
      </c>
      <c r="G6" s="27" t="s">
        <v>128</v>
      </c>
      <c r="H6" s="27" t="s">
        <v>128</v>
      </c>
      <c r="I6" s="27" t="s">
        <v>128</v>
      </c>
      <c r="J6" s="27" t="s">
        <v>127</v>
      </c>
      <c r="K6" s="27" t="s">
        <v>127</v>
      </c>
      <c r="L6" s="27" t="s">
        <v>126</v>
      </c>
      <c r="M6" s="27" t="s">
        <v>126</v>
      </c>
      <c r="N6" s="25"/>
      <c r="O6" s="25"/>
      <c r="P6" s="25"/>
      <c r="Q6" s="25"/>
      <c r="R6" s="27"/>
      <c r="S6" s="27"/>
      <c r="T6" s="27"/>
      <c r="U6" s="27"/>
      <c r="V6" s="27"/>
      <c r="W6" s="25"/>
      <c r="X6" s="27"/>
      <c r="Y6" s="25"/>
      <c r="Z6" s="25"/>
      <c r="AA6" s="27" t="s">
        <v>259</v>
      </c>
      <c r="AB6" s="27" t="s">
        <v>128</v>
      </c>
      <c r="AC6" s="27"/>
      <c r="AD6" s="25"/>
      <c r="AE6" s="25"/>
    </row>
    <row r="7" spans="1:31" x14ac:dyDescent="0.2">
      <c r="A7" s="24"/>
      <c r="B7" s="25"/>
      <c r="C7" s="25"/>
      <c r="D7" s="25"/>
      <c r="E7" s="25"/>
      <c r="F7" s="159" t="s">
        <v>129</v>
      </c>
      <c r="G7" s="159"/>
      <c r="H7" s="159"/>
      <c r="I7" s="159"/>
      <c r="J7" s="159"/>
      <c r="K7" s="159"/>
      <c r="L7" s="159"/>
      <c r="M7" s="159"/>
      <c r="N7" s="19"/>
      <c r="O7" s="25"/>
      <c r="P7" s="25"/>
      <c r="Q7" s="25"/>
      <c r="R7" s="25"/>
      <c r="S7" s="25"/>
      <c r="T7" s="33" t="s">
        <v>130</v>
      </c>
      <c r="U7" s="33"/>
      <c r="V7" s="25"/>
      <c r="W7" s="25"/>
      <c r="X7" s="25" t="s">
        <v>244</v>
      </c>
      <c r="Y7" s="25"/>
      <c r="Z7" s="25"/>
      <c r="AA7" s="25"/>
      <c r="AB7" s="19" t="s">
        <v>245</v>
      </c>
      <c r="AC7" s="25"/>
      <c r="AD7" s="25"/>
      <c r="AE7" s="25"/>
    </row>
    <row r="8" spans="1:31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</row>
    <row r="9" spans="1:31" ht="15.75" customHeight="1" x14ac:dyDescent="0.3">
      <c r="A9" s="122" t="s">
        <v>761</v>
      </c>
      <c r="B9" s="123"/>
      <c r="C9" s="143" t="s">
        <v>485</v>
      </c>
      <c r="D9" s="144"/>
      <c r="E9" s="145"/>
      <c r="F9" s="144" t="s">
        <v>235</v>
      </c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5"/>
      <c r="AA9" s="143" t="s">
        <v>0</v>
      </c>
      <c r="AB9" s="144"/>
      <c r="AC9" s="144"/>
      <c r="AD9" s="144"/>
      <c r="AE9" s="144"/>
    </row>
    <row r="10" spans="1:31" ht="15.75" customHeight="1" thickBot="1" x14ac:dyDescent="0.35">
      <c r="A10" s="125"/>
      <c r="B10" s="126"/>
      <c r="C10" s="146"/>
      <c r="D10" s="147"/>
      <c r="E10" s="148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8"/>
      <c r="AA10" s="149"/>
      <c r="AB10" s="150"/>
      <c r="AC10" s="150"/>
      <c r="AD10" s="150"/>
      <c r="AE10" s="150"/>
    </row>
    <row r="11" spans="1:31" ht="15.75" customHeight="1" thickBot="1" x14ac:dyDescent="0.35">
      <c r="A11" s="128"/>
      <c r="B11" s="129"/>
      <c r="C11" s="149"/>
      <c r="D11" s="150"/>
      <c r="E11" s="151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1"/>
      <c r="AA11" s="153">
        <v>1</v>
      </c>
      <c r="AB11" s="153"/>
      <c r="AC11" s="153"/>
      <c r="AD11" s="153"/>
      <c r="AE11" s="154"/>
    </row>
    <row r="12" spans="1:31" ht="15.75" customHeight="1" thickBot="1" x14ac:dyDescent="0.35">
      <c r="A12" s="171" t="s">
        <v>38</v>
      </c>
      <c r="B12" s="172"/>
      <c r="C12" s="462"/>
      <c r="D12" s="463"/>
      <c r="E12" s="464"/>
      <c r="F12" s="296" t="s">
        <v>4</v>
      </c>
      <c r="G12" s="296"/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400">
        <f>AA13+AA18+AA26</f>
        <v>0</v>
      </c>
      <c r="AB12" s="401"/>
      <c r="AC12" s="401"/>
      <c r="AD12" s="401"/>
      <c r="AE12" s="402"/>
    </row>
    <row r="13" spans="1:31" ht="15" customHeight="1" x14ac:dyDescent="0.3">
      <c r="A13" s="458" t="s">
        <v>39</v>
      </c>
      <c r="B13" s="459"/>
      <c r="C13" s="214">
        <v>70</v>
      </c>
      <c r="D13" s="195"/>
      <c r="E13" s="196"/>
      <c r="F13" s="296" t="s">
        <v>486</v>
      </c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7"/>
      <c r="AA13" s="460">
        <f>+AA14+AA15+AA16+AA17</f>
        <v>0</v>
      </c>
      <c r="AB13" s="460"/>
      <c r="AC13" s="460"/>
      <c r="AD13" s="460"/>
      <c r="AE13" s="461"/>
    </row>
    <row r="14" spans="1:31" x14ac:dyDescent="0.3">
      <c r="A14" s="300" t="s">
        <v>40</v>
      </c>
      <c r="B14" s="301"/>
      <c r="C14" s="191">
        <v>701</v>
      </c>
      <c r="D14" s="192"/>
      <c r="E14" s="217"/>
      <c r="F14" s="303" t="s">
        <v>487</v>
      </c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4"/>
      <c r="AA14" s="438"/>
      <c r="AB14" s="438"/>
      <c r="AC14" s="438"/>
      <c r="AD14" s="438"/>
      <c r="AE14" s="423"/>
    </row>
    <row r="15" spans="1:31" x14ac:dyDescent="0.3">
      <c r="A15" s="300" t="s">
        <v>41</v>
      </c>
      <c r="B15" s="301"/>
      <c r="C15" s="191">
        <v>702</v>
      </c>
      <c r="D15" s="192"/>
      <c r="E15" s="217"/>
      <c r="F15" s="303" t="s">
        <v>488</v>
      </c>
      <c r="G15" s="303"/>
      <c r="H15" s="303"/>
      <c r="I15" s="303"/>
      <c r="J15" s="303"/>
      <c r="K15" s="303"/>
      <c r="L15" s="303"/>
      <c r="M15" s="303"/>
      <c r="N15" s="303"/>
      <c r="O15" s="303"/>
      <c r="P15" s="303"/>
      <c r="Q15" s="303"/>
      <c r="R15" s="303"/>
      <c r="S15" s="303"/>
      <c r="T15" s="303"/>
      <c r="U15" s="303"/>
      <c r="V15" s="303"/>
      <c r="W15" s="303"/>
      <c r="X15" s="303"/>
      <c r="Y15" s="303"/>
      <c r="Z15" s="304"/>
      <c r="AA15" s="438"/>
      <c r="AB15" s="438"/>
      <c r="AC15" s="438"/>
      <c r="AD15" s="438"/>
      <c r="AE15" s="423"/>
    </row>
    <row r="16" spans="1:31" x14ac:dyDescent="0.3">
      <c r="A16" s="300" t="s">
        <v>42</v>
      </c>
      <c r="B16" s="301"/>
      <c r="C16" s="191">
        <v>7031</v>
      </c>
      <c r="D16" s="192"/>
      <c r="E16" s="217"/>
      <c r="F16" s="303" t="s">
        <v>573</v>
      </c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3"/>
      <c r="R16" s="303"/>
      <c r="S16" s="303"/>
      <c r="T16" s="303"/>
      <c r="U16" s="303"/>
      <c r="V16" s="303"/>
      <c r="W16" s="303"/>
      <c r="X16" s="303"/>
      <c r="Y16" s="303"/>
      <c r="Z16" s="304"/>
      <c r="AA16" s="438"/>
      <c r="AB16" s="438"/>
      <c r="AC16" s="438"/>
      <c r="AD16" s="438"/>
      <c r="AE16" s="423"/>
    </row>
    <row r="17" spans="1:31" x14ac:dyDescent="0.3">
      <c r="A17" s="300" t="s">
        <v>801</v>
      </c>
      <c r="B17" s="301"/>
      <c r="C17" s="12"/>
      <c r="D17" s="13">
        <v>709</v>
      </c>
      <c r="E17" s="14"/>
      <c r="F17" s="303" t="s">
        <v>568</v>
      </c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  <c r="X17" s="303"/>
      <c r="Y17" s="303"/>
      <c r="Z17" s="304"/>
      <c r="AA17" s="115"/>
      <c r="AB17" s="197"/>
      <c r="AC17" s="197"/>
      <c r="AD17" s="197"/>
      <c r="AE17" s="117"/>
    </row>
    <row r="18" spans="1:31" x14ac:dyDescent="0.3">
      <c r="A18" s="300" t="s">
        <v>43</v>
      </c>
      <c r="B18" s="301"/>
      <c r="C18" s="118">
        <v>71</v>
      </c>
      <c r="D18" s="119"/>
      <c r="E18" s="325"/>
      <c r="F18" s="219" t="s">
        <v>490</v>
      </c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19"/>
      <c r="R18" s="219"/>
      <c r="S18" s="219"/>
      <c r="T18" s="219"/>
      <c r="U18" s="219"/>
      <c r="V18" s="219"/>
      <c r="W18" s="219"/>
      <c r="X18" s="219"/>
      <c r="Y18" s="219"/>
      <c r="Z18" s="305"/>
      <c r="AA18" s="465">
        <f>+AA19+AA20+AA21+AA22+AA23+AA24+AA25</f>
        <v>0</v>
      </c>
      <c r="AB18" s="465"/>
      <c r="AC18" s="465"/>
      <c r="AD18" s="465"/>
      <c r="AE18" s="466"/>
    </row>
    <row r="19" spans="1:31" x14ac:dyDescent="0.3">
      <c r="A19" s="300" t="s">
        <v>44</v>
      </c>
      <c r="B19" s="301"/>
      <c r="C19" s="191">
        <v>711</v>
      </c>
      <c r="D19" s="192"/>
      <c r="E19" s="217"/>
      <c r="F19" s="303" t="s">
        <v>491</v>
      </c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4"/>
      <c r="AA19" s="438"/>
      <c r="AB19" s="438"/>
      <c r="AC19" s="438"/>
      <c r="AD19" s="438"/>
      <c r="AE19" s="423"/>
    </row>
    <row r="20" spans="1:31" x14ac:dyDescent="0.3">
      <c r="A20" s="300" t="s">
        <v>45</v>
      </c>
      <c r="B20" s="301"/>
      <c r="C20" s="191">
        <v>712</v>
      </c>
      <c r="D20" s="192"/>
      <c r="E20" s="217"/>
      <c r="F20" s="303" t="s">
        <v>492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4"/>
      <c r="AA20" s="438"/>
      <c r="AB20" s="438"/>
      <c r="AC20" s="438"/>
      <c r="AD20" s="438"/>
      <c r="AE20" s="423"/>
    </row>
    <row r="21" spans="1:31" x14ac:dyDescent="0.3">
      <c r="A21" s="300" t="s">
        <v>46</v>
      </c>
      <c r="B21" s="301"/>
      <c r="C21" s="191">
        <v>713</v>
      </c>
      <c r="D21" s="192"/>
      <c r="E21" s="217"/>
      <c r="F21" s="303" t="s">
        <v>493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4"/>
      <c r="AA21" s="438"/>
      <c r="AB21" s="438"/>
      <c r="AC21" s="438"/>
      <c r="AD21" s="438"/>
      <c r="AE21" s="423"/>
    </row>
    <row r="22" spans="1:31" x14ac:dyDescent="0.3">
      <c r="A22" s="300" t="s">
        <v>47</v>
      </c>
      <c r="B22" s="301"/>
      <c r="C22" s="191">
        <v>714</v>
      </c>
      <c r="D22" s="192"/>
      <c r="E22" s="217"/>
      <c r="F22" s="303" t="s">
        <v>494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  <c r="T22" s="303"/>
      <c r="U22" s="303"/>
      <c r="V22" s="303"/>
      <c r="W22" s="303"/>
      <c r="X22" s="303"/>
      <c r="Y22" s="303"/>
      <c r="Z22" s="304"/>
      <c r="AA22" s="438"/>
      <c r="AB22" s="438"/>
      <c r="AC22" s="438"/>
      <c r="AD22" s="438"/>
      <c r="AE22" s="423"/>
    </row>
    <row r="23" spans="1:31" x14ac:dyDescent="0.3">
      <c r="A23" s="300" t="s">
        <v>48</v>
      </c>
      <c r="B23" s="301"/>
      <c r="C23" s="191">
        <v>715</v>
      </c>
      <c r="D23" s="192"/>
      <c r="E23" s="217"/>
      <c r="F23" s="303" t="s">
        <v>495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4"/>
      <c r="AA23" s="438"/>
      <c r="AB23" s="438"/>
      <c r="AC23" s="438"/>
      <c r="AD23" s="438"/>
      <c r="AE23" s="423"/>
    </row>
    <row r="24" spans="1:31" x14ac:dyDescent="0.3">
      <c r="A24" s="300" t="s">
        <v>49</v>
      </c>
      <c r="B24" s="301"/>
      <c r="C24" s="191">
        <v>716</v>
      </c>
      <c r="D24" s="192"/>
      <c r="E24" s="217"/>
      <c r="F24" s="303" t="s">
        <v>496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  <c r="T24" s="303"/>
      <c r="U24" s="303"/>
      <c r="V24" s="303"/>
      <c r="W24" s="303"/>
      <c r="X24" s="303"/>
      <c r="Y24" s="303"/>
      <c r="Z24" s="304"/>
      <c r="AA24" s="438"/>
      <c r="AB24" s="438"/>
      <c r="AC24" s="438"/>
      <c r="AD24" s="438"/>
      <c r="AE24" s="423"/>
    </row>
    <row r="25" spans="1:31" x14ac:dyDescent="0.3">
      <c r="A25" s="300" t="s">
        <v>802</v>
      </c>
      <c r="B25" s="301"/>
      <c r="C25" s="191">
        <v>717</v>
      </c>
      <c r="D25" s="192">
        <v>717</v>
      </c>
      <c r="E25" s="217"/>
      <c r="F25" s="303" t="s">
        <v>510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4"/>
      <c r="AA25" s="115"/>
      <c r="AB25" s="197"/>
      <c r="AC25" s="197"/>
      <c r="AD25" s="197"/>
      <c r="AE25" s="117"/>
    </row>
    <row r="26" spans="1:31" x14ac:dyDescent="0.3">
      <c r="A26" s="300" t="s">
        <v>50</v>
      </c>
      <c r="B26" s="301"/>
      <c r="C26" s="118">
        <v>72</v>
      </c>
      <c r="D26" s="119"/>
      <c r="E26" s="325"/>
      <c r="F26" s="219" t="s">
        <v>497</v>
      </c>
      <c r="G26" s="219"/>
      <c r="H26" s="219"/>
      <c r="I26" s="219"/>
      <c r="J26" s="219"/>
      <c r="K26" s="219"/>
      <c r="L26" s="219"/>
      <c r="M26" s="219"/>
      <c r="N26" s="219"/>
      <c r="O26" s="219"/>
      <c r="P26" s="219"/>
      <c r="Q26" s="219"/>
      <c r="R26" s="219"/>
      <c r="S26" s="219"/>
      <c r="T26" s="219"/>
      <c r="U26" s="219"/>
      <c r="V26" s="219"/>
      <c r="W26" s="219"/>
      <c r="X26" s="219"/>
      <c r="Y26" s="219"/>
      <c r="Z26" s="305"/>
      <c r="AA26" s="465">
        <f>+AA27+AA28+AA29+AA30+AA31+AA32</f>
        <v>0</v>
      </c>
      <c r="AB26" s="465"/>
      <c r="AC26" s="465"/>
      <c r="AD26" s="465"/>
      <c r="AE26" s="466"/>
    </row>
    <row r="27" spans="1:31" x14ac:dyDescent="0.3">
      <c r="A27" s="300" t="s">
        <v>51</v>
      </c>
      <c r="B27" s="301"/>
      <c r="C27" s="191">
        <v>721</v>
      </c>
      <c r="D27" s="192"/>
      <c r="E27" s="217"/>
      <c r="F27" s="303" t="s">
        <v>498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V27" s="303"/>
      <c r="W27" s="303"/>
      <c r="X27" s="303"/>
      <c r="Y27" s="303"/>
      <c r="Z27" s="304"/>
      <c r="AA27" s="438">
        <v>0</v>
      </c>
      <c r="AB27" s="438"/>
      <c r="AC27" s="438"/>
      <c r="AD27" s="438"/>
      <c r="AE27" s="423"/>
    </row>
    <row r="28" spans="1:31" x14ac:dyDescent="0.3">
      <c r="A28" s="300" t="s">
        <v>52</v>
      </c>
      <c r="B28" s="301"/>
      <c r="C28" s="191">
        <v>722</v>
      </c>
      <c r="D28" s="192"/>
      <c r="E28" s="217"/>
      <c r="F28" s="303" t="s">
        <v>499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4"/>
      <c r="AA28" s="438">
        <v>0</v>
      </c>
      <c r="AB28" s="438"/>
      <c r="AC28" s="438"/>
      <c r="AD28" s="438"/>
      <c r="AE28" s="423"/>
    </row>
    <row r="29" spans="1:31" x14ac:dyDescent="0.3">
      <c r="A29" s="300" t="s">
        <v>53</v>
      </c>
      <c r="B29" s="301"/>
      <c r="C29" s="191">
        <v>723</v>
      </c>
      <c r="D29" s="192"/>
      <c r="E29" s="217"/>
      <c r="F29" s="303" t="s">
        <v>501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  <c r="V29" s="303"/>
      <c r="W29" s="303"/>
      <c r="X29" s="303"/>
      <c r="Y29" s="303"/>
      <c r="Z29" s="304"/>
      <c r="AA29" s="438">
        <v>0</v>
      </c>
      <c r="AB29" s="438"/>
      <c r="AC29" s="438"/>
      <c r="AD29" s="438"/>
      <c r="AE29" s="423"/>
    </row>
    <row r="30" spans="1:31" x14ac:dyDescent="0.3">
      <c r="A30" s="300" t="s">
        <v>54</v>
      </c>
      <c r="B30" s="301"/>
      <c r="C30" s="191">
        <v>724</v>
      </c>
      <c r="D30" s="192"/>
      <c r="E30" s="217"/>
      <c r="F30" s="303" t="s">
        <v>500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  <c r="V30" s="303"/>
      <c r="W30" s="303"/>
      <c r="X30" s="303"/>
      <c r="Y30" s="303"/>
      <c r="Z30" s="304"/>
      <c r="AA30" s="438">
        <v>0</v>
      </c>
      <c r="AB30" s="438"/>
      <c r="AC30" s="438"/>
      <c r="AD30" s="438"/>
      <c r="AE30" s="423"/>
    </row>
    <row r="31" spans="1:31" x14ac:dyDescent="0.3">
      <c r="A31" s="300" t="s">
        <v>55</v>
      </c>
      <c r="B31" s="301"/>
      <c r="C31" s="191">
        <v>725</v>
      </c>
      <c r="D31" s="192"/>
      <c r="E31" s="217"/>
      <c r="F31" s="303" t="s">
        <v>502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303"/>
      <c r="W31" s="303"/>
      <c r="X31" s="303"/>
      <c r="Y31" s="303"/>
      <c r="Z31" s="304"/>
      <c r="AA31" s="438">
        <v>0</v>
      </c>
      <c r="AB31" s="438"/>
      <c r="AC31" s="438"/>
      <c r="AD31" s="438"/>
      <c r="AE31" s="423"/>
    </row>
    <row r="32" spans="1:31" ht="10.8" thickBot="1" x14ac:dyDescent="0.35">
      <c r="A32" s="449" t="s">
        <v>56</v>
      </c>
      <c r="B32" s="450"/>
      <c r="C32" s="290">
        <v>726</v>
      </c>
      <c r="D32" s="291"/>
      <c r="E32" s="292"/>
      <c r="F32" s="457" t="s">
        <v>503</v>
      </c>
      <c r="G32" s="457"/>
      <c r="H32" s="457"/>
      <c r="I32" s="457"/>
      <c r="J32" s="457"/>
      <c r="K32" s="457"/>
      <c r="L32" s="457"/>
      <c r="M32" s="457"/>
      <c r="N32" s="457"/>
      <c r="O32" s="457"/>
      <c r="P32" s="457"/>
      <c r="Q32" s="457"/>
      <c r="R32" s="457"/>
      <c r="S32" s="457"/>
      <c r="T32" s="457"/>
      <c r="U32" s="457"/>
      <c r="V32" s="457"/>
      <c r="W32" s="457"/>
      <c r="X32" s="457"/>
      <c r="Y32" s="457"/>
      <c r="Z32" s="467"/>
      <c r="AA32" s="447">
        <v>0</v>
      </c>
      <c r="AB32" s="447"/>
      <c r="AC32" s="447"/>
      <c r="AD32" s="447"/>
      <c r="AE32" s="448"/>
    </row>
    <row r="33" spans="1:31" ht="10.8" thickBot="1" x14ac:dyDescent="0.35">
      <c r="A33" s="34"/>
      <c r="B33" s="35"/>
      <c r="C33" s="35"/>
      <c r="D33" s="35"/>
      <c r="E33" s="35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35"/>
      <c r="AB33" s="35"/>
      <c r="AC33" s="35"/>
      <c r="AD33" s="35"/>
      <c r="AE33" s="35"/>
    </row>
    <row r="34" spans="1:31" x14ac:dyDescent="0.3">
      <c r="A34" s="214" t="s">
        <v>628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</row>
    <row r="35" spans="1:31" ht="10.8" thickBot="1" x14ac:dyDescent="0.35">
      <c r="A35" s="120" t="s">
        <v>34</v>
      </c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</row>
    <row r="36" spans="1:31" x14ac:dyDescent="0.2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x14ac:dyDescent="0.2">
      <c r="A37" s="24"/>
      <c r="B37" s="25" t="s">
        <v>243</v>
      </c>
      <c r="C37" s="156"/>
      <c r="D37" s="156"/>
      <c r="E37" s="156"/>
      <c r="F37" s="156"/>
      <c r="G37" s="156"/>
      <c r="H37" s="156"/>
      <c r="I37" s="156"/>
      <c r="J37" s="157"/>
      <c r="K37" s="25"/>
      <c r="L37" s="25"/>
      <c r="M37" s="25"/>
      <c r="N37" s="25"/>
      <c r="O37" s="158" t="s">
        <v>125</v>
      </c>
      <c r="P37" s="158"/>
      <c r="Q37" s="158"/>
      <c r="R37" s="158"/>
      <c r="S37" s="158"/>
      <c r="T37" s="155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156"/>
    </row>
    <row r="38" spans="1:31" x14ac:dyDescent="0.2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spans="1:31" x14ac:dyDescent="0.2">
      <c r="A39" s="24"/>
      <c r="B39" s="25"/>
      <c r="C39" s="25"/>
      <c r="D39" s="25"/>
      <c r="E39" s="25"/>
      <c r="F39" s="27" t="s">
        <v>128</v>
      </c>
      <c r="G39" s="27" t="s">
        <v>128</v>
      </c>
      <c r="H39" s="27" t="s">
        <v>128</v>
      </c>
      <c r="I39" s="27" t="s">
        <v>128</v>
      </c>
      <c r="J39" s="27" t="s">
        <v>127</v>
      </c>
      <c r="K39" s="27" t="s">
        <v>127</v>
      </c>
      <c r="L39" s="27" t="s">
        <v>126</v>
      </c>
      <c r="M39" s="27" t="s">
        <v>126</v>
      </c>
      <c r="N39" s="25"/>
      <c r="O39" s="25"/>
      <c r="P39" s="25"/>
      <c r="Q39" s="25"/>
      <c r="R39" s="27"/>
      <c r="S39" s="27"/>
      <c r="T39" s="27"/>
      <c r="U39" s="27"/>
      <c r="V39" s="27"/>
      <c r="W39" s="25"/>
      <c r="X39" s="27"/>
      <c r="Y39" s="25"/>
      <c r="Z39" s="25"/>
      <c r="AA39" s="27" t="s">
        <v>259</v>
      </c>
      <c r="AB39" s="27" t="s">
        <v>128</v>
      </c>
      <c r="AC39" s="27"/>
      <c r="AD39" s="25"/>
      <c r="AE39" s="25"/>
    </row>
    <row r="40" spans="1:31" x14ac:dyDescent="0.2">
      <c r="A40" s="24"/>
      <c r="B40" s="25"/>
      <c r="C40" s="25"/>
      <c r="D40" s="25"/>
      <c r="E40" s="25"/>
      <c r="F40" s="159" t="s">
        <v>129</v>
      </c>
      <c r="G40" s="159"/>
      <c r="H40" s="159"/>
      <c r="I40" s="159"/>
      <c r="J40" s="159"/>
      <c r="K40" s="159"/>
      <c r="L40" s="159"/>
      <c r="M40" s="159"/>
      <c r="N40" s="19"/>
      <c r="O40" s="25"/>
      <c r="P40" s="25"/>
      <c r="Q40" s="25"/>
      <c r="R40" s="25"/>
      <c r="S40" s="25"/>
      <c r="T40" s="33" t="s">
        <v>130</v>
      </c>
      <c r="U40" s="33"/>
      <c r="V40" s="25"/>
      <c r="W40" s="25"/>
      <c r="X40" s="25" t="s">
        <v>244</v>
      </c>
      <c r="Y40" s="25"/>
      <c r="Z40" s="25"/>
      <c r="AA40" s="25"/>
      <c r="AB40" s="19" t="s">
        <v>245</v>
      </c>
      <c r="AC40" s="25"/>
      <c r="AD40" s="25"/>
      <c r="AE40" s="25"/>
    </row>
    <row r="41" spans="1:31" ht="10.8" thickBot="1" x14ac:dyDescent="0.2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</row>
    <row r="42" spans="1:31" ht="15.75" customHeight="1" x14ac:dyDescent="0.3">
      <c r="A42" s="122" t="s">
        <v>761</v>
      </c>
      <c r="B42" s="123"/>
      <c r="C42" s="143"/>
      <c r="D42" s="144"/>
      <c r="E42" s="145"/>
      <c r="F42" s="144" t="s">
        <v>235</v>
      </c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5"/>
      <c r="AA42" s="143" t="s">
        <v>0</v>
      </c>
      <c r="AB42" s="144"/>
      <c r="AC42" s="144"/>
      <c r="AD42" s="144"/>
      <c r="AE42" s="144"/>
    </row>
    <row r="43" spans="1:31" ht="15.75" customHeight="1" thickBot="1" x14ac:dyDescent="0.35">
      <c r="A43" s="125"/>
      <c r="B43" s="126"/>
      <c r="C43" s="146"/>
      <c r="D43" s="147"/>
      <c r="E43" s="148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8"/>
      <c r="AA43" s="149"/>
      <c r="AB43" s="150"/>
      <c r="AC43" s="150"/>
      <c r="AD43" s="150"/>
      <c r="AE43" s="150"/>
    </row>
    <row r="44" spans="1:31" ht="15.75" customHeight="1" thickBot="1" x14ac:dyDescent="0.35">
      <c r="A44" s="128"/>
      <c r="B44" s="129"/>
      <c r="C44" s="149"/>
      <c r="D44" s="150"/>
      <c r="E44" s="151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1"/>
      <c r="AA44" s="153">
        <v>2</v>
      </c>
      <c r="AB44" s="153"/>
      <c r="AC44" s="153"/>
      <c r="AD44" s="153"/>
      <c r="AE44" s="154"/>
    </row>
    <row r="45" spans="1:31" ht="15.75" customHeight="1" thickBot="1" x14ac:dyDescent="0.35">
      <c r="A45" s="171" t="s">
        <v>61</v>
      </c>
      <c r="B45" s="172"/>
      <c r="C45" s="468"/>
      <c r="D45" s="469"/>
      <c r="E45" s="470"/>
      <c r="F45" s="182" t="s">
        <v>5</v>
      </c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400">
        <f>AA46+AA47+AA48+AA49</f>
        <v>0</v>
      </c>
      <c r="AB45" s="401"/>
      <c r="AC45" s="401"/>
      <c r="AD45" s="401"/>
      <c r="AE45" s="402"/>
    </row>
    <row r="46" spans="1:31" x14ac:dyDescent="0.3">
      <c r="A46" s="300" t="s">
        <v>63</v>
      </c>
      <c r="B46" s="301"/>
      <c r="C46" s="191">
        <v>601</v>
      </c>
      <c r="D46" s="192"/>
      <c r="E46" s="217"/>
      <c r="F46" s="303" t="s">
        <v>569</v>
      </c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Y46" s="303"/>
      <c r="Z46" s="303"/>
      <c r="AA46" s="421"/>
      <c r="AB46" s="422"/>
      <c r="AC46" s="422"/>
      <c r="AD46" s="422"/>
      <c r="AE46" s="423"/>
    </row>
    <row r="47" spans="1:31" x14ac:dyDescent="0.3">
      <c r="A47" s="300" t="s">
        <v>64</v>
      </c>
      <c r="B47" s="301"/>
      <c r="C47" s="191">
        <v>602</v>
      </c>
      <c r="D47" s="192"/>
      <c r="E47" s="217"/>
      <c r="F47" s="303" t="s">
        <v>571</v>
      </c>
      <c r="G47" s="303"/>
      <c r="H47" s="30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Y47" s="303"/>
      <c r="Z47" s="303"/>
      <c r="AA47" s="421">
        <v>0</v>
      </c>
      <c r="AB47" s="422"/>
      <c r="AC47" s="422"/>
      <c r="AD47" s="422"/>
      <c r="AE47" s="423"/>
    </row>
    <row r="48" spans="1:31" x14ac:dyDescent="0.3">
      <c r="A48" s="300" t="s">
        <v>65</v>
      </c>
      <c r="B48" s="301"/>
      <c r="C48" s="191">
        <v>609</v>
      </c>
      <c r="D48" s="192"/>
      <c r="E48" s="217"/>
      <c r="F48" s="303" t="s">
        <v>570</v>
      </c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  <c r="X48" s="303"/>
      <c r="Y48" s="303"/>
      <c r="Z48" s="303"/>
      <c r="AA48" s="421">
        <v>0</v>
      </c>
      <c r="AB48" s="422"/>
      <c r="AC48" s="422"/>
      <c r="AD48" s="422"/>
      <c r="AE48" s="423"/>
    </row>
    <row r="49" spans="1:31" ht="15.75" customHeight="1" thickBot="1" x14ac:dyDescent="0.35">
      <c r="A49" s="300" t="s">
        <v>803</v>
      </c>
      <c r="B49" s="301"/>
      <c r="C49" s="290">
        <v>6624</v>
      </c>
      <c r="D49" s="291"/>
      <c r="E49" s="292"/>
      <c r="F49" s="303" t="s">
        <v>572</v>
      </c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198"/>
      <c r="AB49" s="199"/>
      <c r="AC49" s="199"/>
      <c r="AD49" s="199"/>
      <c r="AE49" s="200"/>
    </row>
    <row r="50" spans="1:31" ht="15.75" customHeight="1" thickBot="1" x14ac:dyDescent="0.35">
      <c r="A50" s="171" t="s">
        <v>151</v>
      </c>
      <c r="B50" s="172"/>
      <c r="C50" s="471"/>
      <c r="D50" s="472"/>
      <c r="E50" s="472"/>
      <c r="F50" s="182" t="s">
        <v>6</v>
      </c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400">
        <f>+AA12-AA45</f>
        <v>0</v>
      </c>
      <c r="AB50" s="401"/>
      <c r="AC50" s="401"/>
      <c r="AD50" s="401"/>
      <c r="AE50" s="402"/>
    </row>
    <row r="51" spans="1:31" ht="10.8" thickBot="1" x14ac:dyDescent="0.35">
      <c r="A51" s="44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6"/>
      <c r="AB51" s="46"/>
      <c r="AC51" s="46"/>
      <c r="AD51" s="46"/>
      <c r="AE51" s="46"/>
    </row>
    <row r="52" spans="1:31" x14ac:dyDescent="0.3">
      <c r="A52" s="214" t="s">
        <v>583</v>
      </c>
      <c r="B52" s="195"/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</row>
    <row r="53" spans="1:31" ht="10.8" thickBot="1" x14ac:dyDescent="0.35">
      <c r="A53" s="120" t="s">
        <v>34</v>
      </c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</row>
    <row r="54" spans="1:31" x14ac:dyDescent="0.2">
      <c r="A54" s="21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x14ac:dyDescent="0.2">
      <c r="A55" s="24"/>
      <c r="B55" s="25" t="s">
        <v>243</v>
      </c>
      <c r="C55" s="156"/>
      <c r="D55" s="156"/>
      <c r="E55" s="156"/>
      <c r="F55" s="156"/>
      <c r="G55" s="156"/>
      <c r="H55" s="156"/>
      <c r="I55" s="156"/>
      <c r="J55" s="157"/>
      <c r="K55" s="25"/>
      <c r="L55" s="25"/>
      <c r="M55" s="25"/>
      <c r="N55" s="25"/>
      <c r="O55" s="158" t="s">
        <v>125</v>
      </c>
      <c r="P55" s="158"/>
      <c r="Q55" s="158"/>
      <c r="R55" s="158"/>
      <c r="S55" s="158"/>
      <c r="T55" s="155"/>
      <c r="U55" s="156"/>
      <c r="V55" s="156"/>
      <c r="W55" s="156"/>
      <c r="X55" s="156"/>
      <c r="Y55" s="156"/>
      <c r="Z55" s="156"/>
      <c r="AA55" s="156"/>
      <c r="AB55" s="156"/>
      <c r="AC55" s="156"/>
      <c r="AD55" s="156"/>
      <c r="AE55" s="156"/>
    </row>
    <row r="56" spans="1:31" x14ac:dyDescent="0.2">
      <c r="A56" s="24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spans="1:31" x14ac:dyDescent="0.2">
      <c r="A57" s="24"/>
      <c r="B57" s="25"/>
      <c r="C57" s="25"/>
      <c r="D57" s="25"/>
      <c r="E57" s="25"/>
      <c r="F57" s="27" t="s">
        <v>128</v>
      </c>
      <c r="G57" s="27" t="s">
        <v>128</v>
      </c>
      <c r="H57" s="27" t="s">
        <v>128</v>
      </c>
      <c r="I57" s="27" t="s">
        <v>128</v>
      </c>
      <c r="J57" s="27" t="s">
        <v>127</v>
      </c>
      <c r="K57" s="27" t="s">
        <v>127</v>
      </c>
      <c r="L57" s="27" t="s">
        <v>126</v>
      </c>
      <c r="M57" s="27" t="s">
        <v>126</v>
      </c>
      <c r="N57" s="25"/>
      <c r="O57" s="25"/>
      <c r="P57" s="25"/>
      <c r="Q57" s="25"/>
      <c r="R57" s="27"/>
      <c r="S57" s="27"/>
      <c r="T57" s="27"/>
      <c r="U57" s="27"/>
      <c r="V57" s="27"/>
      <c r="W57" s="25"/>
      <c r="X57" s="27"/>
      <c r="Y57" s="25"/>
      <c r="Z57" s="25"/>
      <c r="AA57" s="27" t="s">
        <v>259</v>
      </c>
      <c r="AB57" s="27" t="s">
        <v>128</v>
      </c>
      <c r="AC57" s="27"/>
      <c r="AD57" s="25"/>
      <c r="AE57" s="25"/>
    </row>
    <row r="58" spans="1:31" x14ac:dyDescent="0.2">
      <c r="A58" s="24"/>
      <c r="B58" s="25"/>
      <c r="C58" s="25"/>
      <c r="D58" s="25"/>
      <c r="E58" s="25"/>
      <c r="F58" s="159" t="s">
        <v>129</v>
      </c>
      <c r="G58" s="159"/>
      <c r="H58" s="159"/>
      <c r="I58" s="159"/>
      <c r="J58" s="159"/>
      <c r="K58" s="159"/>
      <c r="L58" s="159"/>
      <c r="M58" s="159"/>
      <c r="N58" s="19"/>
      <c r="O58" s="25"/>
      <c r="P58" s="25"/>
      <c r="Q58" s="25"/>
      <c r="R58" s="25"/>
      <c r="S58" s="25"/>
      <c r="T58" s="33" t="s">
        <v>130</v>
      </c>
      <c r="U58" s="33"/>
      <c r="V58" s="25"/>
      <c r="W58" s="25"/>
      <c r="X58" s="25" t="s">
        <v>244</v>
      </c>
      <c r="Y58" s="25"/>
      <c r="Z58" s="25"/>
      <c r="AA58" s="25"/>
      <c r="AB58" s="19" t="s">
        <v>245</v>
      </c>
      <c r="AC58" s="25"/>
      <c r="AD58" s="25"/>
      <c r="AE58" s="25"/>
    </row>
    <row r="59" spans="1:31" ht="10.8" thickBot="1" x14ac:dyDescent="0.2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spans="1:31" ht="15.75" customHeight="1" x14ac:dyDescent="0.3">
      <c r="A60" s="122" t="s">
        <v>761</v>
      </c>
      <c r="B60" s="123"/>
      <c r="C60" s="143" t="s">
        <v>485</v>
      </c>
      <c r="D60" s="144"/>
      <c r="E60" s="145"/>
      <c r="F60" s="144" t="s">
        <v>235</v>
      </c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5"/>
      <c r="AA60" s="143" t="s">
        <v>0</v>
      </c>
      <c r="AB60" s="144"/>
      <c r="AC60" s="144"/>
      <c r="AD60" s="144"/>
      <c r="AE60" s="144"/>
    </row>
    <row r="61" spans="1:31" ht="15.75" customHeight="1" thickBot="1" x14ac:dyDescent="0.35">
      <c r="A61" s="125"/>
      <c r="B61" s="126"/>
      <c r="C61" s="146"/>
      <c r="D61" s="147"/>
      <c r="E61" s="148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8"/>
      <c r="AA61" s="149"/>
      <c r="AB61" s="150"/>
      <c r="AC61" s="150"/>
      <c r="AD61" s="150"/>
      <c r="AE61" s="150"/>
    </row>
    <row r="62" spans="1:31" ht="15.75" customHeight="1" thickBot="1" x14ac:dyDescent="0.35">
      <c r="A62" s="128"/>
      <c r="B62" s="129"/>
      <c r="C62" s="149"/>
      <c r="D62" s="150"/>
      <c r="E62" s="151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1"/>
      <c r="AA62" s="153">
        <v>3</v>
      </c>
      <c r="AB62" s="153"/>
      <c r="AC62" s="153"/>
      <c r="AD62" s="153"/>
      <c r="AE62" s="154"/>
    </row>
    <row r="63" spans="1:31" ht="15.75" customHeight="1" thickBot="1" x14ac:dyDescent="0.35">
      <c r="A63" s="434" t="s">
        <v>66</v>
      </c>
      <c r="B63" s="435"/>
      <c r="C63" s="152"/>
      <c r="D63" s="153"/>
      <c r="E63" s="154"/>
      <c r="F63" s="398" t="s">
        <v>632</v>
      </c>
      <c r="G63" s="398"/>
      <c r="H63" s="398"/>
      <c r="I63" s="398"/>
      <c r="J63" s="398"/>
      <c r="K63" s="398"/>
      <c r="L63" s="398"/>
      <c r="M63" s="398"/>
      <c r="N63" s="398"/>
      <c r="O63" s="398"/>
      <c r="P63" s="398"/>
      <c r="Q63" s="398"/>
      <c r="R63" s="398"/>
      <c r="S63" s="398"/>
      <c r="T63" s="398"/>
      <c r="U63" s="398"/>
      <c r="V63" s="398"/>
      <c r="W63" s="398"/>
      <c r="X63" s="398"/>
      <c r="Y63" s="398"/>
      <c r="Z63" s="399"/>
      <c r="AA63" s="415">
        <f>AA64+AA69</f>
        <v>0</v>
      </c>
      <c r="AB63" s="416"/>
      <c r="AC63" s="416"/>
      <c r="AD63" s="416"/>
      <c r="AE63" s="417"/>
    </row>
    <row r="64" spans="1:31" x14ac:dyDescent="0.3">
      <c r="A64" s="300" t="s">
        <v>67</v>
      </c>
      <c r="B64" s="301"/>
      <c r="C64" s="214">
        <v>73</v>
      </c>
      <c r="D64" s="195"/>
      <c r="E64" s="196"/>
      <c r="F64" s="473" t="s">
        <v>633</v>
      </c>
      <c r="G64" s="473"/>
      <c r="H64" s="473"/>
      <c r="I64" s="473"/>
      <c r="J64" s="473"/>
      <c r="K64" s="473"/>
      <c r="L64" s="473"/>
      <c r="M64" s="473"/>
      <c r="N64" s="473"/>
      <c r="O64" s="473"/>
      <c r="P64" s="473"/>
      <c r="Q64" s="473"/>
      <c r="R64" s="473"/>
      <c r="S64" s="473"/>
      <c r="T64" s="473"/>
      <c r="U64" s="473"/>
      <c r="V64" s="473"/>
      <c r="W64" s="473"/>
      <c r="X64" s="473"/>
      <c r="Y64" s="473"/>
      <c r="Z64" s="473"/>
      <c r="AA64" s="203">
        <f>+AA65+AA66+AA67+AA68</f>
        <v>0</v>
      </c>
      <c r="AB64" s="204"/>
      <c r="AC64" s="204"/>
      <c r="AD64" s="204"/>
      <c r="AE64" s="205"/>
    </row>
    <row r="65" spans="1:31" x14ac:dyDescent="0.3">
      <c r="A65" s="300" t="s">
        <v>68</v>
      </c>
      <c r="B65" s="301"/>
      <c r="C65" s="191">
        <v>731</v>
      </c>
      <c r="D65" s="192"/>
      <c r="E65" s="217"/>
      <c r="F65" s="386" t="s">
        <v>634</v>
      </c>
      <c r="G65" s="386"/>
      <c r="H65" s="386"/>
      <c r="I65" s="386"/>
      <c r="J65" s="386"/>
      <c r="K65" s="386"/>
      <c r="L65" s="386"/>
      <c r="M65" s="386"/>
      <c r="N65" s="386"/>
      <c r="O65" s="386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86"/>
      <c r="AA65" s="115"/>
      <c r="AB65" s="197"/>
      <c r="AC65" s="197"/>
      <c r="AD65" s="197"/>
      <c r="AE65" s="117"/>
    </row>
    <row r="66" spans="1:31" x14ac:dyDescent="0.3">
      <c r="A66" s="300" t="s">
        <v>69</v>
      </c>
      <c r="B66" s="301"/>
      <c r="C66" s="191">
        <v>732</v>
      </c>
      <c r="D66" s="192"/>
      <c r="E66" s="217"/>
      <c r="F66" s="386" t="s">
        <v>635</v>
      </c>
      <c r="G66" s="386"/>
      <c r="H66" s="386"/>
      <c r="I66" s="386"/>
      <c r="J66" s="386"/>
      <c r="K66" s="386"/>
      <c r="L66" s="386"/>
      <c r="M66" s="386"/>
      <c r="N66" s="386"/>
      <c r="O66" s="386"/>
      <c r="P66" s="386"/>
      <c r="Q66" s="386"/>
      <c r="R66" s="386"/>
      <c r="S66" s="386"/>
      <c r="T66" s="386"/>
      <c r="U66" s="386"/>
      <c r="V66" s="386"/>
      <c r="W66" s="386"/>
      <c r="X66" s="386"/>
      <c r="Y66" s="386"/>
      <c r="Z66" s="386"/>
      <c r="AA66" s="115"/>
      <c r="AB66" s="197"/>
      <c r="AC66" s="197"/>
      <c r="AD66" s="197"/>
      <c r="AE66" s="117"/>
    </row>
    <row r="67" spans="1:31" x14ac:dyDescent="0.3">
      <c r="A67" s="300" t="s">
        <v>70</v>
      </c>
      <c r="B67" s="301"/>
      <c r="C67" s="191">
        <v>733</v>
      </c>
      <c r="D67" s="192"/>
      <c r="E67" s="217"/>
      <c r="F67" s="386" t="s">
        <v>636</v>
      </c>
      <c r="G67" s="386"/>
      <c r="H67" s="386"/>
      <c r="I67" s="386"/>
      <c r="J67" s="386"/>
      <c r="K67" s="386"/>
      <c r="L67" s="386"/>
      <c r="M67" s="386"/>
      <c r="N67" s="386"/>
      <c r="O67" s="386"/>
      <c r="P67" s="386"/>
      <c r="Q67" s="386"/>
      <c r="R67" s="386"/>
      <c r="S67" s="386"/>
      <c r="T67" s="386"/>
      <c r="U67" s="386"/>
      <c r="V67" s="386"/>
      <c r="W67" s="386"/>
      <c r="X67" s="386"/>
      <c r="Y67" s="386"/>
      <c r="Z67" s="386"/>
      <c r="AA67" s="115"/>
      <c r="AB67" s="197"/>
      <c r="AC67" s="197"/>
      <c r="AD67" s="197"/>
      <c r="AE67" s="117"/>
    </row>
    <row r="68" spans="1:31" x14ac:dyDescent="0.3">
      <c r="A68" s="300" t="s">
        <v>71</v>
      </c>
      <c r="B68" s="301"/>
      <c r="C68" s="191">
        <v>734</v>
      </c>
      <c r="D68" s="192"/>
      <c r="E68" s="217"/>
      <c r="F68" s="386" t="s">
        <v>637</v>
      </c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86"/>
      <c r="X68" s="386"/>
      <c r="Y68" s="386"/>
      <c r="Z68" s="386"/>
      <c r="AA68" s="115"/>
      <c r="AB68" s="197"/>
      <c r="AC68" s="197"/>
      <c r="AD68" s="197"/>
      <c r="AE68" s="117"/>
    </row>
    <row r="69" spans="1:31" x14ac:dyDescent="0.3">
      <c r="A69" s="300" t="s">
        <v>72</v>
      </c>
      <c r="B69" s="301"/>
      <c r="C69" s="118">
        <v>76</v>
      </c>
      <c r="D69" s="119"/>
      <c r="E69" s="325"/>
      <c r="F69" s="219" t="s">
        <v>638</v>
      </c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1">
        <f>+AA70+AA71</f>
        <v>0</v>
      </c>
      <c r="AB69" s="212"/>
      <c r="AC69" s="212"/>
      <c r="AD69" s="212"/>
      <c r="AE69" s="213"/>
    </row>
    <row r="70" spans="1:31" x14ac:dyDescent="0.3">
      <c r="A70" s="300" t="s">
        <v>95</v>
      </c>
      <c r="B70" s="301"/>
      <c r="C70" s="191">
        <v>761</v>
      </c>
      <c r="D70" s="192"/>
      <c r="E70" s="217"/>
      <c r="F70" s="386" t="s">
        <v>639</v>
      </c>
      <c r="G70" s="386"/>
      <c r="H70" s="386"/>
      <c r="I70" s="386"/>
      <c r="J70" s="386"/>
      <c r="K70" s="386"/>
      <c r="L70" s="386"/>
      <c r="M70" s="386"/>
      <c r="N70" s="386"/>
      <c r="O70" s="386"/>
      <c r="P70" s="386"/>
      <c r="Q70" s="386"/>
      <c r="R70" s="386"/>
      <c r="S70" s="386"/>
      <c r="T70" s="386"/>
      <c r="U70" s="386"/>
      <c r="V70" s="386"/>
      <c r="W70" s="386"/>
      <c r="X70" s="386"/>
      <c r="Y70" s="386"/>
      <c r="Z70" s="386"/>
      <c r="AA70" s="115"/>
      <c r="AB70" s="197"/>
      <c r="AC70" s="197"/>
      <c r="AD70" s="197"/>
      <c r="AE70" s="117"/>
    </row>
    <row r="71" spans="1:31" x14ac:dyDescent="0.3">
      <c r="A71" s="300" t="s">
        <v>96</v>
      </c>
      <c r="B71" s="301"/>
      <c r="C71" s="118">
        <v>762</v>
      </c>
      <c r="D71" s="119"/>
      <c r="E71" s="325"/>
      <c r="F71" s="339" t="s">
        <v>640</v>
      </c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211">
        <f>+AA72+AA73</f>
        <v>0</v>
      </c>
      <c r="AB71" s="212">
        <v>0</v>
      </c>
      <c r="AC71" s="212">
        <v>0</v>
      </c>
      <c r="AD71" s="212">
        <v>0</v>
      </c>
      <c r="AE71" s="213">
        <v>0</v>
      </c>
    </row>
    <row r="72" spans="1:31" ht="11.25" customHeight="1" x14ac:dyDescent="0.3">
      <c r="A72" s="300" t="s">
        <v>804</v>
      </c>
      <c r="B72" s="301"/>
      <c r="C72" s="191">
        <v>7620</v>
      </c>
      <c r="D72" s="192"/>
      <c r="E72" s="217"/>
      <c r="F72" s="386" t="s">
        <v>641</v>
      </c>
      <c r="G72" s="386"/>
      <c r="H72" s="386"/>
      <c r="I72" s="386"/>
      <c r="J72" s="386"/>
      <c r="K72" s="386"/>
      <c r="L72" s="386"/>
      <c r="M72" s="386"/>
      <c r="N72" s="386"/>
      <c r="O72" s="386"/>
      <c r="P72" s="386"/>
      <c r="Q72" s="386"/>
      <c r="R72" s="386"/>
      <c r="S72" s="386"/>
      <c r="T72" s="386"/>
      <c r="U72" s="386"/>
      <c r="V72" s="386"/>
      <c r="W72" s="386"/>
      <c r="X72" s="386"/>
      <c r="Y72" s="386"/>
      <c r="Z72" s="386"/>
      <c r="AA72" s="115"/>
      <c r="AB72" s="197"/>
      <c r="AC72" s="197"/>
      <c r="AD72" s="197"/>
      <c r="AE72" s="117"/>
    </row>
    <row r="73" spans="1:31" ht="11.25" customHeight="1" thickBot="1" x14ac:dyDescent="0.35">
      <c r="A73" s="300" t="s">
        <v>805</v>
      </c>
      <c r="B73" s="301"/>
      <c r="C73" s="191">
        <v>7622</v>
      </c>
      <c r="D73" s="192"/>
      <c r="E73" s="217"/>
      <c r="F73" s="386" t="s">
        <v>642</v>
      </c>
      <c r="G73" s="386"/>
      <c r="H73" s="386"/>
      <c r="I73" s="386"/>
      <c r="J73" s="386"/>
      <c r="K73" s="386"/>
      <c r="L73" s="386"/>
      <c r="M73" s="386"/>
      <c r="N73" s="386"/>
      <c r="O73" s="386"/>
      <c r="P73" s="386"/>
      <c r="Q73" s="386"/>
      <c r="R73" s="386"/>
      <c r="S73" s="386"/>
      <c r="T73" s="386"/>
      <c r="U73" s="386"/>
      <c r="V73" s="386"/>
      <c r="W73" s="386"/>
      <c r="X73" s="386"/>
      <c r="Y73" s="386"/>
      <c r="Z73" s="386"/>
      <c r="AA73" s="198"/>
      <c r="AB73" s="199"/>
      <c r="AC73" s="199"/>
      <c r="AD73" s="199"/>
      <c r="AE73" s="200"/>
    </row>
    <row r="74" spans="1:31" ht="15.75" customHeight="1" thickBot="1" x14ac:dyDescent="0.35">
      <c r="A74" s="434" t="s">
        <v>73</v>
      </c>
      <c r="B74" s="435"/>
      <c r="C74" s="152"/>
      <c r="D74" s="153"/>
      <c r="E74" s="154"/>
      <c r="F74" s="398" t="s">
        <v>643</v>
      </c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9"/>
      <c r="AA74" s="475">
        <f>AA75+AA81+AA88+AA98+AA92+AA95</f>
        <v>0</v>
      </c>
      <c r="AB74" s="476"/>
      <c r="AC74" s="476"/>
      <c r="AD74" s="476"/>
      <c r="AE74" s="477"/>
    </row>
    <row r="75" spans="1:31" ht="11.25" customHeight="1" x14ac:dyDescent="0.3">
      <c r="A75" s="300" t="s">
        <v>74</v>
      </c>
      <c r="B75" s="301"/>
      <c r="C75" s="118">
        <v>61</v>
      </c>
      <c r="D75" s="119"/>
      <c r="E75" s="325"/>
      <c r="F75" s="219" t="s">
        <v>644</v>
      </c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1">
        <f>AA76+AA77+AA78+AA79+AA80</f>
        <v>0</v>
      </c>
      <c r="AB75" s="474"/>
      <c r="AC75" s="474"/>
      <c r="AD75" s="474"/>
      <c r="AE75" s="213"/>
    </row>
    <row r="76" spans="1:31" x14ac:dyDescent="0.3">
      <c r="A76" s="300" t="s">
        <v>75</v>
      </c>
      <c r="B76" s="301"/>
      <c r="C76" s="191">
        <v>611</v>
      </c>
      <c r="D76" s="192"/>
      <c r="E76" s="217"/>
      <c r="F76" s="330" t="s">
        <v>645</v>
      </c>
      <c r="G76" s="330"/>
      <c r="H76" s="330"/>
      <c r="I76" s="330"/>
      <c r="J76" s="330"/>
      <c r="K76" s="330"/>
      <c r="L76" s="330"/>
      <c r="M76" s="330"/>
      <c r="N76" s="330"/>
      <c r="O76" s="330"/>
      <c r="P76" s="330"/>
      <c r="Q76" s="330"/>
      <c r="R76" s="330"/>
      <c r="S76" s="330"/>
      <c r="T76" s="330"/>
      <c r="U76" s="330"/>
      <c r="V76" s="330"/>
      <c r="W76" s="330"/>
      <c r="X76" s="330"/>
      <c r="Y76" s="330"/>
      <c r="Z76" s="330"/>
      <c r="AA76" s="115"/>
      <c r="AB76" s="116"/>
      <c r="AC76" s="116"/>
      <c r="AD76" s="116"/>
      <c r="AE76" s="117"/>
    </row>
    <row r="77" spans="1:31" x14ac:dyDescent="0.3">
      <c r="A77" s="300" t="s">
        <v>76</v>
      </c>
      <c r="B77" s="301"/>
      <c r="C77" s="191">
        <v>612</v>
      </c>
      <c r="D77" s="192"/>
      <c r="E77" s="217"/>
      <c r="F77" s="303" t="s">
        <v>646</v>
      </c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  <c r="X77" s="303"/>
      <c r="Y77" s="303"/>
      <c r="Z77" s="303"/>
      <c r="AA77" s="115"/>
      <c r="AB77" s="116"/>
      <c r="AC77" s="116"/>
      <c r="AD77" s="116"/>
      <c r="AE77" s="117"/>
    </row>
    <row r="78" spans="1:31" x14ac:dyDescent="0.3">
      <c r="A78" s="300" t="s">
        <v>77</v>
      </c>
      <c r="B78" s="301"/>
      <c r="C78" s="191">
        <v>613</v>
      </c>
      <c r="D78" s="192"/>
      <c r="E78" s="217"/>
      <c r="F78" s="303" t="s">
        <v>647</v>
      </c>
      <c r="G78" s="303"/>
      <c r="H78" s="303"/>
      <c r="I78" s="303"/>
      <c r="J78" s="303"/>
      <c r="K78" s="303"/>
      <c r="L78" s="303"/>
      <c r="M78" s="303"/>
      <c r="N78" s="303"/>
      <c r="O78" s="303"/>
      <c r="P78" s="303"/>
      <c r="Q78" s="303"/>
      <c r="R78" s="303"/>
      <c r="S78" s="303"/>
      <c r="T78" s="303"/>
      <c r="U78" s="303"/>
      <c r="V78" s="303"/>
      <c r="W78" s="303"/>
      <c r="X78" s="303"/>
      <c r="Y78" s="303"/>
      <c r="Z78" s="303"/>
      <c r="AA78" s="115"/>
      <c r="AB78" s="116"/>
      <c r="AC78" s="116"/>
      <c r="AD78" s="116"/>
      <c r="AE78" s="117"/>
    </row>
    <row r="79" spans="1:31" x14ac:dyDescent="0.3">
      <c r="A79" s="300" t="s">
        <v>78</v>
      </c>
      <c r="B79" s="301"/>
      <c r="C79" s="191">
        <v>614</v>
      </c>
      <c r="D79" s="192"/>
      <c r="E79" s="217"/>
      <c r="F79" s="303" t="s">
        <v>648</v>
      </c>
      <c r="G79" s="303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3"/>
      <c r="Y79" s="303"/>
      <c r="Z79" s="303"/>
      <c r="AA79" s="115"/>
      <c r="AB79" s="116"/>
      <c r="AC79" s="116"/>
      <c r="AD79" s="116"/>
      <c r="AE79" s="117"/>
    </row>
    <row r="80" spans="1:31" x14ac:dyDescent="0.3">
      <c r="A80" s="300" t="s">
        <v>79</v>
      </c>
      <c r="B80" s="301"/>
      <c r="C80" s="191">
        <v>615</v>
      </c>
      <c r="D80" s="192"/>
      <c r="E80" s="217"/>
      <c r="F80" s="303" t="s">
        <v>649</v>
      </c>
      <c r="G80" s="303"/>
      <c r="H80" s="303"/>
      <c r="I80" s="303"/>
      <c r="J80" s="303"/>
      <c r="K80" s="303"/>
      <c r="L80" s="303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  <c r="X80" s="303"/>
      <c r="Y80" s="303"/>
      <c r="Z80" s="303"/>
      <c r="AA80" s="115"/>
      <c r="AB80" s="116"/>
      <c r="AC80" s="116"/>
      <c r="AD80" s="116"/>
      <c r="AE80" s="117"/>
    </row>
    <row r="81" spans="1:31" x14ac:dyDescent="0.3">
      <c r="A81" s="300" t="s">
        <v>80</v>
      </c>
      <c r="B81" s="301"/>
      <c r="C81" s="118">
        <v>62</v>
      </c>
      <c r="D81" s="119"/>
      <c r="E81" s="325"/>
      <c r="F81" s="219" t="s">
        <v>650</v>
      </c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  <c r="AA81" s="211">
        <f>AA82+AA83+AA84+AA85+AA86+AA87</f>
        <v>0</v>
      </c>
      <c r="AB81" s="474"/>
      <c r="AC81" s="474"/>
      <c r="AD81" s="474"/>
      <c r="AE81" s="213"/>
    </row>
    <row r="82" spans="1:31" x14ac:dyDescent="0.3">
      <c r="A82" s="300" t="s">
        <v>81</v>
      </c>
      <c r="B82" s="301"/>
      <c r="C82" s="191">
        <v>621</v>
      </c>
      <c r="D82" s="192"/>
      <c r="E82" s="217"/>
      <c r="F82" s="303" t="s">
        <v>651</v>
      </c>
      <c r="G82" s="303"/>
      <c r="H82" s="303"/>
      <c r="I82" s="303"/>
      <c r="J82" s="303"/>
      <c r="K82" s="303"/>
      <c r="L82" s="303"/>
      <c r="M82" s="303"/>
      <c r="N82" s="303"/>
      <c r="O82" s="303"/>
      <c r="P82" s="303"/>
      <c r="Q82" s="303"/>
      <c r="R82" s="303"/>
      <c r="S82" s="303"/>
      <c r="T82" s="303"/>
      <c r="U82" s="303"/>
      <c r="V82" s="303"/>
      <c r="W82" s="303"/>
      <c r="X82" s="303"/>
      <c r="Y82" s="303"/>
      <c r="Z82" s="303"/>
      <c r="AA82" s="115"/>
      <c r="AB82" s="116"/>
      <c r="AC82" s="116"/>
      <c r="AD82" s="116"/>
      <c r="AE82" s="117"/>
    </row>
    <row r="83" spans="1:31" x14ac:dyDescent="0.3">
      <c r="A83" s="300" t="s">
        <v>82</v>
      </c>
      <c r="B83" s="301"/>
      <c r="C83" s="191">
        <v>622</v>
      </c>
      <c r="D83" s="192"/>
      <c r="E83" s="217"/>
      <c r="F83" s="303" t="s">
        <v>652</v>
      </c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  <c r="V83" s="303"/>
      <c r="W83" s="303"/>
      <c r="X83" s="303"/>
      <c r="Y83" s="303"/>
      <c r="Z83" s="303"/>
      <c r="AA83" s="115"/>
      <c r="AB83" s="116"/>
      <c r="AC83" s="116"/>
      <c r="AD83" s="116"/>
      <c r="AE83" s="117"/>
    </row>
    <row r="84" spans="1:31" x14ac:dyDescent="0.3">
      <c r="A84" s="300" t="s">
        <v>83</v>
      </c>
      <c r="B84" s="301"/>
      <c r="C84" s="191">
        <v>623</v>
      </c>
      <c r="D84" s="192"/>
      <c r="E84" s="217"/>
      <c r="F84" s="303" t="s">
        <v>653</v>
      </c>
      <c r="G84" s="303"/>
      <c r="H84" s="303"/>
      <c r="I84" s="303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  <c r="V84" s="303"/>
      <c r="W84" s="303"/>
      <c r="X84" s="303"/>
      <c r="Y84" s="303"/>
      <c r="Z84" s="303"/>
      <c r="AA84" s="115"/>
      <c r="AB84" s="116"/>
      <c r="AC84" s="116"/>
      <c r="AD84" s="116"/>
      <c r="AE84" s="117"/>
    </row>
    <row r="85" spans="1:31" x14ac:dyDescent="0.3">
      <c r="A85" s="300" t="s">
        <v>84</v>
      </c>
      <c r="B85" s="301"/>
      <c r="C85" s="191">
        <v>624</v>
      </c>
      <c r="D85" s="192"/>
      <c r="E85" s="217"/>
      <c r="F85" s="303" t="s">
        <v>654</v>
      </c>
      <c r="G85" s="303"/>
      <c r="H85" s="303"/>
      <c r="I85" s="303"/>
      <c r="J85" s="303"/>
      <c r="K85" s="303"/>
      <c r="L85" s="303"/>
      <c r="M85" s="303"/>
      <c r="N85" s="303"/>
      <c r="O85" s="303"/>
      <c r="P85" s="303"/>
      <c r="Q85" s="303"/>
      <c r="R85" s="303"/>
      <c r="S85" s="303"/>
      <c r="T85" s="303"/>
      <c r="U85" s="303"/>
      <c r="V85" s="303"/>
      <c r="W85" s="303"/>
      <c r="X85" s="303"/>
      <c r="Y85" s="303"/>
      <c r="Z85" s="303"/>
      <c r="AA85" s="115"/>
      <c r="AB85" s="116"/>
      <c r="AC85" s="116"/>
      <c r="AD85" s="116"/>
      <c r="AE85" s="117"/>
    </row>
    <row r="86" spans="1:31" x14ac:dyDescent="0.3">
      <c r="A86" s="300" t="s">
        <v>85</v>
      </c>
      <c r="B86" s="301"/>
      <c r="C86" s="191">
        <v>625</v>
      </c>
      <c r="D86" s="192"/>
      <c r="E86" s="217"/>
      <c r="F86" s="303" t="s">
        <v>655</v>
      </c>
      <c r="G86" s="303"/>
      <c r="H86" s="303"/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  <c r="X86" s="303"/>
      <c r="Y86" s="303"/>
      <c r="Z86" s="303"/>
      <c r="AA86" s="115"/>
      <c r="AB86" s="116"/>
      <c r="AC86" s="116"/>
      <c r="AD86" s="116"/>
      <c r="AE86" s="117"/>
    </row>
    <row r="87" spans="1:31" x14ac:dyDescent="0.3">
      <c r="A87" s="300" t="s">
        <v>86</v>
      </c>
      <c r="B87" s="301"/>
      <c r="C87" s="191">
        <v>626</v>
      </c>
      <c r="D87" s="192"/>
      <c r="E87" s="217"/>
      <c r="F87" s="342" t="s">
        <v>656</v>
      </c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115"/>
      <c r="AB87" s="116"/>
      <c r="AC87" s="116"/>
      <c r="AD87" s="116"/>
      <c r="AE87" s="117"/>
    </row>
    <row r="88" spans="1:31" x14ac:dyDescent="0.3">
      <c r="A88" s="300" t="s">
        <v>87</v>
      </c>
      <c r="B88" s="301"/>
      <c r="C88" s="118">
        <v>63</v>
      </c>
      <c r="D88" s="119"/>
      <c r="E88" s="325"/>
      <c r="F88" s="219" t="s">
        <v>657</v>
      </c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1">
        <f>AA89+AA90+AA91</f>
        <v>0</v>
      </c>
      <c r="AB88" s="474"/>
      <c r="AC88" s="474"/>
      <c r="AD88" s="474"/>
      <c r="AE88" s="213"/>
    </row>
    <row r="89" spans="1:31" x14ac:dyDescent="0.3">
      <c r="A89" s="300" t="s">
        <v>88</v>
      </c>
      <c r="B89" s="301"/>
      <c r="C89" s="191">
        <v>631</v>
      </c>
      <c r="D89" s="192"/>
      <c r="E89" s="217"/>
      <c r="F89" s="303" t="s">
        <v>658</v>
      </c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303"/>
      <c r="W89" s="303"/>
      <c r="X89" s="303"/>
      <c r="Y89" s="303"/>
      <c r="Z89" s="303"/>
      <c r="AA89" s="115"/>
      <c r="AB89" s="116"/>
      <c r="AC89" s="116"/>
      <c r="AD89" s="116"/>
      <c r="AE89" s="117"/>
    </row>
    <row r="90" spans="1:31" x14ac:dyDescent="0.3">
      <c r="A90" s="300" t="s">
        <v>89</v>
      </c>
      <c r="B90" s="301"/>
      <c r="C90" s="191">
        <v>632</v>
      </c>
      <c r="D90" s="192"/>
      <c r="E90" s="217"/>
      <c r="F90" s="303" t="s">
        <v>659</v>
      </c>
      <c r="G90" s="303"/>
      <c r="H90" s="303"/>
      <c r="I90" s="303"/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303"/>
      <c r="Y90" s="303"/>
      <c r="Z90" s="303"/>
      <c r="AA90" s="115"/>
      <c r="AB90" s="116"/>
      <c r="AC90" s="116"/>
      <c r="AD90" s="116"/>
      <c r="AE90" s="117"/>
    </row>
    <row r="91" spans="1:31" x14ac:dyDescent="0.3">
      <c r="A91" s="300" t="s">
        <v>91</v>
      </c>
      <c r="B91" s="301"/>
      <c r="C91" s="191">
        <v>633</v>
      </c>
      <c r="D91" s="192"/>
      <c r="E91" s="217"/>
      <c r="F91" s="303" t="s">
        <v>660</v>
      </c>
      <c r="G91" s="303"/>
      <c r="H91" s="303"/>
      <c r="I91" s="303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  <c r="V91" s="303"/>
      <c r="W91" s="303"/>
      <c r="X91" s="303"/>
      <c r="Y91" s="303"/>
      <c r="Z91" s="303"/>
      <c r="AA91" s="115"/>
      <c r="AB91" s="116"/>
      <c r="AC91" s="116"/>
      <c r="AD91" s="116"/>
      <c r="AE91" s="117"/>
    </row>
    <row r="92" spans="1:31" x14ac:dyDescent="0.3">
      <c r="A92" s="300" t="s">
        <v>92</v>
      </c>
      <c r="B92" s="301"/>
      <c r="C92" s="118">
        <v>64</v>
      </c>
      <c r="D92" s="119"/>
      <c r="E92" s="325"/>
      <c r="F92" s="219" t="s">
        <v>661</v>
      </c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1">
        <f>AA93+AA94</f>
        <v>0</v>
      </c>
      <c r="AB92" s="212"/>
      <c r="AC92" s="212"/>
      <c r="AD92" s="212"/>
      <c r="AE92" s="213"/>
    </row>
    <row r="93" spans="1:31" x14ac:dyDescent="0.3">
      <c r="A93" s="300" t="s">
        <v>806</v>
      </c>
      <c r="B93" s="301"/>
      <c r="C93" s="191">
        <v>641</v>
      </c>
      <c r="D93" s="192"/>
      <c r="E93" s="217"/>
      <c r="F93" s="303" t="s">
        <v>663</v>
      </c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303"/>
      <c r="W93" s="303"/>
      <c r="X93" s="303"/>
      <c r="Y93" s="303"/>
      <c r="Z93" s="303"/>
      <c r="AA93" s="115"/>
      <c r="AB93" s="197"/>
      <c r="AC93" s="197"/>
      <c r="AD93" s="197"/>
      <c r="AE93" s="117"/>
    </row>
    <row r="94" spans="1:31" x14ac:dyDescent="0.3">
      <c r="A94" s="300" t="s">
        <v>807</v>
      </c>
      <c r="B94" s="301"/>
      <c r="C94" s="191">
        <v>642</v>
      </c>
      <c r="D94" s="192"/>
      <c r="E94" s="217"/>
      <c r="F94" s="303" t="s">
        <v>664</v>
      </c>
      <c r="G94" s="303"/>
      <c r="H94" s="303"/>
      <c r="I94" s="303"/>
      <c r="J94" s="303"/>
      <c r="K94" s="303"/>
      <c r="L94" s="303"/>
      <c r="M94" s="303"/>
      <c r="N94" s="303"/>
      <c r="O94" s="303"/>
      <c r="P94" s="303"/>
      <c r="Q94" s="303"/>
      <c r="R94" s="303"/>
      <c r="S94" s="303"/>
      <c r="T94" s="303"/>
      <c r="U94" s="303"/>
      <c r="V94" s="303"/>
      <c r="W94" s="303"/>
      <c r="X94" s="303"/>
      <c r="Y94" s="303"/>
      <c r="Z94" s="303"/>
      <c r="AA94" s="115"/>
      <c r="AB94" s="197"/>
      <c r="AC94" s="197"/>
      <c r="AD94" s="197"/>
      <c r="AE94" s="117"/>
    </row>
    <row r="95" spans="1:31" x14ac:dyDescent="0.3">
      <c r="A95" s="300" t="s">
        <v>808</v>
      </c>
      <c r="B95" s="301"/>
      <c r="C95" s="12"/>
      <c r="D95" s="47">
        <v>65</v>
      </c>
      <c r="E95" s="14"/>
      <c r="F95" s="219" t="s">
        <v>662</v>
      </c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1">
        <f>AA96+AA97</f>
        <v>0</v>
      </c>
      <c r="AB95" s="212"/>
      <c r="AC95" s="212"/>
      <c r="AD95" s="212"/>
      <c r="AE95" s="213"/>
    </row>
    <row r="96" spans="1:31" x14ac:dyDescent="0.3">
      <c r="A96" s="300" t="s">
        <v>809</v>
      </c>
      <c r="B96" s="301"/>
      <c r="C96" s="12"/>
      <c r="D96" s="13">
        <v>651</v>
      </c>
      <c r="E96" s="14"/>
      <c r="F96" s="303" t="s">
        <v>665</v>
      </c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  <c r="V96" s="303"/>
      <c r="W96" s="303"/>
      <c r="X96" s="303"/>
      <c r="Y96" s="303"/>
      <c r="Z96" s="303"/>
      <c r="AA96" s="115"/>
      <c r="AB96" s="197"/>
      <c r="AC96" s="197"/>
      <c r="AD96" s="197"/>
      <c r="AE96" s="117"/>
    </row>
    <row r="97" spans="1:31" x14ac:dyDescent="0.3">
      <c r="A97" s="300" t="s">
        <v>810</v>
      </c>
      <c r="B97" s="301"/>
      <c r="C97" s="12"/>
      <c r="D97" s="13">
        <v>652</v>
      </c>
      <c r="E97" s="14"/>
      <c r="F97" s="303" t="s">
        <v>666</v>
      </c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303"/>
      <c r="AA97" s="115"/>
      <c r="AB97" s="197"/>
      <c r="AC97" s="197"/>
      <c r="AD97" s="197"/>
      <c r="AE97" s="117"/>
    </row>
    <row r="98" spans="1:31" x14ac:dyDescent="0.3">
      <c r="A98" s="300" t="s">
        <v>93</v>
      </c>
      <c r="B98" s="301"/>
      <c r="C98" s="118">
        <v>66</v>
      </c>
      <c r="D98" s="119"/>
      <c r="E98" s="325"/>
      <c r="F98" s="219" t="s">
        <v>667</v>
      </c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1">
        <f>+AA100+AA99</f>
        <v>0</v>
      </c>
      <c r="AB98" s="474"/>
      <c r="AC98" s="474"/>
      <c r="AD98" s="474"/>
      <c r="AE98" s="213"/>
    </row>
    <row r="99" spans="1:31" x14ac:dyDescent="0.3">
      <c r="A99" s="300" t="s">
        <v>94</v>
      </c>
      <c r="B99" s="301"/>
      <c r="C99" s="118">
        <v>661</v>
      </c>
      <c r="D99" s="119"/>
      <c r="E99" s="325"/>
      <c r="F99" s="386" t="s">
        <v>668</v>
      </c>
      <c r="G99" s="386"/>
      <c r="H99" s="386"/>
      <c r="I99" s="386"/>
      <c r="J99" s="386"/>
      <c r="K99" s="386"/>
      <c r="L99" s="386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86"/>
      <c r="Y99" s="386"/>
      <c r="Z99" s="386"/>
      <c r="AA99" s="115"/>
      <c r="AB99" s="116"/>
      <c r="AC99" s="116"/>
      <c r="AD99" s="116"/>
      <c r="AE99" s="117"/>
    </row>
    <row r="100" spans="1:31" x14ac:dyDescent="0.3">
      <c r="A100" s="300" t="s">
        <v>94</v>
      </c>
      <c r="B100" s="301"/>
      <c r="C100" s="118">
        <v>662</v>
      </c>
      <c r="D100" s="119"/>
      <c r="E100" s="325"/>
      <c r="F100" s="339" t="s">
        <v>669</v>
      </c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223">
        <f>AA101+AA102</f>
        <v>0</v>
      </c>
      <c r="AB100" s="479"/>
      <c r="AC100" s="479"/>
      <c r="AD100" s="479"/>
      <c r="AE100" s="225"/>
    </row>
    <row r="101" spans="1:31" x14ac:dyDescent="0.3">
      <c r="A101" s="300" t="s">
        <v>94</v>
      </c>
      <c r="B101" s="301"/>
      <c r="C101" s="191">
        <v>6620</v>
      </c>
      <c r="D101" s="192"/>
      <c r="E101" s="217"/>
      <c r="F101" s="386" t="s">
        <v>670</v>
      </c>
      <c r="G101" s="386"/>
      <c r="H101" s="386"/>
      <c r="I101" s="386"/>
      <c r="J101" s="386"/>
      <c r="K101" s="386"/>
      <c r="L101" s="386"/>
      <c r="M101" s="386"/>
      <c r="N101" s="386"/>
      <c r="O101" s="386"/>
      <c r="P101" s="386"/>
      <c r="Q101" s="386"/>
      <c r="R101" s="386"/>
      <c r="S101" s="386"/>
      <c r="T101" s="386"/>
      <c r="U101" s="386"/>
      <c r="V101" s="386"/>
      <c r="W101" s="386"/>
      <c r="X101" s="386"/>
      <c r="Y101" s="386"/>
      <c r="Z101" s="386"/>
      <c r="AA101" s="115"/>
      <c r="AB101" s="197"/>
      <c r="AC101" s="197"/>
      <c r="AD101" s="197"/>
      <c r="AE101" s="117"/>
    </row>
    <row r="102" spans="1:31" ht="10.8" thickBot="1" x14ac:dyDescent="0.35">
      <c r="A102" s="300" t="s">
        <v>94</v>
      </c>
      <c r="B102" s="301"/>
      <c r="C102" s="191">
        <v>6625</v>
      </c>
      <c r="D102" s="192"/>
      <c r="E102" s="217"/>
      <c r="F102" s="386" t="s">
        <v>671</v>
      </c>
      <c r="G102" s="386"/>
      <c r="H102" s="386"/>
      <c r="I102" s="386"/>
      <c r="J102" s="386"/>
      <c r="K102" s="386"/>
      <c r="L102" s="386"/>
      <c r="M102" s="386"/>
      <c r="N102" s="386"/>
      <c r="O102" s="386"/>
      <c r="P102" s="386"/>
      <c r="Q102" s="386"/>
      <c r="R102" s="386"/>
      <c r="S102" s="386"/>
      <c r="T102" s="386"/>
      <c r="U102" s="386"/>
      <c r="V102" s="386"/>
      <c r="W102" s="386"/>
      <c r="X102" s="386"/>
      <c r="Y102" s="386"/>
      <c r="Z102" s="386"/>
      <c r="AA102" s="198"/>
      <c r="AB102" s="199"/>
      <c r="AC102" s="199"/>
      <c r="AD102" s="199"/>
      <c r="AE102" s="200"/>
    </row>
    <row r="103" spans="1:31" ht="15.75" customHeight="1" thickBot="1" x14ac:dyDescent="0.35">
      <c r="A103" s="434" t="s">
        <v>411</v>
      </c>
      <c r="B103" s="435"/>
      <c r="C103" s="152"/>
      <c r="D103" s="153"/>
      <c r="E103" s="154"/>
      <c r="F103" s="397" t="s">
        <v>282</v>
      </c>
      <c r="G103" s="398"/>
      <c r="H103" s="398"/>
      <c r="I103" s="398"/>
      <c r="J103" s="398"/>
      <c r="K103" s="398"/>
      <c r="L103" s="398"/>
      <c r="M103" s="398"/>
      <c r="N103" s="398"/>
      <c r="O103" s="398"/>
      <c r="P103" s="398"/>
      <c r="Q103" s="398"/>
      <c r="R103" s="398"/>
      <c r="S103" s="398"/>
      <c r="T103" s="398"/>
      <c r="U103" s="398"/>
      <c r="V103" s="398"/>
      <c r="W103" s="398"/>
      <c r="X103" s="398"/>
      <c r="Y103" s="398"/>
      <c r="Z103" s="399"/>
      <c r="AA103" s="415">
        <f>AA50+AA63-AA74</f>
        <v>0</v>
      </c>
      <c r="AB103" s="416"/>
      <c r="AC103" s="416"/>
      <c r="AD103" s="416"/>
      <c r="AE103" s="417"/>
    </row>
    <row r="104" spans="1:31" ht="10.8" thickBot="1" x14ac:dyDescent="0.35">
      <c r="A104" s="44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8"/>
      <c r="AB104" s="48"/>
      <c r="AC104" s="48"/>
      <c r="AD104" s="48"/>
      <c r="AE104" s="48"/>
    </row>
    <row r="105" spans="1:31" x14ac:dyDescent="0.3">
      <c r="A105" s="214" t="s">
        <v>583</v>
      </c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</row>
    <row r="106" spans="1:31" ht="10.8" thickBot="1" x14ac:dyDescent="0.35">
      <c r="A106" s="120" t="s">
        <v>34</v>
      </c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</row>
    <row r="107" spans="1:31" x14ac:dyDescent="0.2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x14ac:dyDescent="0.2">
      <c r="A108" s="24"/>
      <c r="B108" s="25" t="s">
        <v>243</v>
      </c>
      <c r="C108" s="156"/>
      <c r="D108" s="156"/>
      <c r="E108" s="156"/>
      <c r="F108" s="156"/>
      <c r="G108" s="156"/>
      <c r="H108" s="156"/>
      <c r="I108" s="156"/>
      <c r="J108" s="157"/>
      <c r="K108" s="25"/>
      <c r="L108" s="25"/>
      <c r="M108" s="25"/>
      <c r="N108" s="25"/>
      <c r="O108" s="158" t="s">
        <v>125</v>
      </c>
      <c r="P108" s="158"/>
      <c r="Q108" s="158"/>
      <c r="R108" s="158"/>
      <c r="S108" s="158"/>
      <c r="T108" s="155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</row>
    <row r="109" spans="1:31" x14ac:dyDescent="0.2">
      <c r="A109" s="24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 spans="1:31" x14ac:dyDescent="0.2">
      <c r="A110" s="24"/>
      <c r="B110" s="25"/>
      <c r="C110" s="25"/>
      <c r="D110" s="25"/>
      <c r="E110" s="25"/>
      <c r="F110" s="27" t="s">
        <v>128</v>
      </c>
      <c r="G110" s="27" t="s">
        <v>128</v>
      </c>
      <c r="H110" s="27" t="s">
        <v>128</v>
      </c>
      <c r="I110" s="27" t="s">
        <v>128</v>
      </c>
      <c r="J110" s="27" t="s">
        <v>127</v>
      </c>
      <c r="K110" s="27" t="s">
        <v>127</v>
      </c>
      <c r="L110" s="27" t="s">
        <v>126</v>
      </c>
      <c r="M110" s="27" t="s">
        <v>126</v>
      </c>
      <c r="N110" s="25"/>
      <c r="O110" s="25"/>
      <c r="P110" s="25"/>
      <c r="Q110" s="25"/>
      <c r="R110" s="27"/>
      <c r="S110" s="27"/>
      <c r="T110" s="27"/>
      <c r="U110" s="27"/>
      <c r="V110" s="27"/>
      <c r="W110" s="25"/>
      <c r="X110" s="27"/>
      <c r="Y110" s="25"/>
      <c r="Z110" s="25"/>
      <c r="AA110" s="27" t="s">
        <v>259</v>
      </c>
      <c r="AB110" s="27" t="s">
        <v>128</v>
      </c>
      <c r="AC110" s="27"/>
      <c r="AD110" s="25"/>
      <c r="AE110" s="25"/>
    </row>
    <row r="111" spans="1:31" x14ac:dyDescent="0.2">
      <c r="A111" s="24"/>
      <c r="B111" s="25"/>
      <c r="C111" s="25"/>
      <c r="D111" s="25"/>
      <c r="E111" s="25"/>
      <c r="F111" s="159" t="s">
        <v>129</v>
      </c>
      <c r="G111" s="159"/>
      <c r="H111" s="159"/>
      <c r="I111" s="159"/>
      <c r="J111" s="159"/>
      <c r="K111" s="159"/>
      <c r="L111" s="159"/>
      <c r="M111" s="159"/>
      <c r="N111" s="19"/>
      <c r="O111" s="25"/>
      <c r="P111" s="25"/>
      <c r="Q111" s="25"/>
      <c r="R111" s="25"/>
      <c r="S111" s="25"/>
      <c r="T111" s="33" t="s">
        <v>130</v>
      </c>
      <c r="U111" s="33"/>
      <c r="V111" s="25"/>
      <c r="W111" s="25"/>
      <c r="X111" s="25" t="s">
        <v>244</v>
      </c>
      <c r="Y111" s="25"/>
      <c r="Z111" s="25"/>
      <c r="AA111" s="25"/>
      <c r="AB111" s="19" t="s">
        <v>245</v>
      </c>
      <c r="AC111" s="25"/>
      <c r="AD111" s="25"/>
      <c r="AE111" s="25"/>
    </row>
    <row r="112" spans="1:31" ht="10.8" thickBot="1" x14ac:dyDescent="0.25">
      <c r="A112" s="28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 ht="15.75" customHeight="1" x14ac:dyDescent="0.3">
      <c r="A113" s="122" t="s">
        <v>761</v>
      </c>
      <c r="B113" s="123"/>
      <c r="C113" s="143" t="s">
        <v>485</v>
      </c>
      <c r="D113" s="144"/>
      <c r="E113" s="145"/>
      <c r="F113" s="144" t="s">
        <v>235</v>
      </c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5"/>
      <c r="AA113" s="143" t="s">
        <v>0</v>
      </c>
      <c r="AB113" s="144"/>
      <c r="AC113" s="144"/>
      <c r="AD113" s="144"/>
      <c r="AE113" s="144"/>
    </row>
    <row r="114" spans="1:31" ht="15.75" customHeight="1" thickBot="1" x14ac:dyDescent="0.35">
      <c r="A114" s="125"/>
      <c r="B114" s="126"/>
      <c r="C114" s="146"/>
      <c r="D114" s="147"/>
      <c r="E114" s="148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8"/>
      <c r="AA114" s="149"/>
      <c r="AB114" s="150"/>
      <c r="AC114" s="150"/>
      <c r="AD114" s="150"/>
      <c r="AE114" s="150"/>
    </row>
    <row r="115" spans="1:31" ht="15.75" customHeight="1" thickBot="1" x14ac:dyDescent="0.35">
      <c r="A115" s="128"/>
      <c r="B115" s="129"/>
      <c r="C115" s="149"/>
      <c r="D115" s="150"/>
      <c r="E115" s="151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1"/>
      <c r="AA115" s="153">
        <v>4</v>
      </c>
      <c r="AB115" s="153"/>
      <c r="AC115" s="153"/>
      <c r="AD115" s="153"/>
      <c r="AE115" s="154"/>
    </row>
    <row r="116" spans="1:31" ht="15.75" customHeight="1" thickBot="1" x14ac:dyDescent="0.35">
      <c r="A116" s="434" t="s">
        <v>150</v>
      </c>
      <c r="B116" s="435"/>
      <c r="C116" s="152"/>
      <c r="D116" s="153"/>
      <c r="E116" s="154"/>
      <c r="F116" s="398" t="s">
        <v>283</v>
      </c>
      <c r="G116" s="398"/>
      <c r="H116" s="398"/>
      <c r="I116" s="398"/>
      <c r="J116" s="398"/>
      <c r="K116" s="398"/>
      <c r="L116" s="398"/>
      <c r="M116" s="398"/>
      <c r="N116" s="398"/>
      <c r="O116" s="398"/>
      <c r="P116" s="398"/>
      <c r="Q116" s="398"/>
      <c r="R116" s="398"/>
      <c r="S116" s="398"/>
      <c r="T116" s="398"/>
      <c r="U116" s="398"/>
      <c r="V116" s="398"/>
      <c r="W116" s="398"/>
      <c r="X116" s="398"/>
      <c r="Y116" s="398"/>
      <c r="Z116" s="399"/>
      <c r="AA116" s="415">
        <f>AA124-AA120-AA117+AA121-AA118-AA119+AA122+AA123</f>
        <v>0</v>
      </c>
      <c r="AB116" s="416"/>
      <c r="AC116" s="416"/>
      <c r="AD116" s="416"/>
      <c r="AE116" s="417"/>
    </row>
    <row r="117" spans="1:31" x14ac:dyDescent="0.3">
      <c r="A117" s="300" t="s">
        <v>101</v>
      </c>
      <c r="B117" s="301"/>
      <c r="C117" s="270">
        <v>6621</v>
      </c>
      <c r="D117" s="230"/>
      <c r="E117" s="271"/>
      <c r="F117" s="303" t="s">
        <v>284</v>
      </c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3"/>
      <c r="Y117" s="303"/>
      <c r="Z117" s="303"/>
      <c r="AA117" s="115"/>
      <c r="AB117" s="116"/>
      <c r="AC117" s="116"/>
      <c r="AD117" s="116"/>
      <c r="AE117" s="117"/>
    </row>
    <row r="118" spans="1:31" x14ac:dyDescent="0.3">
      <c r="A118" s="300" t="s">
        <v>102</v>
      </c>
      <c r="B118" s="301"/>
      <c r="C118" s="191">
        <v>6622</v>
      </c>
      <c r="D118" s="192"/>
      <c r="E118" s="217"/>
      <c r="F118" s="303" t="s">
        <v>285</v>
      </c>
      <c r="G118" s="303"/>
      <c r="H118" s="303"/>
      <c r="I118" s="303"/>
      <c r="J118" s="303"/>
      <c r="K118" s="303"/>
      <c r="L118" s="303"/>
      <c r="M118" s="303"/>
      <c r="N118" s="303"/>
      <c r="O118" s="303"/>
      <c r="P118" s="303"/>
      <c r="Q118" s="303"/>
      <c r="R118" s="303"/>
      <c r="S118" s="303"/>
      <c r="T118" s="303"/>
      <c r="U118" s="303"/>
      <c r="V118" s="303"/>
      <c r="W118" s="303"/>
      <c r="X118" s="303"/>
      <c r="Y118" s="303"/>
      <c r="Z118" s="303"/>
      <c r="AA118" s="115"/>
      <c r="AB118" s="116"/>
      <c r="AC118" s="116"/>
      <c r="AD118" s="116"/>
      <c r="AE118" s="117"/>
    </row>
    <row r="119" spans="1:31" x14ac:dyDescent="0.3">
      <c r="A119" s="300" t="s">
        <v>103</v>
      </c>
      <c r="B119" s="301"/>
      <c r="C119" s="191">
        <v>6623</v>
      </c>
      <c r="D119" s="192"/>
      <c r="E119" s="217"/>
      <c r="F119" s="303" t="s">
        <v>468</v>
      </c>
      <c r="G119" s="303"/>
      <c r="H119" s="303"/>
      <c r="I119" s="303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  <c r="V119" s="303"/>
      <c r="W119" s="303"/>
      <c r="X119" s="303"/>
      <c r="Y119" s="303"/>
      <c r="Z119" s="303"/>
      <c r="AA119" s="115"/>
      <c r="AB119" s="116"/>
      <c r="AC119" s="116"/>
      <c r="AD119" s="116"/>
      <c r="AE119" s="117"/>
    </row>
    <row r="120" spans="1:31" x14ac:dyDescent="0.3">
      <c r="A120" s="300" t="s">
        <v>104</v>
      </c>
      <c r="B120" s="301"/>
      <c r="C120" s="191">
        <v>653</v>
      </c>
      <c r="D120" s="192"/>
      <c r="E120" s="217"/>
      <c r="F120" s="303" t="s">
        <v>286</v>
      </c>
      <c r="G120" s="303"/>
      <c r="H120" s="303"/>
      <c r="I120" s="303"/>
      <c r="J120" s="303"/>
      <c r="K120" s="303"/>
      <c r="L120" s="303"/>
      <c r="M120" s="303"/>
      <c r="N120" s="303"/>
      <c r="O120" s="303"/>
      <c r="P120" s="303"/>
      <c r="Q120" s="303"/>
      <c r="R120" s="303"/>
      <c r="S120" s="303"/>
      <c r="T120" s="303"/>
      <c r="U120" s="303"/>
      <c r="V120" s="303"/>
      <c r="W120" s="303"/>
      <c r="X120" s="303"/>
      <c r="Y120" s="303"/>
      <c r="Z120" s="303"/>
      <c r="AA120" s="115"/>
      <c r="AB120" s="116"/>
      <c r="AC120" s="116"/>
      <c r="AD120" s="116"/>
      <c r="AE120" s="117"/>
    </row>
    <row r="121" spans="1:31" x14ac:dyDescent="0.3">
      <c r="A121" s="300" t="s">
        <v>97</v>
      </c>
      <c r="B121" s="301"/>
      <c r="C121" s="191">
        <v>76210</v>
      </c>
      <c r="D121" s="192"/>
      <c r="E121" s="217"/>
      <c r="F121" s="478" t="s">
        <v>507</v>
      </c>
      <c r="G121" s="478"/>
      <c r="H121" s="478"/>
      <c r="I121" s="478"/>
      <c r="J121" s="478"/>
      <c r="K121" s="478"/>
      <c r="L121" s="478"/>
      <c r="M121" s="478"/>
      <c r="N121" s="478"/>
      <c r="O121" s="478"/>
      <c r="P121" s="478"/>
      <c r="Q121" s="478"/>
      <c r="R121" s="478"/>
      <c r="S121" s="478"/>
      <c r="T121" s="478"/>
      <c r="U121" s="478"/>
      <c r="V121" s="478"/>
      <c r="W121" s="478"/>
      <c r="X121" s="478"/>
      <c r="Y121" s="478"/>
      <c r="Z121" s="478"/>
      <c r="AA121" s="440"/>
      <c r="AB121" s="441"/>
      <c r="AC121" s="441"/>
      <c r="AD121" s="441"/>
      <c r="AE121" s="442"/>
    </row>
    <row r="122" spans="1:31" x14ac:dyDescent="0.3">
      <c r="A122" s="300" t="s">
        <v>98</v>
      </c>
      <c r="B122" s="301"/>
      <c r="C122" s="191">
        <v>76211</v>
      </c>
      <c r="D122" s="192"/>
      <c r="E122" s="217"/>
      <c r="F122" s="303" t="s">
        <v>508</v>
      </c>
      <c r="G122" s="303"/>
      <c r="H122" s="303"/>
      <c r="I122" s="303"/>
      <c r="J122" s="303"/>
      <c r="K122" s="303"/>
      <c r="L122" s="303"/>
      <c r="M122" s="303"/>
      <c r="N122" s="303"/>
      <c r="O122" s="303"/>
      <c r="P122" s="303"/>
      <c r="Q122" s="303"/>
      <c r="R122" s="303"/>
      <c r="S122" s="303"/>
      <c r="T122" s="303"/>
      <c r="U122" s="303"/>
      <c r="V122" s="303"/>
      <c r="W122" s="303"/>
      <c r="X122" s="303"/>
      <c r="Y122" s="303"/>
      <c r="Z122" s="303"/>
      <c r="AA122" s="115"/>
      <c r="AB122" s="116"/>
      <c r="AC122" s="116"/>
      <c r="AD122" s="116"/>
      <c r="AE122" s="117"/>
    </row>
    <row r="123" spans="1:31" x14ac:dyDescent="0.3">
      <c r="A123" s="300" t="s">
        <v>99</v>
      </c>
      <c r="B123" s="301"/>
      <c r="C123" s="191">
        <v>76212</v>
      </c>
      <c r="D123" s="192"/>
      <c r="E123" s="217"/>
      <c r="F123" s="303" t="s">
        <v>509</v>
      </c>
      <c r="G123" s="303"/>
      <c r="H123" s="303"/>
      <c r="I123" s="303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  <c r="V123" s="303"/>
      <c r="W123" s="303"/>
      <c r="X123" s="303"/>
      <c r="Y123" s="303"/>
      <c r="Z123" s="303"/>
      <c r="AA123" s="115"/>
      <c r="AB123" s="116"/>
      <c r="AC123" s="116"/>
      <c r="AD123" s="116"/>
      <c r="AE123" s="117"/>
    </row>
    <row r="124" spans="1:31" ht="10.8" thickBot="1" x14ac:dyDescent="0.35">
      <c r="A124" s="300" t="s">
        <v>100</v>
      </c>
      <c r="B124" s="301"/>
      <c r="C124" s="191">
        <v>76213</v>
      </c>
      <c r="D124" s="192"/>
      <c r="E124" s="217"/>
      <c r="F124" s="303" t="s">
        <v>506</v>
      </c>
      <c r="G124" s="303"/>
      <c r="H124" s="303"/>
      <c r="I124" s="303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  <c r="V124" s="303"/>
      <c r="W124" s="303"/>
      <c r="X124" s="303"/>
      <c r="Y124" s="303"/>
      <c r="Z124" s="303"/>
      <c r="AA124" s="115"/>
      <c r="AB124" s="116"/>
      <c r="AC124" s="116"/>
      <c r="AD124" s="116"/>
      <c r="AE124" s="117"/>
    </row>
    <row r="125" spans="1:31" ht="15.75" customHeight="1" thickBot="1" x14ac:dyDescent="0.35">
      <c r="A125" s="434" t="s">
        <v>412</v>
      </c>
      <c r="B125" s="435"/>
      <c r="C125" s="152"/>
      <c r="D125" s="153"/>
      <c r="E125" s="154"/>
      <c r="F125" s="397" t="s">
        <v>289</v>
      </c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  <c r="Z125" s="399"/>
      <c r="AA125" s="415">
        <f>AA103+AA116</f>
        <v>0</v>
      </c>
      <c r="AB125" s="416"/>
      <c r="AC125" s="416"/>
      <c r="AD125" s="416"/>
      <c r="AE125" s="417"/>
    </row>
    <row r="126" spans="1:31" ht="15.75" customHeight="1" thickBot="1" x14ac:dyDescent="0.35">
      <c r="A126" s="434" t="s">
        <v>107</v>
      </c>
      <c r="B126" s="435"/>
      <c r="C126" s="152"/>
      <c r="D126" s="153"/>
      <c r="E126" s="154"/>
      <c r="F126" s="398" t="s">
        <v>287</v>
      </c>
      <c r="G126" s="398"/>
      <c r="H126" s="398"/>
      <c r="I126" s="398"/>
      <c r="J126" s="398"/>
      <c r="K126" s="398"/>
      <c r="L126" s="398"/>
      <c r="M126" s="398"/>
      <c r="N126" s="398"/>
      <c r="O126" s="398"/>
      <c r="P126" s="398"/>
      <c r="Q126" s="398"/>
      <c r="R126" s="398"/>
      <c r="S126" s="398"/>
      <c r="T126" s="398"/>
      <c r="U126" s="398"/>
      <c r="V126" s="398"/>
      <c r="W126" s="398"/>
      <c r="X126" s="398"/>
      <c r="Y126" s="398"/>
      <c r="Z126" s="399"/>
      <c r="AA126" s="415">
        <f>AA127</f>
        <v>0</v>
      </c>
      <c r="AB126" s="416"/>
      <c r="AC126" s="416"/>
      <c r="AD126" s="416"/>
      <c r="AE126" s="417"/>
    </row>
    <row r="127" spans="1:31" ht="10.8" thickBot="1" x14ac:dyDescent="0.35">
      <c r="A127" s="300" t="s">
        <v>108</v>
      </c>
      <c r="B127" s="301"/>
      <c r="C127" s="270">
        <v>6023</v>
      </c>
      <c r="D127" s="230"/>
      <c r="E127" s="271"/>
      <c r="F127" s="303" t="s">
        <v>575</v>
      </c>
      <c r="G127" s="30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  <c r="X127" s="303"/>
      <c r="Y127" s="303"/>
      <c r="Z127" s="303"/>
      <c r="AA127" s="115">
        <v>0</v>
      </c>
      <c r="AB127" s="116"/>
      <c r="AC127" s="116"/>
      <c r="AD127" s="116"/>
      <c r="AE127" s="117"/>
    </row>
    <row r="128" spans="1:31" ht="15.75" customHeight="1" thickBot="1" x14ac:dyDescent="0.35">
      <c r="A128" s="434" t="s">
        <v>105</v>
      </c>
      <c r="B128" s="435"/>
      <c r="C128" s="152"/>
      <c r="D128" s="153"/>
      <c r="E128" s="154"/>
      <c r="F128" s="398" t="s">
        <v>288</v>
      </c>
      <c r="G128" s="398"/>
      <c r="H128" s="398"/>
      <c r="I128" s="398"/>
      <c r="J128" s="398"/>
      <c r="K128" s="398"/>
      <c r="L128" s="398"/>
      <c r="M128" s="398"/>
      <c r="N128" s="398"/>
      <c r="O128" s="398"/>
      <c r="P128" s="398"/>
      <c r="Q128" s="398"/>
      <c r="R128" s="398"/>
      <c r="S128" s="398"/>
      <c r="T128" s="398"/>
      <c r="U128" s="398"/>
      <c r="V128" s="398"/>
      <c r="W128" s="398"/>
      <c r="X128" s="398"/>
      <c r="Y128" s="398"/>
      <c r="Z128" s="399"/>
      <c r="AA128" s="415">
        <f>AA129</f>
        <v>0</v>
      </c>
      <c r="AB128" s="416"/>
      <c r="AC128" s="416"/>
      <c r="AD128" s="416"/>
      <c r="AE128" s="417"/>
    </row>
    <row r="129" spans="1:31" ht="10.8" thickBot="1" x14ac:dyDescent="0.35">
      <c r="A129" s="300" t="s">
        <v>106</v>
      </c>
      <c r="B129" s="301"/>
      <c r="C129" s="270">
        <v>7032</v>
      </c>
      <c r="D129" s="230"/>
      <c r="E129" s="271"/>
      <c r="F129" s="386" t="s">
        <v>574</v>
      </c>
      <c r="G129" s="386"/>
      <c r="H129" s="386"/>
      <c r="I129" s="386"/>
      <c r="J129" s="386"/>
      <c r="K129" s="386"/>
      <c r="L129" s="386"/>
      <c r="M129" s="386"/>
      <c r="N129" s="386"/>
      <c r="O129" s="386"/>
      <c r="P129" s="386"/>
      <c r="Q129" s="386"/>
      <c r="R129" s="386"/>
      <c r="S129" s="386"/>
      <c r="T129" s="386"/>
      <c r="U129" s="386"/>
      <c r="V129" s="386"/>
      <c r="W129" s="386"/>
      <c r="X129" s="386"/>
      <c r="Y129" s="386"/>
      <c r="Z129" s="386"/>
      <c r="AA129" s="115">
        <v>0</v>
      </c>
      <c r="AB129" s="116"/>
      <c r="AC129" s="116"/>
      <c r="AD129" s="116"/>
      <c r="AE129" s="117"/>
    </row>
    <row r="130" spans="1:31" ht="15.75" customHeight="1" thickBot="1" x14ac:dyDescent="0.35">
      <c r="A130" s="434" t="s">
        <v>421</v>
      </c>
      <c r="B130" s="435"/>
      <c r="C130" s="152"/>
      <c r="D130" s="153"/>
      <c r="E130" s="154"/>
      <c r="F130" s="398" t="s">
        <v>420</v>
      </c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9"/>
      <c r="AA130" s="415">
        <f>SUM(AA131:AE136)</f>
        <v>0</v>
      </c>
      <c r="AB130" s="416"/>
      <c r="AC130" s="416"/>
      <c r="AD130" s="416"/>
      <c r="AE130" s="417"/>
    </row>
    <row r="131" spans="1:31" x14ac:dyDescent="0.3">
      <c r="A131" s="300" t="s">
        <v>109</v>
      </c>
      <c r="B131" s="301"/>
      <c r="C131" s="270">
        <v>6629</v>
      </c>
      <c r="D131" s="230"/>
      <c r="E131" s="271"/>
      <c r="F131" s="303" t="s">
        <v>426</v>
      </c>
      <c r="G131" s="30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  <c r="AA131" s="115">
        <v>0</v>
      </c>
      <c r="AB131" s="116"/>
      <c r="AC131" s="116"/>
      <c r="AD131" s="116"/>
      <c r="AE131" s="117"/>
    </row>
    <row r="132" spans="1:31" x14ac:dyDescent="0.3">
      <c r="A132" s="300" t="s">
        <v>110</v>
      </c>
      <c r="B132" s="301"/>
      <c r="C132" s="191">
        <v>7729</v>
      </c>
      <c r="D132" s="192"/>
      <c r="E132" s="217"/>
      <c r="F132" s="303" t="s">
        <v>427</v>
      </c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  <c r="AA132" s="115">
        <v>0</v>
      </c>
      <c r="AB132" s="116"/>
      <c r="AC132" s="116"/>
      <c r="AD132" s="116"/>
      <c r="AE132" s="117"/>
    </row>
    <row r="133" spans="1:31" x14ac:dyDescent="0.3">
      <c r="A133" s="300" t="s">
        <v>114</v>
      </c>
      <c r="B133" s="301"/>
      <c r="C133" s="191"/>
      <c r="D133" s="192"/>
      <c r="E133" s="217"/>
      <c r="F133" s="303" t="s">
        <v>428</v>
      </c>
      <c r="G133" s="30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3"/>
      <c r="Y133" s="303"/>
      <c r="Z133" s="303"/>
      <c r="AA133" s="115">
        <v>0</v>
      </c>
      <c r="AB133" s="116"/>
      <c r="AC133" s="116"/>
      <c r="AD133" s="116"/>
      <c r="AE133" s="117"/>
    </row>
    <row r="134" spans="1:31" x14ac:dyDescent="0.3">
      <c r="A134" s="300" t="s">
        <v>111</v>
      </c>
      <c r="B134" s="301"/>
      <c r="C134" s="191"/>
      <c r="D134" s="192"/>
      <c r="E134" s="217"/>
      <c r="F134" s="303" t="s">
        <v>429</v>
      </c>
      <c r="G134" s="30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3"/>
      <c r="Y134" s="303"/>
      <c r="Z134" s="303"/>
      <c r="AA134" s="115">
        <v>0</v>
      </c>
      <c r="AB134" s="116"/>
      <c r="AC134" s="116"/>
      <c r="AD134" s="116"/>
      <c r="AE134" s="117"/>
    </row>
    <row r="135" spans="1:31" x14ac:dyDescent="0.3">
      <c r="A135" s="300" t="s">
        <v>124</v>
      </c>
      <c r="B135" s="301"/>
      <c r="C135" s="191"/>
      <c r="D135" s="192"/>
      <c r="E135" s="217"/>
      <c r="F135" s="303" t="s">
        <v>430</v>
      </c>
      <c r="G135" s="30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  <c r="X135" s="303"/>
      <c r="Y135" s="303"/>
      <c r="Z135" s="303"/>
      <c r="AA135" s="115">
        <v>0</v>
      </c>
      <c r="AB135" s="116"/>
      <c r="AC135" s="116"/>
      <c r="AD135" s="116"/>
      <c r="AE135" s="117"/>
    </row>
    <row r="136" spans="1:31" ht="10.8" thickBot="1" x14ac:dyDescent="0.35">
      <c r="A136" s="300" t="s">
        <v>112</v>
      </c>
      <c r="B136" s="301"/>
      <c r="C136" s="191"/>
      <c r="D136" s="192"/>
      <c r="E136" s="217"/>
      <c r="F136" s="303" t="s">
        <v>431</v>
      </c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  <c r="X136" s="303"/>
      <c r="Y136" s="303"/>
      <c r="Z136" s="303"/>
      <c r="AA136" s="115">
        <v>0</v>
      </c>
      <c r="AB136" s="116"/>
      <c r="AC136" s="116"/>
      <c r="AD136" s="116"/>
      <c r="AE136" s="117"/>
    </row>
    <row r="137" spans="1:31" ht="15.75" customHeight="1" thickBot="1" x14ac:dyDescent="0.35">
      <c r="A137" s="434" t="s">
        <v>413</v>
      </c>
      <c r="B137" s="435"/>
      <c r="C137" s="152"/>
      <c r="D137" s="153"/>
      <c r="E137" s="154"/>
      <c r="F137" s="398" t="s">
        <v>424</v>
      </c>
      <c r="G137" s="398"/>
      <c r="H137" s="398"/>
      <c r="I137" s="398"/>
      <c r="J137" s="398"/>
      <c r="K137" s="398"/>
      <c r="L137" s="398"/>
      <c r="M137" s="398"/>
      <c r="N137" s="398"/>
      <c r="O137" s="398"/>
      <c r="P137" s="398"/>
      <c r="Q137" s="398"/>
      <c r="R137" s="398"/>
      <c r="S137" s="398"/>
      <c r="T137" s="398"/>
      <c r="U137" s="398"/>
      <c r="V137" s="398"/>
      <c r="W137" s="398"/>
      <c r="X137" s="398"/>
      <c r="Y137" s="398"/>
      <c r="Z137" s="399"/>
      <c r="AA137" s="415">
        <f>+AA125-AA126+AA128-AA130</f>
        <v>0</v>
      </c>
      <c r="AB137" s="416"/>
      <c r="AC137" s="416"/>
      <c r="AD137" s="416"/>
      <c r="AE137" s="417"/>
    </row>
    <row r="138" spans="1:31" ht="15" customHeight="1" x14ac:dyDescent="0.3">
      <c r="A138" s="300" t="s">
        <v>113</v>
      </c>
      <c r="B138" s="301"/>
      <c r="C138" s="270">
        <v>77</v>
      </c>
      <c r="D138" s="230"/>
      <c r="E138" s="271"/>
      <c r="F138" s="219" t="s">
        <v>422</v>
      </c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115"/>
      <c r="AB138" s="116"/>
      <c r="AC138" s="116"/>
      <c r="AD138" s="116"/>
      <c r="AE138" s="117"/>
    </row>
    <row r="139" spans="1:31" ht="15.75" customHeight="1" thickBot="1" x14ac:dyDescent="0.35">
      <c r="A139" s="300" t="s">
        <v>122</v>
      </c>
      <c r="B139" s="301"/>
      <c r="C139" s="290">
        <v>67</v>
      </c>
      <c r="D139" s="291"/>
      <c r="E139" s="292"/>
      <c r="F139" s="219" t="s">
        <v>423</v>
      </c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115"/>
      <c r="AB139" s="116"/>
      <c r="AC139" s="116"/>
      <c r="AD139" s="116"/>
      <c r="AE139" s="117"/>
    </row>
    <row r="140" spans="1:31" ht="15.75" customHeight="1" thickBot="1" x14ac:dyDescent="0.35">
      <c r="A140" s="434" t="s">
        <v>414</v>
      </c>
      <c r="B140" s="435"/>
      <c r="C140" s="92"/>
      <c r="D140" s="93"/>
      <c r="E140" s="94"/>
      <c r="F140" s="397" t="s">
        <v>425</v>
      </c>
      <c r="G140" s="398"/>
      <c r="H140" s="398"/>
      <c r="I140" s="398"/>
      <c r="J140" s="398"/>
      <c r="K140" s="398"/>
      <c r="L140" s="398"/>
      <c r="M140" s="398"/>
      <c r="N140" s="398"/>
      <c r="O140" s="398"/>
      <c r="P140" s="398"/>
      <c r="Q140" s="398"/>
      <c r="R140" s="398"/>
      <c r="S140" s="398"/>
      <c r="T140" s="398"/>
      <c r="U140" s="398"/>
      <c r="V140" s="398"/>
      <c r="W140" s="398"/>
      <c r="X140" s="398"/>
      <c r="Y140" s="398"/>
      <c r="Z140" s="399"/>
      <c r="AA140" s="415">
        <f>AA138-AA139</f>
        <v>0</v>
      </c>
      <c r="AB140" s="416"/>
      <c r="AC140" s="416"/>
      <c r="AD140" s="416"/>
      <c r="AE140" s="417"/>
    </row>
    <row r="141" spans="1:31" ht="15.75" customHeight="1" thickBot="1" x14ac:dyDescent="0.35">
      <c r="A141" s="434" t="s">
        <v>811</v>
      </c>
      <c r="B141" s="435"/>
      <c r="C141" s="92"/>
      <c r="D141" s="93"/>
      <c r="E141" s="94"/>
      <c r="F141" s="397" t="s">
        <v>592</v>
      </c>
      <c r="G141" s="398"/>
      <c r="H141" s="398"/>
      <c r="I141" s="398"/>
      <c r="J141" s="398"/>
      <c r="K141" s="398"/>
      <c r="L141" s="398"/>
      <c r="M141" s="398"/>
      <c r="N141" s="398"/>
      <c r="O141" s="398"/>
      <c r="P141" s="398"/>
      <c r="Q141" s="398"/>
      <c r="R141" s="398"/>
      <c r="S141" s="398"/>
      <c r="T141" s="398"/>
      <c r="U141" s="398"/>
      <c r="V141" s="398"/>
      <c r="W141" s="398"/>
      <c r="X141" s="398"/>
      <c r="Y141" s="398"/>
      <c r="Z141" s="399"/>
      <c r="AA141" s="415">
        <f>+AA137+AA140</f>
        <v>0</v>
      </c>
      <c r="AB141" s="416"/>
      <c r="AC141" s="416"/>
      <c r="AD141" s="416"/>
      <c r="AE141" s="417"/>
    </row>
    <row r="142" spans="1:31" ht="10.8" thickBot="1" x14ac:dyDescent="0.35">
      <c r="A142" s="300" t="s">
        <v>123</v>
      </c>
      <c r="B142" s="301"/>
      <c r="C142" s="327">
        <v>68</v>
      </c>
      <c r="D142" s="326"/>
      <c r="E142" s="328"/>
      <c r="F142" s="181" t="s">
        <v>591</v>
      </c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3"/>
      <c r="AA142" s="115"/>
      <c r="AB142" s="116"/>
      <c r="AC142" s="116"/>
      <c r="AD142" s="116"/>
      <c r="AE142" s="117"/>
    </row>
    <row r="143" spans="1:31" ht="15.75" customHeight="1" thickBot="1" x14ac:dyDescent="0.35">
      <c r="A143" s="434" t="s">
        <v>415</v>
      </c>
      <c r="B143" s="435"/>
      <c r="C143" s="92"/>
      <c r="D143" s="93"/>
      <c r="E143" s="94"/>
      <c r="F143" s="397" t="s">
        <v>593</v>
      </c>
      <c r="G143" s="398"/>
      <c r="H143" s="398"/>
      <c r="I143" s="398"/>
      <c r="J143" s="398"/>
      <c r="K143" s="398"/>
      <c r="L143" s="398"/>
      <c r="M143" s="398"/>
      <c r="N143" s="398"/>
      <c r="O143" s="398"/>
      <c r="P143" s="398"/>
      <c r="Q143" s="398"/>
      <c r="R143" s="398"/>
      <c r="S143" s="398"/>
      <c r="T143" s="398"/>
      <c r="U143" s="398"/>
      <c r="V143" s="398"/>
      <c r="W143" s="398"/>
      <c r="X143" s="398"/>
      <c r="Y143" s="398"/>
      <c r="Z143" s="399"/>
      <c r="AA143" s="415">
        <f>AA137+AA140-AA142</f>
        <v>0</v>
      </c>
      <c r="AB143" s="416"/>
      <c r="AC143" s="416"/>
      <c r="AD143" s="416"/>
      <c r="AE143" s="417"/>
    </row>
  </sheetData>
  <mergeCells count="421">
    <mergeCell ref="A49:B49"/>
    <mergeCell ref="A73:B73"/>
    <mergeCell ref="A92:B92"/>
    <mergeCell ref="A93:B93"/>
    <mergeCell ref="A94:B94"/>
    <mergeCell ref="A95:B95"/>
    <mergeCell ref="A96:B96"/>
    <mergeCell ref="A97:B97"/>
    <mergeCell ref="A141:B141"/>
    <mergeCell ref="A102:B102"/>
    <mergeCell ref="C102:E102"/>
    <mergeCell ref="F102:Z102"/>
    <mergeCell ref="AA99:AE99"/>
    <mergeCell ref="AA101:AE101"/>
    <mergeCell ref="AA102:AE102"/>
    <mergeCell ref="A100:B100"/>
    <mergeCell ref="C100:E100"/>
    <mergeCell ref="F100:Z100"/>
    <mergeCell ref="AA100:AE100"/>
    <mergeCell ref="A139:B139"/>
    <mergeCell ref="C139:E139"/>
    <mergeCell ref="F139:Z139"/>
    <mergeCell ref="AA139:AE139"/>
    <mergeCell ref="A136:B136"/>
    <mergeCell ref="C136:E136"/>
    <mergeCell ref="F136:Z136"/>
    <mergeCell ref="AA136:AE136"/>
    <mergeCell ref="A133:B133"/>
    <mergeCell ref="C133:E133"/>
    <mergeCell ref="F133:Z133"/>
    <mergeCell ref="AA133:AE133"/>
    <mergeCell ref="A135:B135"/>
    <mergeCell ref="C135:E135"/>
    <mergeCell ref="F135:Z135"/>
    <mergeCell ref="AA135:AE135"/>
    <mergeCell ref="A134:B134"/>
    <mergeCell ref="C134:E134"/>
    <mergeCell ref="F134:Z134"/>
    <mergeCell ref="AA134:AE134"/>
    <mergeCell ref="A138:B138"/>
    <mergeCell ref="C138:E138"/>
    <mergeCell ref="F138:Z138"/>
    <mergeCell ref="AA138:AE138"/>
    <mergeCell ref="C73:E73"/>
    <mergeCell ref="F73:Z73"/>
    <mergeCell ref="AA73:AE73"/>
    <mergeCell ref="A99:B99"/>
    <mergeCell ref="C99:E99"/>
    <mergeCell ref="F99:Z99"/>
    <mergeCell ref="A101:B101"/>
    <mergeCell ref="C101:E101"/>
    <mergeCell ref="F101:Z101"/>
    <mergeCell ref="F95:Z95"/>
    <mergeCell ref="AA95:AE95"/>
    <mergeCell ref="C92:E92"/>
    <mergeCell ref="F92:Z92"/>
    <mergeCell ref="AA92:AE92"/>
    <mergeCell ref="C93:E93"/>
    <mergeCell ref="F93:Z93"/>
    <mergeCell ref="AA93:AE93"/>
    <mergeCell ref="A98:B98"/>
    <mergeCell ref="C98:E98"/>
    <mergeCell ref="F98:Z98"/>
    <mergeCell ref="AA98:AE98"/>
    <mergeCell ref="F96:Z96"/>
    <mergeCell ref="AA96:AE96"/>
    <mergeCell ref="F97:Z97"/>
    <mergeCell ref="A143:B143"/>
    <mergeCell ref="F143:Z143"/>
    <mergeCell ref="AA143:AE143"/>
    <mergeCell ref="A140:B140"/>
    <mergeCell ref="F140:Z140"/>
    <mergeCell ref="AA140:AE140"/>
    <mergeCell ref="A142:B142"/>
    <mergeCell ref="C142:E142"/>
    <mergeCell ref="F142:Z142"/>
    <mergeCell ref="AA142:AE142"/>
    <mergeCell ref="F141:Z141"/>
    <mergeCell ref="AA141:AE141"/>
    <mergeCell ref="A137:B137"/>
    <mergeCell ref="C137:E137"/>
    <mergeCell ref="F137:Z137"/>
    <mergeCell ref="AA137:AE137"/>
    <mergeCell ref="A130:B130"/>
    <mergeCell ref="C130:E130"/>
    <mergeCell ref="F130:Z130"/>
    <mergeCell ref="AA130:AE130"/>
    <mergeCell ref="A132:B132"/>
    <mergeCell ref="C132:E132"/>
    <mergeCell ref="F132:Z132"/>
    <mergeCell ref="AA132:AE132"/>
    <mergeCell ref="A131:B131"/>
    <mergeCell ref="C131:E131"/>
    <mergeCell ref="F131:Z131"/>
    <mergeCell ref="AA131:AE131"/>
    <mergeCell ref="A127:B127"/>
    <mergeCell ref="C127:E127"/>
    <mergeCell ref="F127:Z127"/>
    <mergeCell ref="AA127:AE127"/>
    <mergeCell ref="A128:B128"/>
    <mergeCell ref="C128:E128"/>
    <mergeCell ref="F128:Z128"/>
    <mergeCell ref="AA128:AE128"/>
    <mergeCell ref="A129:B129"/>
    <mergeCell ref="C129:E129"/>
    <mergeCell ref="F129:Z129"/>
    <mergeCell ref="AA129:AE129"/>
    <mergeCell ref="A124:B124"/>
    <mergeCell ref="C124:E124"/>
    <mergeCell ref="F124:Z124"/>
    <mergeCell ref="AA124:AE124"/>
    <mergeCell ref="A123:B123"/>
    <mergeCell ref="C123:E123"/>
    <mergeCell ref="F123:Z123"/>
    <mergeCell ref="AA123:AE123"/>
    <mergeCell ref="A126:B126"/>
    <mergeCell ref="C126:E126"/>
    <mergeCell ref="F126:Z126"/>
    <mergeCell ref="AA126:AE126"/>
    <mergeCell ref="A125:B125"/>
    <mergeCell ref="C125:E125"/>
    <mergeCell ref="F125:Z125"/>
    <mergeCell ref="AA125:AE125"/>
    <mergeCell ref="A120:B120"/>
    <mergeCell ref="C120:E120"/>
    <mergeCell ref="F120:Z120"/>
    <mergeCell ref="AA120:AE120"/>
    <mergeCell ref="A119:B119"/>
    <mergeCell ref="C119:E119"/>
    <mergeCell ref="F119:Z119"/>
    <mergeCell ref="AA119:AE119"/>
    <mergeCell ref="A122:B122"/>
    <mergeCell ref="C122:E122"/>
    <mergeCell ref="F122:Z122"/>
    <mergeCell ref="AA122:AE122"/>
    <mergeCell ref="A121:B121"/>
    <mergeCell ref="C121:E121"/>
    <mergeCell ref="F121:Z121"/>
    <mergeCell ref="AA121:AE121"/>
    <mergeCell ref="A116:B116"/>
    <mergeCell ref="C116:E116"/>
    <mergeCell ref="F116:Z116"/>
    <mergeCell ref="AA116:AE116"/>
    <mergeCell ref="A113:B115"/>
    <mergeCell ref="C113:E115"/>
    <mergeCell ref="F113:Z115"/>
    <mergeCell ref="AA115:AE115"/>
    <mergeCell ref="A118:B118"/>
    <mergeCell ref="C118:E118"/>
    <mergeCell ref="F118:Z118"/>
    <mergeCell ref="AA118:AE118"/>
    <mergeCell ref="A117:B117"/>
    <mergeCell ref="C117:E117"/>
    <mergeCell ref="F117:Z117"/>
    <mergeCell ref="AA117:AE117"/>
    <mergeCell ref="A105:AE105"/>
    <mergeCell ref="A106:AE106"/>
    <mergeCell ref="C108:J108"/>
    <mergeCell ref="O108:S108"/>
    <mergeCell ref="T108:AE108"/>
    <mergeCell ref="F111:M111"/>
    <mergeCell ref="A103:B103"/>
    <mergeCell ref="C103:E103"/>
    <mergeCell ref="F103:Z103"/>
    <mergeCell ref="AA103:AE103"/>
    <mergeCell ref="AA97:AE97"/>
    <mergeCell ref="A91:B91"/>
    <mergeCell ref="C91:E91"/>
    <mergeCell ref="F91:Z91"/>
    <mergeCell ref="AA91:AE91"/>
    <mergeCell ref="A90:B90"/>
    <mergeCell ref="C90:E90"/>
    <mergeCell ref="F90:Z90"/>
    <mergeCell ref="AA90:AE90"/>
    <mergeCell ref="C94:E94"/>
    <mergeCell ref="F94:Z94"/>
    <mergeCell ref="AA94:AE94"/>
    <mergeCell ref="A87:B87"/>
    <mergeCell ref="C87:E87"/>
    <mergeCell ref="F87:Z87"/>
    <mergeCell ref="AA87:AE87"/>
    <mergeCell ref="A86:B86"/>
    <mergeCell ref="C86:E86"/>
    <mergeCell ref="F86:Z86"/>
    <mergeCell ref="AA86:AE86"/>
    <mergeCell ref="A89:B89"/>
    <mergeCell ref="C89:E89"/>
    <mergeCell ref="F89:Z89"/>
    <mergeCell ref="AA89:AE89"/>
    <mergeCell ref="A88:B88"/>
    <mergeCell ref="C88:E88"/>
    <mergeCell ref="F88:Z88"/>
    <mergeCell ref="AA88:AE88"/>
    <mergeCell ref="A83:B83"/>
    <mergeCell ref="C83:E83"/>
    <mergeCell ref="F83:Z83"/>
    <mergeCell ref="AA83:AE83"/>
    <mergeCell ref="A82:B82"/>
    <mergeCell ref="C82:E82"/>
    <mergeCell ref="F82:Z82"/>
    <mergeCell ref="AA82:AE82"/>
    <mergeCell ref="A85:B85"/>
    <mergeCell ref="C85:E85"/>
    <mergeCell ref="F85:Z85"/>
    <mergeCell ref="AA85:AE85"/>
    <mergeCell ref="A84:B84"/>
    <mergeCell ref="C84:E84"/>
    <mergeCell ref="F84:Z84"/>
    <mergeCell ref="AA84:AE84"/>
    <mergeCell ref="A79:B79"/>
    <mergeCell ref="C79:E79"/>
    <mergeCell ref="F79:Z79"/>
    <mergeCell ref="AA79:AE79"/>
    <mergeCell ref="A78:B78"/>
    <mergeCell ref="C78:E78"/>
    <mergeCell ref="F78:Z78"/>
    <mergeCell ref="AA78:AE78"/>
    <mergeCell ref="A81:B81"/>
    <mergeCell ref="C81:E81"/>
    <mergeCell ref="F81:Z81"/>
    <mergeCell ref="AA81:AE81"/>
    <mergeCell ref="A80:B80"/>
    <mergeCell ref="C80:E80"/>
    <mergeCell ref="F80:Z80"/>
    <mergeCell ref="AA80:AE80"/>
    <mergeCell ref="A75:B75"/>
    <mergeCell ref="C75:E75"/>
    <mergeCell ref="F75:Z75"/>
    <mergeCell ref="AA75:AE75"/>
    <mergeCell ref="A74:B74"/>
    <mergeCell ref="C74:E74"/>
    <mergeCell ref="F74:Z74"/>
    <mergeCell ref="AA74:AE74"/>
    <mergeCell ref="A77:B77"/>
    <mergeCell ref="C77:E77"/>
    <mergeCell ref="F77:Z77"/>
    <mergeCell ref="AA77:AE77"/>
    <mergeCell ref="A76:B76"/>
    <mergeCell ref="C76:E76"/>
    <mergeCell ref="F76:Z76"/>
    <mergeCell ref="AA76:AE76"/>
    <mergeCell ref="A70:B70"/>
    <mergeCell ref="C70:E70"/>
    <mergeCell ref="F70:Z70"/>
    <mergeCell ref="AA70:AE70"/>
    <mergeCell ref="A69:B69"/>
    <mergeCell ref="C69:E69"/>
    <mergeCell ref="F69:Z69"/>
    <mergeCell ref="AA69:AE69"/>
    <mergeCell ref="A72:B72"/>
    <mergeCell ref="C72:E72"/>
    <mergeCell ref="F72:Z72"/>
    <mergeCell ref="AA72:AE72"/>
    <mergeCell ref="A71:B71"/>
    <mergeCell ref="C71:E71"/>
    <mergeCell ref="F71:Z71"/>
    <mergeCell ref="AA71:AE71"/>
    <mergeCell ref="A66:B66"/>
    <mergeCell ref="C66:E66"/>
    <mergeCell ref="F66:Z66"/>
    <mergeCell ref="AA66:AE66"/>
    <mergeCell ref="A65:B65"/>
    <mergeCell ref="C65:E65"/>
    <mergeCell ref="F65:Z65"/>
    <mergeCell ref="AA65:AE65"/>
    <mergeCell ref="A68:B68"/>
    <mergeCell ref="C68:E68"/>
    <mergeCell ref="F68:Z68"/>
    <mergeCell ref="AA68:AE68"/>
    <mergeCell ref="A67:B67"/>
    <mergeCell ref="C67:E67"/>
    <mergeCell ref="F67:Z67"/>
    <mergeCell ref="AA67:AE67"/>
    <mergeCell ref="A60:B62"/>
    <mergeCell ref="C60:E62"/>
    <mergeCell ref="F60:Z62"/>
    <mergeCell ref="AA62:AE62"/>
    <mergeCell ref="A64:B64"/>
    <mergeCell ref="C64:E64"/>
    <mergeCell ref="F64:Z64"/>
    <mergeCell ref="AA64:AE64"/>
    <mergeCell ref="A63:B63"/>
    <mergeCell ref="C63:E63"/>
    <mergeCell ref="F63:Z63"/>
    <mergeCell ref="AA63:AE63"/>
    <mergeCell ref="A52:AE52"/>
    <mergeCell ref="A53:AE53"/>
    <mergeCell ref="C55:J55"/>
    <mergeCell ref="O55:S55"/>
    <mergeCell ref="T55:AE55"/>
    <mergeCell ref="F58:M58"/>
    <mergeCell ref="A50:B50"/>
    <mergeCell ref="C50:E50"/>
    <mergeCell ref="F50:Z50"/>
    <mergeCell ref="AA50:AE50"/>
    <mergeCell ref="A46:B46"/>
    <mergeCell ref="C46:E46"/>
    <mergeCell ref="F46:Z46"/>
    <mergeCell ref="AA46:AE46"/>
    <mergeCell ref="A48:B48"/>
    <mergeCell ref="C48:E48"/>
    <mergeCell ref="F48:Z48"/>
    <mergeCell ref="AA48:AE48"/>
    <mergeCell ref="A47:B47"/>
    <mergeCell ref="C47:E47"/>
    <mergeCell ref="F47:Z47"/>
    <mergeCell ref="AA47:AE47"/>
    <mergeCell ref="F40:M40"/>
    <mergeCell ref="A45:B45"/>
    <mergeCell ref="C45:E45"/>
    <mergeCell ref="F45:Z45"/>
    <mergeCell ref="AA45:AE45"/>
    <mergeCell ref="A42:B44"/>
    <mergeCell ref="C42:E44"/>
    <mergeCell ref="F42:Z44"/>
    <mergeCell ref="AA44:AE44"/>
    <mergeCell ref="A32:B32"/>
    <mergeCell ref="C32:E32"/>
    <mergeCell ref="F32:Z32"/>
    <mergeCell ref="AA32:AE32"/>
    <mergeCell ref="A34:AE34"/>
    <mergeCell ref="A35:AE35"/>
    <mergeCell ref="C37:J37"/>
    <mergeCell ref="O37:S37"/>
    <mergeCell ref="T37:AE37"/>
    <mergeCell ref="A29:B29"/>
    <mergeCell ref="C29:E29"/>
    <mergeCell ref="F29:Z29"/>
    <mergeCell ref="AA29:AE29"/>
    <mergeCell ref="A28:B28"/>
    <mergeCell ref="C28:E28"/>
    <mergeCell ref="F28:Z28"/>
    <mergeCell ref="AA28:AE28"/>
    <mergeCell ref="A31:B31"/>
    <mergeCell ref="C31:E31"/>
    <mergeCell ref="F31:Z31"/>
    <mergeCell ref="AA31:AE31"/>
    <mergeCell ref="A30:B30"/>
    <mergeCell ref="C30:E30"/>
    <mergeCell ref="F30:Z30"/>
    <mergeCell ref="AA30:AE30"/>
    <mergeCell ref="A27:B27"/>
    <mergeCell ref="C27:E27"/>
    <mergeCell ref="F27:Z27"/>
    <mergeCell ref="AA27:AE27"/>
    <mergeCell ref="C25:E25"/>
    <mergeCell ref="F25:Z25"/>
    <mergeCell ref="AA25:AE25"/>
    <mergeCell ref="A26:B26"/>
    <mergeCell ref="C26:E26"/>
    <mergeCell ref="F26:Z26"/>
    <mergeCell ref="AA26:AE26"/>
    <mergeCell ref="A22:B22"/>
    <mergeCell ref="C22:E22"/>
    <mergeCell ref="F22:Z22"/>
    <mergeCell ref="AA22:AE22"/>
    <mergeCell ref="A21:B21"/>
    <mergeCell ref="C21:E21"/>
    <mergeCell ref="F21:Z21"/>
    <mergeCell ref="AA21:AE21"/>
    <mergeCell ref="A24:B24"/>
    <mergeCell ref="C24:E24"/>
    <mergeCell ref="F24:Z24"/>
    <mergeCell ref="AA24:AE24"/>
    <mergeCell ref="A23:B23"/>
    <mergeCell ref="C23:E23"/>
    <mergeCell ref="F23:Z23"/>
    <mergeCell ref="AA23:AE23"/>
    <mergeCell ref="A18:B18"/>
    <mergeCell ref="C18:E18"/>
    <mergeCell ref="F18:Z18"/>
    <mergeCell ref="AA18:AE18"/>
    <mergeCell ref="A16:B16"/>
    <mergeCell ref="C16:E16"/>
    <mergeCell ref="F16:Z16"/>
    <mergeCell ref="AA16:AE16"/>
    <mergeCell ref="A20:B20"/>
    <mergeCell ref="C20:E20"/>
    <mergeCell ref="F20:Z20"/>
    <mergeCell ref="AA20:AE20"/>
    <mergeCell ref="A19:B19"/>
    <mergeCell ref="C19:E19"/>
    <mergeCell ref="F19:Z19"/>
    <mergeCell ref="AA19:AE19"/>
    <mergeCell ref="A17:B17"/>
    <mergeCell ref="A12:B12"/>
    <mergeCell ref="C12:E12"/>
    <mergeCell ref="F12:Z12"/>
    <mergeCell ref="AA12:AE12"/>
    <mergeCell ref="A15:B15"/>
    <mergeCell ref="C15:E15"/>
    <mergeCell ref="F15:Z15"/>
    <mergeCell ref="AA15:AE15"/>
    <mergeCell ref="A14:B14"/>
    <mergeCell ref="C14:E14"/>
    <mergeCell ref="F14:Z14"/>
    <mergeCell ref="AA14:AE14"/>
    <mergeCell ref="AA9:AE10"/>
    <mergeCell ref="AA42:AE43"/>
    <mergeCell ref="AA60:AE61"/>
    <mergeCell ref="AA113:AE114"/>
    <mergeCell ref="F49:Z49"/>
    <mergeCell ref="C49:E49"/>
    <mergeCell ref="AA49:AE49"/>
    <mergeCell ref="A25:B25"/>
    <mergeCell ref="A1:AE1"/>
    <mergeCell ref="A2:AE2"/>
    <mergeCell ref="C4:J4"/>
    <mergeCell ref="O4:S4"/>
    <mergeCell ref="T4:AE4"/>
    <mergeCell ref="F7:M7"/>
    <mergeCell ref="F17:Z17"/>
    <mergeCell ref="AA17:AE17"/>
    <mergeCell ref="A9:B11"/>
    <mergeCell ref="C9:E11"/>
    <mergeCell ref="F9:Z11"/>
    <mergeCell ref="AA11:AE11"/>
    <mergeCell ref="A13:B13"/>
    <mergeCell ref="C13:E13"/>
    <mergeCell ref="F13:Z13"/>
    <mergeCell ref="AA13:AE13"/>
  </mergeCells>
  <pageMargins left="0.70866141732283472" right="0.70866141732283472" top="0.74803149606299213" bottom="0.74803149606299213" header="0.31496062992125984" footer="0.31496062992125984"/>
  <pageSetup paperSize="9" scale="72" orientation="landscape" horizontalDpi="300" verticalDpi="300" r:id="rId1"/>
  <rowBreaks count="3" manualBreakCount="3">
    <brk id="33" min="1" max="30" man="1"/>
    <brk id="51" max="16383" man="1"/>
    <brk id="104" min="1" max="3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AX20"/>
  <sheetViews>
    <sheetView showGridLines="0" view="pageBreakPreview" zoomScaleNormal="100" zoomScaleSheetLayoutView="100" workbookViewId="0">
      <selection activeCell="A19" sqref="A19:D19"/>
    </sheetView>
  </sheetViews>
  <sheetFormatPr baseColWidth="10" defaultColWidth="3.44140625" defaultRowHeight="10.199999999999999" x14ac:dyDescent="0.3"/>
  <cols>
    <col min="1" max="3" width="3.44140625" style="1"/>
    <col min="4" max="4" width="3.44140625" style="1" hidden="1" customWidth="1"/>
    <col min="5" max="15" width="3.44140625" style="1"/>
    <col min="16" max="17" width="3.44140625" style="1" customWidth="1"/>
    <col min="18" max="18" width="0.21875" style="1" customWidth="1"/>
    <col min="19" max="21" width="3.44140625" style="1" hidden="1" customWidth="1"/>
    <col min="22" max="22" width="1" style="1" customWidth="1"/>
    <col min="23" max="28" width="3.44140625" style="1"/>
    <col min="29" max="29" width="3.44140625" style="1" customWidth="1"/>
    <col min="30" max="42" width="3.44140625" style="1"/>
    <col min="43" max="43" width="0.5546875" style="1" customWidth="1"/>
    <col min="44" max="49" width="3.44140625" style="1"/>
    <col min="50" max="50" width="0.44140625" style="1" customWidth="1"/>
    <col min="51" max="16384" width="3.44140625" style="1"/>
  </cols>
  <sheetData>
    <row r="1" spans="1:50" x14ac:dyDescent="0.3">
      <c r="A1" s="214" t="s">
        <v>162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6"/>
    </row>
    <row r="2" spans="1:50" ht="10.8" thickBot="1" x14ac:dyDescent="0.35">
      <c r="A2" s="120" t="s">
        <v>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215"/>
    </row>
    <row r="3" spans="1:50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3"/>
    </row>
    <row r="4" spans="1:50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25"/>
      <c r="M4" s="25"/>
      <c r="N4" s="158" t="s">
        <v>125</v>
      </c>
      <c r="O4" s="158"/>
      <c r="P4" s="158"/>
      <c r="Q4" s="158"/>
      <c r="R4" s="158"/>
      <c r="S4" s="155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7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6"/>
    </row>
    <row r="5" spans="1:50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6"/>
    </row>
    <row r="6" spans="1:50" x14ac:dyDescent="0.2">
      <c r="A6" s="24"/>
      <c r="B6" s="25"/>
      <c r="C6" s="25"/>
      <c r="D6" s="25"/>
      <c r="E6" s="27" t="s">
        <v>128</v>
      </c>
      <c r="F6" s="27" t="s">
        <v>128</v>
      </c>
      <c r="G6" s="27" t="s">
        <v>128</v>
      </c>
      <c r="H6" s="27" t="s">
        <v>128</v>
      </c>
      <c r="I6" s="27" t="s">
        <v>127</v>
      </c>
      <c r="J6" s="27" t="s">
        <v>127</v>
      </c>
      <c r="K6" s="27" t="s">
        <v>126</v>
      </c>
      <c r="L6" s="27" t="s">
        <v>126</v>
      </c>
      <c r="M6" s="25"/>
      <c r="N6" s="25"/>
      <c r="O6" s="25"/>
      <c r="P6" s="25"/>
      <c r="Q6" s="27"/>
      <c r="R6" s="27"/>
      <c r="S6" s="27"/>
      <c r="T6" s="27"/>
      <c r="U6" s="27"/>
      <c r="V6" s="25"/>
      <c r="W6" s="27"/>
      <c r="X6" s="25"/>
      <c r="Y6" s="25"/>
      <c r="Z6" s="27" t="s">
        <v>255</v>
      </c>
      <c r="AA6" s="27" t="s">
        <v>260</v>
      </c>
      <c r="AB6" s="27"/>
      <c r="AC6" s="25"/>
      <c r="AD6" s="25"/>
      <c r="AE6" s="25"/>
      <c r="AF6" s="25"/>
      <c r="AG6" s="25"/>
      <c r="AH6" s="25"/>
      <c r="AI6" s="27">
        <v>1</v>
      </c>
      <c r="AJ6" s="27">
        <v>5</v>
      </c>
      <c r="AK6" s="25"/>
      <c r="AL6" s="25"/>
      <c r="AM6" s="25"/>
      <c r="AN6" s="25"/>
      <c r="AO6" s="27" t="s">
        <v>258</v>
      </c>
      <c r="AP6" s="25"/>
      <c r="AQ6" s="25"/>
      <c r="AR6" s="25"/>
      <c r="AS6" s="27"/>
      <c r="AT6" s="25"/>
      <c r="AU6" s="25"/>
      <c r="AV6" s="25"/>
      <c r="AW6" s="25"/>
      <c r="AX6" s="26"/>
    </row>
    <row r="7" spans="1:50" x14ac:dyDescent="0.2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9"/>
      <c r="N7" s="25"/>
      <c r="O7" s="25"/>
      <c r="P7" s="25"/>
      <c r="Q7" s="25"/>
      <c r="R7" s="25"/>
      <c r="S7" s="33" t="s">
        <v>130</v>
      </c>
      <c r="T7" s="33"/>
      <c r="U7" s="25"/>
      <c r="V7" s="25"/>
      <c r="W7" s="25" t="s">
        <v>244</v>
      </c>
      <c r="X7" s="25"/>
      <c r="Y7" s="25"/>
      <c r="Z7" s="25"/>
      <c r="AA7" s="19" t="s">
        <v>245</v>
      </c>
      <c r="AB7" s="25"/>
      <c r="AC7" s="25"/>
      <c r="AD7" s="25"/>
      <c r="AE7" s="25"/>
      <c r="AF7" s="25"/>
      <c r="AG7" s="25"/>
      <c r="AH7" s="25"/>
      <c r="AI7" s="159" t="s">
        <v>131</v>
      </c>
      <c r="AJ7" s="159"/>
      <c r="AK7" s="25"/>
      <c r="AL7" s="25"/>
      <c r="AM7" s="25"/>
      <c r="AN7" s="25"/>
      <c r="AO7" s="19" t="s">
        <v>246</v>
      </c>
      <c r="AP7" s="25"/>
      <c r="AQ7" s="25"/>
      <c r="AR7" s="25"/>
      <c r="AS7" s="19" t="s">
        <v>263</v>
      </c>
      <c r="AT7" s="25"/>
      <c r="AU7" s="25"/>
      <c r="AV7" s="25"/>
      <c r="AW7" s="25"/>
      <c r="AX7" s="26"/>
    </row>
    <row r="8" spans="1:50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30"/>
    </row>
    <row r="9" spans="1:50" ht="10.8" thickBot="1" x14ac:dyDescent="0.3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</row>
    <row r="10" spans="1:50" ht="15" customHeight="1" x14ac:dyDescent="0.3">
      <c r="A10" s="483" t="s">
        <v>761</v>
      </c>
      <c r="B10" s="484"/>
      <c r="C10" s="484"/>
      <c r="D10" s="485"/>
      <c r="E10" s="143" t="s">
        <v>396</v>
      </c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5"/>
      <c r="W10" s="131" t="s">
        <v>15</v>
      </c>
      <c r="X10" s="132"/>
      <c r="Y10" s="132"/>
      <c r="Z10" s="132"/>
      <c r="AA10" s="132"/>
      <c r="AB10" s="132"/>
      <c r="AC10" s="132"/>
      <c r="AD10" s="131" t="s">
        <v>16</v>
      </c>
      <c r="AE10" s="132"/>
      <c r="AF10" s="132"/>
      <c r="AG10" s="132"/>
      <c r="AH10" s="132"/>
      <c r="AI10" s="132"/>
      <c r="AJ10" s="132"/>
      <c r="AK10" s="131" t="s">
        <v>17</v>
      </c>
      <c r="AL10" s="132"/>
      <c r="AM10" s="132"/>
      <c r="AN10" s="132"/>
      <c r="AO10" s="132"/>
      <c r="AP10" s="132"/>
      <c r="AQ10" s="132"/>
      <c r="AR10" s="131" t="s">
        <v>140</v>
      </c>
      <c r="AS10" s="132"/>
      <c r="AT10" s="132"/>
      <c r="AU10" s="132"/>
      <c r="AV10" s="132"/>
      <c r="AW10" s="132"/>
      <c r="AX10" s="133"/>
    </row>
    <row r="11" spans="1:50" ht="15.75" customHeight="1" x14ac:dyDescent="0.3">
      <c r="A11" s="486"/>
      <c r="B11" s="487"/>
      <c r="C11" s="487"/>
      <c r="D11" s="488"/>
      <c r="E11" s="146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8"/>
      <c r="W11" s="134"/>
      <c r="X11" s="135"/>
      <c r="Y11" s="135"/>
      <c r="Z11" s="135"/>
      <c r="AA11" s="135"/>
      <c r="AB11" s="135"/>
      <c r="AC11" s="135"/>
      <c r="AD11" s="134"/>
      <c r="AE11" s="135"/>
      <c r="AF11" s="135"/>
      <c r="AG11" s="135"/>
      <c r="AH11" s="135"/>
      <c r="AI11" s="135"/>
      <c r="AJ11" s="135"/>
      <c r="AK11" s="134"/>
      <c r="AL11" s="135"/>
      <c r="AM11" s="135"/>
      <c r="AN11" s="135"/>
      <c r="AO11" s="135"/>
      <c r="AP11" s="135"/>
      <c r="AQ11" s="135"/>
      <c r="AR11" s="134"/>
      <c r="AS11" s="135"/>
      <c r="AT11" s="135"/>
      <c r="AU11" s="135"/>
      <c r="AV11" s="135"/>
      <c r="AW11" s="135"/>
      <c r="AX11" s="136"/>
    </row>
    <row r="12" spans="1:50" ht="18" customHeight="1" thickBot="1" x14ac:dyDescent="0.35">
      <c r="A12" s="486"/>
      <c r="B12" s="487"/>
      <c r="C12" s="487"/>
      <c r="D12" s="488"/>
      <c r="E12" s="146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8"/>
      <c r="W12" s="137"/>
      <c r="X12" s="138"/>
      <c r="Y12" s="138"/>
      <c r="Z12" s="138"/>
      <c r="AA12" s="138"/>
      <c r="AB12" s="138"/>
      <c r="AC12" s="138"/>
      <c r="AD12" s="137"/>
      <c r="AE12" s="138"/>
      <c r="AF12" s="138"/>
      <c r="AG12" s="138"/>
      <c r="AH12" s="138"/>
      <c r="AI12" s="138"/>
      <c r="AJ12" s="138"/>
      <c r="AK12" s="137"/>
      <c r="AL12" s="138"/>
      <c r="AM12" s="138"/>
      <c r="AN12" s="138"/>
      <c r="AO12" s="138"/>
      <c r="AP12" s="138"/>
      <c r="AQ12" s="138"/>
      <c r="AR12" s="137"/>
      <c r="AS12" s="138"/>
      <c r="AT12" s="138"/>
      <c r="AU12" s="138"/>
      <c r="AV12" s="138"/>
      <c r="AW12" s="138"/>
      <c r="AX12" s="139"/>
    </row>
    <row r="13" spans="1:50" ht="15.75" customHeight="1" thickBot="1" x14ac:dyDescent="0.35">
      <c r="A13" s="489"/>
      <c r="B13" s="490"/>
      <c r="C13" s="490"/>
      <c r="D13" s="491"/>
      <c r="E13" s="149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1"/>
      <c r="W13" s="153">
        <v>1</v>
      </c>
      <c r="X13" s="153"/>
      <c r="Y13" s="153"/>
      <c r="Z13" s="153"/>
      <c r="AA13" s="153"/>
      <c r="AB13" s="153"/>
      <c r="AC13" s="154"/>
      <c r="AD13" s="152">
        <v>2</v>
      </c>
      <c r="AE13" s="153"/>
      <c r="AF13" s="153"/>
      <c r="AG13" s="153"/>
      <c r="AH13" s="153"/>
      <c r="AI13" s="153"/>
      <c r="AJ13" s="154"/>
      <c r="AK13" s="152">
        <v>3</v>
      </c>
      <c r="AL13" s="153"/>
      <c r="AM13" s="153"/>
      <c r="AN13" s="153"/>
      <c r="AO13" s="153"/>
      <c r="AP13" s="153"/>
      <c r="AQ13" s="154"/>
      <c r="AR13" s="152" t="s">
        <v>361</v>
      </c>
      <c r="AS13" s="153"/>
      <c r="AT13" s="153"/>
      <c r="AU13" s="153"/>
      <c r="AV13" s="153"/>
      <c r="AW13" s="153"/>
      <c r="AX13" s="154"/>
    </row>
    <row r="14" spans="1:50" ht="15" customHeight="1" x14ac:dyDescent="0.3">
      <c r="A14" s="458" t="s">
        <v>169</v>
      </c>
      <c r="B14" s="459"/>
      <c r="C14" s="459"/>
      <c r="D14" s="498"/>
      <c r="E14" s="347" t="s">
        <v>516</v>
      </c>
      <c r="F14" s="296"/>
      <c r="G14" s="296"/>
      <c r="H14" s="296"/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7"/>
      <c r="W14" s="270" t="s">
        <v>518</v>
      </c>
      <c r="X14" s="230"/>
      <c r="Y14" s="230"/>
      <c r="Z14" s="230"/>
      <c r="AA14" s="230"/>
      <c r="AB14" s="230"/>
      <c r="AC14" s="271"/>
      <c r="AD14" s="270" t="s">
        <v>523</v>
      </c>
      <c r="AE14" s="230"/>
      <c r="AF14" s="230"/>
      <c r="AG14" s="230"/>
      <c r="AH14" s="230"/>
      <c r="AI14" s="230"/>
      <c r="AJ14" s="271"/>
      <c r="AK14" s="270"/>
      <c r="AL14" s="230"/>
      <c r="AM14" s="230"/>
      <c r="AN14" s="230"/>
      <c r="AO14" s="230"/>
      <c r="AP14" s="230"/>
      <c r="AQ14" s="271"/>
      <c r="AR14" s="270"/>
      <c r="AS14" s="230"/>
      <c r="AT14" s="230"/>
      <c r="AU14" s="230"/>
      <c r="AV14" s="230"/>
      <c r="AW14" s="230"/>
      <c r="AX14" s="271"/>
    </row>
    <row r="15" spans="1:50" x14ac:dyDescent="0.3">
      <c r="A15" s="300" t="s">
        <v>170</v>
      </c>
      <c r="B15" s="301"/>
      <c r="C15" s="301"/>
      <c r="D15" s="302"/>
      <c r="E15" s="338" t="s">
        <v>265</v>
      </c>
      <c r="F15" s="339"/>
      <c r="G15" s="339"/>
      <c r="H15" s="339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39"/>
      <c r="U15" s="339"/>
      <c r="V15" s="340"/>
      <c r="W15" s="191" t="s">
        <v>519</v>
      </c>
      <c r="X15" s="192"/>
      <c r="Y15" s="192"/>
      <c r="Z15" s="192"/>
      <c r="AA15" s="192"/>
      <c r="AB15" s="192"/>
      <c r="AC15" s="217"/>
      <c r="AD15" s="191" t="s">
        <v>524</v>
      </c>
      <c r="AE15" s="192"/>
      <c r="AF15" s="192"/>
      <c r="AG15" s="192"/>
      <c r="AH15" s="192"/>
      <c r="AI15" s="192"/>
      <c r="AJ15" s="217"/>
      <c r="AK15" s="191"/>
      <c r="AL15" s="192"/>
      <c r="AM15" s="192"/>
      <c r="AN15" s="192"/>
      <c r="AO15" s="192"/>
      <c r="AP15" s="192"/>
      <c r="AQ15" s="217"/>
      <c r="AR15" s="191"/>
      <c r="AS15" s="192"/>
      <c r="AT15" s="192"/>
      <c r="AU15" s="192"/>
      <c r="AV15" s="192"/>
      <c r="AW15" s="192"/>
      <c r="AX15" s="217"/>
    </row>
    <row r="16" spans="1:50" x14ac:dyDescent="0.3">
      <c r="A16" s="300" t="s">
        <v>171</v>
      </c>
      <c r="B16" s="301"/>
      <c r="C16" s="301"/>
      <c r="D16" s="302"/>
      <c r="E16" s="338" t="s">
        <v>459</v>
      </c>
      <c r="F16" s="339"/>
      <c r="G16" s="339"/>
      <c r="H16" s="339"/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39"/>
      <c r="U16" s="339"/>
      <c r="V16" s="340"/>
      <c r="W16" s="191" t="s">
        <v>520</v>
      </c>
      <c r="X16" s="192"/>
      <c r="Y16" s="192"/>
      <c r="Z16" s="192"/>
      <c r="AA16" s="192"/>
      <c r="AB16" s="192"/>
      <c r="AC16" s="217"/>
      <c r="AD16" s="191" t="s">
        <v>525</v>
      </c>
      <c r="AE16" s="192"/>
      <c r="AF16" s="192"/>
      <c r="AG16" s="192"/>
      <c r="AH16" s="192"/>
      <c r="AI16" s="192"/>
      <c r="AJ16" s="217"/>
      <c r="AK16" s="191"/>
      <c r="AL16" s="192"/>
      <c r="AM16" s="192"/>
      <c r="AN16" s="192"/>
      <c r="AO16" s="192"/>
      <c r="AP16" s="192"/>
      <c r="AQ16" s="217"/>
      <c r="AR16" s="191"/>
      <c r="AS16" s="192"/>
      <c r="AT16" s="192"/>
      <c r="AU16" s="192"/>
      <c r="AV16" s="192"/>
      <c r="AW16" s="192"/>
      <c r="AX16" s="217"/>
    </row>
    <row r="17" spans="1:50" x14ac:dyDescent="0.3">
      <c r="A17" s="300" t="s">
        <v>172</v>
      </c>
      <c r="B17" s="301"/>
      <c r="C17" s="301"/>
      <c r="D17" s="302"/>
      <c r="E17" s="495" t="s">
        <v>460</v>
      </c>
      <c r="F17" s="496"/>
      <c r="G17" s="496"/>
      <c r="H17" s="496"/>
      <c r="I17" s="496"/>
      <c r="J17" s="496"/>
      <c r="K17" s="496"/>
      <c r="L17" s="496"/>
      <c r="M17" s="496"/>
      <c r="N17" s="496"/>
      <c r="O17" s="496"/>
      <c r="P17" s="496"/>
      <c r="Q17" s="496"/>
      <c r="R17" s="496"/>
      <c r="S17" s="496"/>
      <c r="T17" s="496"/>
      <c r="U17" s="496"/>
      <c r="V17" s="497"/>
      <c r="W17" s="191" t="s">
        <v>521</v>
      </c>
      <c r="X17" s="192"/>
      <c r="Y17" s="192"/>
      <c r="Z17" s="192"/>
      <c r="AA17" s="192"/>
      <c r="AB17" s="192"/>
      <c r="AC17" s="217"/>
      <c r="AD17" s="191" t="s">
        <v>526</v>
      </c>
      <c r="AE17" s="192"/>
      <c r="AF17" s="192"/>
      <c r="AG17" s="192"/>
      <c r="AH17" s="192"/>
      <c r="AI17" s="192"/>
      <c r="AJ17" s="217"/>
      <c r="AK17" s="191"/>
      <c r="AL17" s="192"/>
      <c r="AM17" s="192"/>
      <c r="AN17" s="192"/>
      <c r="AO17" s="192"/>
      <c r="AP17" s="192"/>
      <c r="AQ17" s="217"/>
      <c r="AR17" s="191"/>
      <c r="AS17" s="192"/>
      <c r="AT17" s="192"/>
      <c r="AU17" s="192"/>
      <c r="AV17" s="192"/>
      <c r="AW17" s="192"/>
      <c r="AX17" s="217"/>
    </row>
    <row r="18" spans="1:50" ht="10.8" thickBot="1" x14ac:dyDescent="0.35">
      <c r="A18" s="300" t="s">
        <v>770</v>
      </c>
      <c r="B18" s="301"/>
      <c r="C18" s="301"/>
      <c r="D18" s="302"/>
      <c r="E18" s="495" t="s">
        <v>625</v>
      </c>
      <c r="F18" s="496"/>
      <c r="G18" s="496"/>
      <c r="H18" s="496"/>
      <c r="I18" s="496"/>
      <c r="J18" s="496"/>
      <c r="K18" s="496"/>
      <c r="L18" s="496"/>
      <c r="M18" s="496"/>
      <c r="N18" s="496"/>
      <c r="O18" s="496"/>
      <c r="P18" s="496"/>
      <c r="Q18" s="496"/>
      <c r="R18" s="496"/>
      <c r="S18" s="496"/>
      <c r="T18" s="496"/>
      <c r="U18" s="496"/>
      <c r="V18" s="497"/>
      <c r="W18" s="191" t="s">
        <v>626</v>
      </c>
      <c r="X18" s="192"/>
      <c r="Y18" s="192"/>
      <c r="Z18" s="192"/>
      <c r="AA18" s="192"/>
      <c r="AB18" s="192"/>
      <c r="AC18" s="217"/>
      <c r="AD18" s="191" t="s">
        <v>627</v>
      </c>
      <c r="AE18" s="192"/>
      <c r="AF18" s="192"/>
      <c r="AG18" s="192"/>
      <c r="AH18" s="192"/>
      <c r="AI18" s="192"/>
      <c r="AJ18" s="217"/>
      <c r="AK18" s="191"/>
      <c r="AL18" s="192"/>
      <c r="AM18" s="192"/>
      <c r="AN18" s="192"/>
      <c r="AO18" s="192"/>
      <c r="AP18" s="192"/>
      <c r="AQ18" s="217"/>
      <c r="AR18" s="191"/>
      <c r="AS18" s="192"/>
      <c r="AT18" s="192"/>
      <c r="AU18" s="192"/>
      <c r="AV18" s="192"/>
      <c r="AW18" s="192"/>
      <c r="AX18" s="217"/>
    </row>
    <row r="19" spans="1:50" ht="15.75" customHeight="1" thickBot="1" x14ac:dyDescent="0.35">
      <c r="A19" s="492" t="s">
        <v>116</v>
      </c>
      <c r="B19" s="493"/>
      <c r="C19" s="493"/>
      <c r="D19" s="494"/>
      <c r="E19" s="181" t="s">
        <v>517</v>
      </c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3"/>
      <c r="W19" s="327" t="s">
        <v>522</v>
      </c>
      <c r="X19" s="326"/>
      <c r="Y19" s="326"/>
      <c r="Z19" s="326"/>
      <c r="AA19" s="326"/>
      <c r="AB19" s="326"/>
      <c r="AC19" s="328"/>
      <c r="AD19" s="480"/>
      <c r="AE19" s="481"/>
      <c r="AF19" s="481"/>
      <c r="AG19" s="481"/>
      <c r="AH19" s="481"/>
      <c r="AI19" s="481"/>
      <c r="AJ19" s="482"/>
      <c r="AK19" s="327" t="s">
        <v>576</v>
      </c>
      <c r="AL19" s="326"/>
      <c r="AM19" s="326"/>
      <c r="AN19" s="326"/>
      <c r="AO19" s="326"/>
      <c r="AP19" s="326"/>
      <c r="AQ19" s="328"/>
      <c r="AR19" s="327"/>
      <c r="AS19" s="326"/>
      <c r="AT19" s="326"/>
      <c r="AU19" s="326"/>
      <c r="AV19" s="326"/>
      <c r="AW19" s="326"/>
      <c r="AX19" s="328"/>
    </row>
    <row r="20" spans="1:50" ht="10.8" thickBot="1" x14ac:dyDescent="0.35">
      <c r="A20" s="171" t="s">
        <v>152</v>
      </c>
      <c r="B20" s="172"/>
      <c r="C20" s="172"/>
      <c r="D20" s="173"/>
      <c r="E20" s="181" t="s">
        <v>223</v>
      </c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3"/>
      <c r="W20" s="327" t="e">
        <f>+W14+W19</f>
        <v>#VALUE!</v>
      </c>
      <c r="X20" s="326"/>
      <c r="Y20" s="326"/>
      <c r="Z20" s="326"/>
      <c r="AA20" s="326"/>
      <c r="AB20" s="326"/>
      <c r="AC20" s="328"/>
      <c r="AD20" s="327" t="str">
        <f>+AD14</f>
        <v>N° compte 29</v>
      </c>
      <c r="AE20" s="326"/>
      <c r="AF20" s="326"/>
      <c r="AG20" s="326"/>
      <c r="AH20" s="326"/>
      <c r="AI20" s="326"/>
      <c r="AJ20" s="328"/>
      <c r="AK20" s="327" t="e">
        <f>+AK14+AK19</f>
        <v>#VALUE!</v>
      </c>
      <c r="AL20" s="326"/>
      <c r="AM20" s="326"/>
      <c r="AN20" s="326"/>
      <c r="AO20" s="326"/>
      <c r="AP20" s="326"/>
      <c r="AQ20" s="328"/>
      <c r="AR20" s="327">
        <f>+AR14+AR19</f>
        <v>0</v>
      </c>
      <c r="AS20" s="326"/>
      <c r="AT20" s="326"/>
      <c r="AU20" s="326"/>
      <c r="AV20" s="326"/>
      <c r="AW20" s="326"/>
      <c r="AX20" s="328"/>
    </row>
  </sheetData>
  <mergeCells count="59">
    <mergeCell ref="AR20:AX20"/>
    <mergeCell ref="W17:AC17"/>
    <mergeCell ref="AD17:AJ17"/>
    <mergeCell ref="A14:D14"/>
    <mergeCell ref="A15:D15"/>
    <mergeCell ref="A16:D16"/>
    <mergeCell ref="W14:AC14"/>
    <mergeCell ref="W15:AC15"/>
    <mergeCell ref="W16:AC16"/>
    <mergeCell ref="E14:V14"/>
    <mergeCell ref="E16:V16"/>
    <mergeCell ref="A20:D20"/>
    <mergeCell ref="E20:V20"/>
    <mergeCell ref="E15:V15"/>
    <mergeCell ref="A17:D17"/>
    <mergeCell ref="E17:V17"/>
    <mergeCell ref="A19:D19"/>
    <mergeCell ref="E19:V19"/>
    <mergeCell ref="AK10:AQ12"/>
    <mergeCell ref="AR10:AX12"/>
    <mergeCell ref="AD13:AJ13"/>
    <mergeCell ref="AK13:AQ13"/>
    <mergeCell ref="AD14:AJ14"/>
    <mergeCell ref="AK14:AQ14"/>
    <mergeCell ref="AR13:AX13"/>
    <mergeCell ref="A18:D18"/>
    <mergeCell ref="E18:V18"/>
    <mergeCell ref="W18:AC18"/>
    <mergeCell ref="AD18:AJ18"/>
    <mergeCell ref="AK18:AQ18"/>
    <mergeCell ref="AR18:AX18"/>
    <mergeCell ref="E7:L7"/>
    <mergeCell ref="AI7:AJ7"/>
    <mergeCell ref="W13:AC13"/>
    <mergeCell ref="A10:D13"/>
    <mergeCell ref="E10:V13"/>
    <mergeCell ref="W10:AC12"/>
    <mergeCell ref="AD10:AJ12"/>
    <mergeCell ref="A1:AX1"/>
    <mergeCell ref="A2:AX2"/>
    <mergeCell ref="N4:R4"/>
    <mergeCell ref="S4:AE4"/>
    <mergeCell ref="D4:I4"/>
    <mergeCell ref="W20:AC20"/>
    <mergeCell ref="AK17:AQ17"/>
    <mergeCell ref="AR17:AX17"/>
    <mergeCell ref="AD16:AJ16"/>
    <mergeCell ref="AR14:AX14"/>
    <mergeCell ref="AR15:AX15"/>
    <mergeCell ref="AR16:AX16"/>
    <mergeCell ref="AD15:AJ15"/>
    <mergeCell ref="AK15:AQ15"/>
    <mergeCell ref="AK16:AQ16"/>
    <mergeCell ref="AR19:AX19"/>
    <mergeCell ref="W19:AC19"/>
    <mergeCell ref="AD19:AJ19"/>
    <mergeCell ref="AK19:AQ19"/>
    <mergeCell ref="AD20:AJ20"/>
    <mergeCell ref="AK20:AQ20"/>
  </mergeCells>
  <pageMargins left="0.54" right="0.66" top="0.74803149606299213" bottom="0.74803149606299213" header="0.31496062992125984" footer="0.31496062992125984"/>
  <pageSetup paperSize="9" scale="7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BC39"/>
  <sheetViews>
    <sheetView showGridLines="0" view="pageBreakPreview" zoomScaleNormal="100" zoomScaleSheetLayoutView="100" workbookViewId="0">
      <selection activeCell="A37" sqref="A37:D37"/>
    </sheetView>
  </sheetViews>
  <sheetFormatPr baseColWidth="10" defaultColWidth="3.44140625" defaultRowHeight="10.199999999999999" x14ac:dyDescent="0.3"/>
  <cols>
    <col min="1" max="3" width="3.44140625" style="1"/>
    <col min="4" max="4" width="3.33203125" style="1" customWidth="1"/>
    <col min="5" max="14" width="3.44140625" style="1"/>
    <col min="15" max="15" width="0.77734375" style="1" customWidth="1"/>
    <col min="16" max="16" width="3.44140625" style="1"/>
    <col min="17" max="17" width="1.44140625" style="1" customWidth="1"/>
    <col min="18" max="18" width="0.44140625" style="1" customWidth="1"/>
    <col min="19" max="19" width="3.44140625" style="1"/>
    <col min="20" max="20" width="0.77734375" style="1" customWidth="1"/>
    <col min="21" max="54" width="3.44140625" style="1"/>
    <col min="55" max="55" width="1.5546875" style="1" customWidth="1"/>
    <col min="56" max="16384" width="3.44140625" style="1"/>
  </cols>
  <sheetData>
    <row r="1" spans="1:55" x14ac:dyDescent="0.3">
      <c r="A1" s="214" t="s">
        <v>363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6"/>
    </row>
    <row r="2" spans="1:55" ht="10.8" thickBot="1" x14ac:dyDescent="0.35">
      <c r="A2" s="120" t="s">
        <v>36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215"/>
    </row>
    <row r="3" spans="1:55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3"/>
    </row>
    <row r="4" spans="1:55" ht="15" customHeight="1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158" t="s">
        <v>125</v>
      </c>
      <c r="M4" s="158"/>
      <c r="N4" s="158"/>
      <c r="O4" s="158"/>
      <c r="P4" s="158"/>
      <c r="Q4" s="158"/>
      <c r="R4" s="502"/>
      <c r="S4" s="155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7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6"/>
    </row>
    <row r="5" spans="1:55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6"/>
    </row>
    <row r="6" spans="1:55" x14ac:dyDescent="0.2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6"/>
    </row>
    <row r="7" spans="1:55" x14ac:dyDescent="0.2">
      <c r="A7" s="24"/>
      <c r="B7" s="25"/>
      <c r="C7" s="25"/>
      <c r="D7" s="25"/>
      <c r="E7" s="27" t="s">
        <v>128</v>
      </c>
      <c r="F7" s="27" t="s">
        <v>128</v>
      </c>
      <c r="G7" s="27" t="s">
        <v>128</v>
      </c>
      <c r="H7" s="27" t="s">
        <v>128</v>
      </c>
      <c r="I7" s="27" t="s">
        <v>127</v>
      </c>
      <c r="J7" s="27" t="s">
        <v>127</v>
      </c>
      <c r="K7" s="27" t="s">
        <v>126</v>
      </c>
      <c r="L7" s="27" t="s">
        <v>126</v>
      </c>
      <c r="M7" s="25"/>
      <c r="N7" s="25"/>
      <c r="O7" s="25"/>
      <c r="P7" s="25"/>
      <c r="Q7" s="27"/>
      <c r="R7" s="27"/>
      <c r="S7" s="27"/>
      <c r="T7" s="27"/>
      <c r="U7" s="27"/>
      <c r="V7" s="25"/>
      <c r="W7" s="27"/>
      <c r="X7" s="25"/>
      <c r="Y7" s="25"/>
      <c r="Z7" s="27" t="s">
        <v>255</v>
      </c>
      <c r="AA7" s="27" t="s">
        <v>261</v>
      </c>
      <c r="AB7" s="27"/>
      <c r="AC7" s="25"/>
      <c r="AD7" s="25"/>
      <c r="AE7" s="25"/>
      <c r="AF7" s="25"/>
      <c r="AG7" s="25"/>
      <c r="AH7" s="25"/>
      <c r="AI7" s="27">
        <v>1</v>
      </c>
      <c r="AJ7" s="27">
        <v>6</v>
      </c>
      <c r="AK7" s="25"/>
      <c r="AL7" s="25"/>
      <c r="AM7" s="25"/>
      <c r="AN7" s="25"/>
      <c r="AO7" s="27" t="s">
        <v>258</v>
      </c>
      <c r="AP7" s="25"/>
      <c r="AQ7" s="25"/>
      <c r="AR7" s="25"/>
      <c r="AS7" s="27"/>
      <c r="AT7" s="49"/>
      <c r="AU7" s="49"/>
      <c r="AV7" s="49"/>
      <c r="AW7" s="49"/>
      <c r="AX7" s="49"/>
      <c r="AY7" s="25"/>
      <c r="AZ7" s="25"/>
      <c r="BA7" s="25"/>
      <c r="BB7" s="25"/>
      <c r="BC7" s="26"/>
    </row>
    <row r="8" spans="1:55" x14ac:dyDescent="0.2">
      <c r="A8" s="24"/>
      <c r="B8" s="25"/>
      <c r="C8" s="25"/>
      <c r="D8" s="25"/>
      <c r="E8" s="159" t="s">
        <v>129</v>
      </c>
      <c r="F8" s="159"/>
      <c r="G8" s="159"/>
      <c r="H8" s="159"/>
      <c r="I8" s="159"/>
      <c r="J8" s="159"/>
      <c r="K8" s="159"/>
      <c r="L8" s="159"/>
      <c r="M8" s="19"/>
      <c r="N8" s="25"/>
      <c r="O8" s="25"/>
      <c r="P8" s="25"/>
      <c r="Q8" s="25"/>
      <c r="R8" s="25"/>
      <c r="S8" s="33" t="s">
        <v>130</v>
      </c>
      <c r="T8" s="33"/>
      <c r="U8" s="25"/>
      <c r="V8" s="25"/>
      <c r="W8" s="25" t="s">
        <v>244</v>
      </c>
      <c r="X8" s="25"/>
      <c r="Y8" s="25"/>
      <c r="Z8" s="25"/>
      <c r="AA8" s="19" t="s">
        <v>245</v>
      </c>
      <c r="AB8" s="25"/>
      <c r="AC8" s="25"/>
      <c r="AD8" s="25"/>
      <c r="AE8" s="25"/>
      <c r="AF8" s="25"/>
      <c r="AG8" s="25"/>
      <c r="AH8" s="25"/>
      <c r="AI8" s="159" t="s">
        <v>131</v>
      </c>
      <c r="AJ8" s="159"/>
      <c r="AK8" s="25"/>
      <c r="AL8" s="25"/>
      <c r="AM8" s="25"/>
      <c r="AN8" s="25"/>
      <c r="AO8" s="19" t="s">
        <v>246</v>
      </c>
      <c r="AP8" s="25"/>
      <c r="AQ8" s="25"/>
      <c r="AR8" s="25"/>
      <c r="AS8" s="19" t="s">
        <v>263</v>
      </c>
      <c r="AT8" s="19"/>
      <c r="AU8" s="19"/>
      <c r="AV8" s="19"/>
      <c r="AW8" s="19"/>
      <c r="AX8" s="19"/>
      <c r="AY8" s="25"/>
      <c r="AZ8" s="25"/>
      <c r="BA8" s="25"/>
      <c r="BB8" s="25"/>
      <c r="BC8" s="26"/>
    </row>
    <row r="9" spans="1:55" ht="10.8" thickBo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5"/>
      <c r="AU9" s="25"/>
      <c r="AV9" s="25"/>
      <c r="AW9" s="25"/>
      <c r="AX9" s="25"/>
      <c r="AY9" s="25"/>
      <c r="AZ9" s="25"/>
      <c r="BA9" s="25"/>
      <c r="BB9" s="25"/>
      <c r="BC9" s="25"/>
    </row>
    <row r="10" spans="1:55" ht="15" customHeight="1" x14ac:dyDescent="0.3">
      <c r="A10" s="125" t="s">
        <v>761</v>
      </c>
      <c r="B10" s="126"/>
      <c r="C10" s="126"/>
      <c r="D10" s="127"/>
      <c r="E10" s="143" t="s">
        <v>14</v>
      </c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5"/>
      <c r="U10" s="143" t="s">
        <v>482</v>
      </c>
      <c r="V10" s="144"/>
      <c r="W10" s="144"/>
      <c r="X10" s="144"/>
      <c r="Y10" s="145"/>
      <c r="Z10" s="143" t="s">
        <v>469</v>
      </c>
      <c r="AA10" s="144"/>
      <c r="AB10" s="144"/>
      <c r="AC10" s="144"/>
      <c r="AD10" s="145"/>
      <c r="AE10" s="143" t="s">
        <v>470</v>
      </c>
      <c r="AF10" s="144"/>
      <c r="AG10" s="144"/>
      <c r="AH10" s="144"/>
      <c r="AI10" s="145"/>
      <c r="AJ10" s="143" t="s">
        <v>471</v>
      </c>
      <c r="AK10" s="144"/>
      <c r="AL10" s="144"/>
      <c r="AM10" s="144"/>
      <c r="AN10" s="145"/>
      <c r="AO10" s="143" t="s">
        <v>472</v>
      </c>
      <c r="AP10" s="144"/>
      <c r="AQ10" s="144"/>
      <c r="AR10" s="144"/>
      <c r="AS10" s="145"/>
      <c r="AT10" s="143" t="s">
        <v>473</v>
      </c>
      <c r="AU10" s="144"/>
      <c r="AV10" s="144"/>
      <c r="AW10" s="144"/>
      <c r="AX10" s="145"/>
      <c r="AY10" s="143" t="s">
        <v>540</v>
      </c>
      <c r="AZ10" s="144"/>
      <c r="BA10" s="144"/>
      <c r="BB10" s="144"/>
      <c r="BC10" s="145"/>
    </row>
    <row r="11" spans="1:55" ht="15" customHeight="1" thickBot="1" x14ac:dyDescent="0.35">
      <c r="A11" s="125"/>
      <c r="B11" s="126"/>
      <c r="C11" s="126"/>
      <c r="D11" s="127"/>
      <c r="E11" s="146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8"/>
      <c r="U11" s="146"/>
      <c r="V11" s="147"/>
      <c r="W11" s="147"/>
      <c r="X11" s="147"/>
      <c r="Y11" s="148"/>
      <c r="Z11" s="146"/>
      <c r="AA11" s="147"/>
      <c r="AB11" s="147"/>
      <c r="AC11" s="147"/>
      <c r="AD11" s="148"/>
      <c r="AE11" s="146"/>
      <c r="AF11" s="147"/>
      <c r="AG11" s="147"/>
      <c r="AH11" s="147"/>
      <c r="AI11" s="148"/>
      <c r="AJ11" s="146"/>
      <c r="AK11" s="147"/>
      <c r="AL11" s="147"/>
      <c r="AM11" s="147"/>
      <c r="AN11" s="148"/>
      <c r="AO11" s="146"/>
      <c r="AP11" s="147"/>
      <c r="AQ11" s="147"/>
      <c r="AR11" s="147"/>
      <c r="AS11" s="148"/>
      <c r="AT11" s="146"/>
      <c r="AU11" s="147"/>
      <c r="AV11" s="147"/>
      <c r="AW11" s="147"/>
      <c r="AX11" s="148"/>
      <c r="AY11" s="146"/>
      <c r="AZ11" s="147"/>
      <c r="BA11" s="147"/>
      <c r="BB11" s="147"/>
      <c r="BC11" s="148"/>
    </row>
    <row r="12" spans="1:55" ht="15.75" customHeight="1" thickBot="1" x14ac:dyDescent="0.35">
      <c r="A12" s="128"/>
      <c r="B12" s="129"/>
      <c r="C12" s="129"/>
      <c r="D12" s="130"/>
      <c r="E12" s="149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1"/>
      <c r="U12" s="153">
        <v>1</v>
      </c>
      <c r="V12" s="153"/>
      <c r="W12" s="153"/>
      <c r="X12" s="153"/>
      <c r="Y12" s="154"/>
      <c r="Z12" s="152">
        <v>2</v>
      </c>
      <c r="AA12" s="153"/>
      <c r="AB12" s="153"/>
      <c r="AC12" s="153"/>
      <c r="AD12" s="154"/>
      <c r="AE12" s="152">
        <v>3</v>
      </c>
      <c r="AF12" s="153"/>
      <c r="AG12" s="153"/>
      <c r="AH12" s="153"/>
      <c r="AI12" s="154"/>
      <c r="AJ12" s="152">
        <v>4</v>
      </c>
      <c r="AK12" s="153"/>
      <c r="AL12" s="153"/>
      <c r="AM12" s="153"/>
      <c r="AN12" s="154"/>
      <c r="AO12" s="152">
        <v>5</v>
      </c>
      <c r="AP12" s="153"/>
      <c r="AQ12" s="153"/>
      <c r="AR12" s="153"/>
      <c r="AS12" s="154"/>
      <c r="AT12" s="152">
        <v>6</v>
      </c>
      <c r="AU12" s="153"/>
      <c r="AV12" s="153"/>
      <c r="AW12" s="153"/>
      <c r="AX12" s="154"/>
      <c r="AY12" s="152">
        <v>7</v>
      </c>
      <c r="AZ12" s="153"/>
      <c r="BA12" s="153"/>
      <c r="BB12" s="153"/>
      <c r="BC12" s="154"/>
    </row>
    <row r="13" spans="1:55" x14ac:dyDescent="0.3">
      <c r="A13" s="458" t="s">
        <v>169</v>
      </c>
      <c r="B13" s="459"/>
      <c r="C13" s="459"/>
      <c r="D13" s="459"/>
      <c r="E13" s="347" t="s">
        <v>516</v>
      </c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7"/>
      <c r="U13" s="499">
        <f>U14+U15+U16</f>
        <v>0</v>
      </c>
      <c r="V13" s="500"/>
      <c r="W13" s="500"/>
      <c r="X13" s="500"/>
      <c r="Y13" s="501"/>
      <c r="Z13" s="499">
        <f t="shared" ref="Z13" si="0">Z14+Z15+Z16</f>
        <v>0</v>
      </c>
      <c r="AA13" s="500"/>
      <c r="AB13" s="500"/>
      <c r="AC13" s="500"/>
      <c r="AD13" s="501"/>
      <c r="AE13" s="499">
        <f t="shared" ref="AE13" si="1">AE14+AE15+AE16</f>
        <v>0</v>
      </c>
      <c r="AF13" s="500"/>
      <c r="AG13" s="500"/>
      <c r="AH13" s="500"/>
      <c r="AI13" s="501"/>
      <c r="AJ13" s="499">
        <f t="shared" ref="AJ13" si="2">AJ14+AJ15+AJ16</f>
        <v>0</v>
      </c>
      <c r="AK13" s="500"/>
      <c r="AL13" s="500"/>
      <c r="AM13" s="500"/>
      <c r="AN13" s="501"/>
      <c r="AO13" s="499">
        <f t="shared" ref="AO13" si="3">AO14+AO15+AO16</f>
        <v>0</v>
      </c>
      <c r="AP13" s="500"/>
      <c r="AQ13" s="500"/>
      <c r="AR13" s="500"/>
      <c r="AS13" s="501"/>
      <c r="AT13" s="499">
        <f t="shared" ref="AT13" si="4">AT14+AT15+AT16</f>
        <v>0</v>
      </c>
      <c r="AU13" s="500"/>
      <c r="AV13" s="500"/>
      <c r="AW13" s="500"/>
      <c r="AX13" s="501"/>
      <c r="AY13" s="499">
        <f>SUM(U13:AX13)</f>
        <v>0</v>
      </c>
      <c r="AZ13" s="500"/>
      <c r="BA13" s="500"/>
      <c r="BB13" s="500"/>
      <c r="BC13" s="501"/>
    </row>
    <row r="14" spans="1:55" x14ac:dyDescent="0.3">
      <c r="A14" s="300" t="s">
        <v>170</v>
      </c>
      <c r="B14" s="301"/>
      <c r="C14" s="301"/>
      <c r="D14" s="301"/>
      <c r="E14" s="338" t="s">
        <v>236</v>
      </c>
      <c r="F14" s="339"/>
      <c r="G14" s="339"/>
      <c r="H14" s="339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39"/>
      <c r="T14" s="340"/>
      <c r="U14" s="115"/>
      <c r="V14" s="116"/>
      <c r="W14" s="116"/>
      <c r="X14" s="116"/>
      <c r="Y14" s="117"/>
      <c r="Z14" s="115"/>
      <c r="AA14" s="116"/>
      <c r="AB14" s="116"/>
      <c r="AC14" s="116"/>
      <c r="AD14" s="117"/>
      <c r="AE14" s="115"/>
      <c r="AF14" s="116"/>
      <c r="AG14" s="116"/>
      <c r="AH14" s="116"/>
      <c r="AI14" s="117"/>
      <c r="AJ14" s="115"/>
      <c r="AK14" s="116"/>
      <c r="AL14" s="116"/>
      <c r="AM14" s="116"/>
      <c r="AN14" s="117"/>
      <c r="AO14" s="115"/>
      <c r="AP14" s="116"/>
      <c r="AQ14" s="116"/>
      <c r="AR14" s="116"/>
      <c r="AS14" s="117"/>
      <c r="AT14" s="115"/>
      <c r="AU14" s="116"/>
      <c r="AV14" s="116"/>
      <c r="AW14" s="116"/>
      <c r="AX14" s="117"/>
      <c r="AY14" s="115"/>
      <c r="AZ14" s="116"/>
      <c r="BA14" s="116"/>
      <c r="BB14" s="116"/>
      <c r="BC14" s="117"/>
    </row>
    <row r="15" spans="1:55" x14ac:dyDescent="0.3">
      <c r="A15" s="300" t="s">
        <v>171</v>
      </c>
      <c r="B15" s="301"/>
      <c r="C15" s="301"/>
      <c r="D15" s="301"/>
      <c r="E15" s="495" t="s">
        <v>538</v>
      </c>
      <c r="F15" s="496"/>
      <c r="G15" s="496"/>
      <c r="H15" s="496"/>
      <c r="I15" s="496"/>
      <c r="J15" s="496"/>
      <c r="K15" s="496"/>
      <c r="L15" s="496"/>
      <c r="M15" s="496"/>
      <c r="N15" s="496"/>
      <c r="O15" s="496"/>
      <c r="P15" s="496"/>
      <c r="Q15" s="496"/>
      <c r="R15" s="496"/>
      <c r="S15" s="496"/>
      <c r="T15" s="497"/>
      <c r="U15" s="115"/>
      <c r="V15" s="116"/>
      <c r="W15" s="116"/>
      <c r="X15" s="116"/>
      <c r="Y15" s="117"/>
      <c r="Z15" s="115"/>
      <c r="AA15" s="116"/>
      <c r="AB15" s="116"/>
      <c r="AC15" s="116"/>
      <c r="AD15" s="117"/>
      <c r="AE15" s="115"/>
      <c r="AF15" s="116"/>
      <c r="AG15" s="116"/>
      <c r="AH15" s="116"/>
      <c r="AI15" s="117"/>
      <c r="AJ15" s="115"/>
      <c r="AK15" s="116"/>
      <c r="AL15" s="116"/>
      <c r="AM15" s="116"/>
      <c r="AN15" s="117"/>
      <c r="AO15" s="115"/>
      <c r="AP15" s="116"/>
      <c r="AQ15" s="116"/>
      <c r="AR15" s="116"/>
      <c r="AS15" s="117"/>
      <c r="AT15" s="115"/>
      <c r="AU15" s="116"/>
      <c r="AV15" s="116"/>
      <c r="AW15" s="116"/>
      <c r="AX15" s="117"/>
      <c r="AY15" s="115"/>
      <c r="AZ15" s="116"/>
      <c r="BA15" s="116"/>
      <c r="BB15" s="116"/>
      <c r="BC15" s="117"/>
    </row>
    <row r="16" spans="1:55" ht="10.8" thickBot="1" x14ac:dyDescent="0.35">
      <c r="A16" s="300" t="s">
        <v>172</v>
      </c>
      <c r="B16" s="301"/>
      <c r="C16" s="301"/>
      <c r="D16" s="301"/>
      <c r="E16" s="495" t="s">
        <v>539</v>
      </c>
      <c r="F16" s="496"/>
      <c r="G16" s="496"/>
      <c r="H16" s="496"/>
      <c r="I16" s="496"/>
      <c r="J16" s="496"/>
      <c r="K16" s="496"/>
      <c r="L16" s="496"/>
      <c r="M16" s="496"/>
      <c r="N16" s="496"/>
      <c r="O16" s="496"/>
      <c r="P16" s="496"/>
      <c r="Q16" s="496"/>
      <c r="R16" s="496"/>
      <c r="S16" s="496"/>
      <c r="T16" s="497"/>
      <c r="U16" s="115"/>
      <c r="V16" s="116"/>
      <c r="W16" s="116"/>
      <c r="X16" s="116"/>
      <c r="Y16" s="117"/>
      <c r="Z16" s="115"/>
      <c r="AA16" s="116"/>
      <c r="AB16" s="116"/>
      <c r="AC16" s="116"/>
      <c r="AD16" s="117"/>
      <c r="AE16" s="115"/>
      <c r="AF16" s="116"/>
      <c r="AG16" s="116"/>
      <c r="AH16" s="116"/>
      <c r="AI16" s="117"/>
      <c r="AJ16" s="115"/>
      <c r="AK16" s="116"/>
      <c r="AL16" s="116"/>
      <c r="AM16" s="116"/>
      <c r="AN16" s="117"/>
      <c r="AO16" s="115"/>
      <c r="AP16" s="116"/>
      <c r="AQ16" s="116"/>
      <c r="AR16" s="116"/>
      <c r="AS16" s="117"/>
      <c r="AT16" s="115"/>
      <c r="AU16" s="116"/>
      <c r="AV16" s="116"/>
      <c r="AW16" s="116"/>
      <c r="AX16" s="117"/>
      <c r="AY16" s="115"/>
      <c r="AZ16" s="116"/>
      <c r="BA16" s="116"/>
      <c r="BB16" s="116"/>
      <c r="BC16" s="117"/>
    </row>
    <row r="17" spans="1:55" ht="10.8" thickBot="1" x14ac:dyDescent="0.35">
      <c r="A17" s="492" t="s">
        <v>116</v>
      </c>
      <c r="B17" s="493"/>
      <c r="C17" s="493"/>
      <c r="D17" s="494"/>
      <c r="E17" s="181" t="s">
        <v>517</v>
      </c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3"/>
      <c r="U17" s="160"/>
      <c r="V17" s="161"/>
      <c r="W17" s="161"/>
      <c r="X17" s="161"/>
      <c r="Y17" s="162"/>
      <c r="Z17" s="160"/>
      <c r="AA17" s="161"/>
      <c r="AB17" s="161"/>
      <c r="AC17" s="161"/>
      <c r="AD17" s="162"/>
      <c r="AE17" s="160"/>
      <c r="AF17" s="161"/>
      <c r="AG17" s="161"/>
      <c r="AH17" s="161"/>
      <c r="AI17" s="162"/>
      <c r="AJ17" s="160"/>
      <c r="AK17" s="161"/>
      <c r="AL17" s="161"/>
      <c r="AM17" s="161"/>
      <c r="AN17" s="162"/>
      <c r="AO17" s="160"/>
      <c r="AP17" s="161"/>
      <c r="AQ17" s="161"/>
      <c r="AR17" s="161"/>
      <c r="AS17" s="162"/>
      <c r="AT17" s="160"/>
      <c r="AU17" s="161"/>
      <c r="AV17" s="161"/>
      <c r="AW17" s="161"/>
      <c r="AX17" s="162"/>
      <c r="AY17" s="160">
        <f>SUM(U17:AX17)</f>
        <v>0</v>
      </c>
      <c r="AZ17" s="161"/>
      <c r="BA17" s="161"/>
      <c r="BB17" s="161"/>
      <c r="BC17" s="162"/>
    </row>
    <row r="18" spans="1:55" ht="10.8" thickBot="1" x14ac:dyDescent="0.35">
      <c r="A18" s="171" t="s">
        <v>155</v>
      </c>
      <c r="B18" s="172"/>
      <c r="C18" s="172"/>
      <c r="D18" s="173"/>
      <c r="E18" s="181" t="s">
        <v>741</v>
      </c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3"/>
      <c r="U18" s="160">
        <f>U13+U17</f>
        <v>0</v>
      </c>
      <c r="V18" s="161"/>
      <c r="W18" s="161"/>
      <c r="X18" s="161"/>
      <c r="Y18" s="162"/>
      <c r="Z18" s="160">
        <f>Z13+Z17</f>
        <v>0</v>
      </c>
      <c r="AA18" s="161"/>
      <c r="AB18" s="161"/>
      <c r="AC18" s="161"/>
      <c r="AD18" s="162"/>
      <c r="AE18" s="160">
        <f>AE13+AE17</f>
        <v>0</v>
      </c>
      <c r="AF18" s="161"/>
      <c r="AG18" s="161"/>
      <c r="AH18" s="161"/>
      <c r="AI18" s="162"/>
      <c r="AJ18" s="160">
        <f>AJ13+AJ17</f>
        <v>0</v>
      </c>
      <c r="AK18" s="161"/>
      <c r="AL18" s="161"/>
      <c r="AM18" s="161"/>
      <c r="AN18" s="162"/>
      <c r="AO18" s="160">
        <f>AO13+AO17</f>
        <v>0</v>
      </c>
      <c r="AP18" s="161"/>
      <c r="AQ18" s="161"/>
      <c r="AR18" s="161"/>
      <c r="AS18" s="162"/>
      <c r="AT18" s="160">
        <f>AT13+AT17</f>
        <v>0</v>
      </c>
      <c r="AU18" s="161"/>
      <c r="AV18" s="161"/>
      <c r="AW18" s="161"/>
      <c r="AX18" s="162"/>
      <c r="AY18" s="160">
        <f>AY13+AY17</f>
        <v>0</v>
      </c>
      <c r="AZ18" s="161"/>
      <c r="BA18" s="161"/>
      <c r="BB18" s="161"/>
      <c r="BC18" s="162"/>
    </row>
    <row r="19" spans="1:55" ht="10.8" thickBot="1" x14ac:dyDescent="0.35">
      <c r="A19" s="171" t="s">
        <v>155</v>
      </c>
      <c r="B19" s="172"/>
      <c r="C19" s="172"/>
      <c r="D19" s="173"/>
      <c r="E19" s="181" t="s">
        <v>754</v>
      </c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3"/>
      <c r="U19" s="160"/>
      <c r="V19" s="161"/>
      <c r="W19" s="161"/>
      <c r="X19" s="161"/>
      <c r="Y19" s="162"/>
      <c r="Z19" s="160"/>
      <c r="AA19" s="161"/>
      <c r="AB19" s="161"/>
      <c r="AC19" s="161"/>
      <c r="AD19" s="162"/>
      <c r="AE19" s="160"/>
      <c r="AF19" s="161"/>
      <c r="AG19" s="161"/>
      <c r="AH19" s="161"/>
      <c r="AI19" s="162"/>
      <c r="AJ19" s="160"/>
      <c r="AK19" s="161"/>
      <c r="AL19" s="161"/>
      <c r="AM19" s="161"/>
      <c r="AN19" s="162"/>
      <c r="AO19" s="160"/>
      <c r="AP19" s="161"/>
      <c r="AQ19" s="161"/>
      <c r="AR19" s="161"/>
      <c r="AS19" s="162"/>
      <c r="AT19" s="160"/>
      <c r="AU19" s="161"/>
      <c r="AV19" s="161"/>
      <c r="AW19" s="161"/>
      <c r="AX19" s="162"/>
      <c r="AY19" s="160"/>
      <c r="AZ19" s="161"/>
      <c r="BA19" s="161"/>
      <c r="BB19" s="161"/>
      <c r="BC19" s="162"/>
    </row>
    <row r="20" spans="1:55" ht="10.8" thickBot="1" x14ac:dyDescent="0.35">
      <c r="A20" s="50"/>
      <c r="B20" s="50"/>
      <c r="C20" s="50"/>
      <c r="D20" s="50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</row>
    <row r="21" spans="1:55" x14ac:dyDescent="0.3">
      <c r="A21" s="214" t="s">
        <v>631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5"/>
      <c r="BB21" s="195"/>
      <c r="BC21" s="196"/>
    </row>
    <row r="22" spans="1:55" ht="10.8" thickBot="1" x14ac:dyDescent="0.35">
      <c r="A22" s="120" t="s">
        <v>36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215"/>
    </row>
    <row r="23" spans="1:55" x14ac:dyDescent="0.2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3"/>
    </row>
    <row r="24" spans="1:55" x14ac:dyDescent="0.2">
      <c r="A24" s="24"/>
      <c r="B24" s="25" t="s">
        <v>243</v>
      </c>
      <c r="C24" s="25"/>
      <c r="D24" s="155"/>
      <c r="E24" s="156"/>
      <c r="F24" s="156"/>
      <c r="G24" s="156"/>
      <c r="H24" s="156"/>
      <c r="I24" s="157"/>
      <c r="J24" s="25"/>
      <c r="K24" s="25"/>
      <c r="L24" s="25"/>
      <c r="M24" s="25"/>
      <c r="N24" s="158" t="s">
        <v>125</v>
      </c>
      <c r="O24" s="158"/>
      <c r="P24" s="158"/>
      <c r="Q24" s="158"/>
      <c r="R24" s="158"/>
      <c r="S24" s="155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7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6"/>
    </row>
    <row r="25" spans="1:55" x14ac:dyDescent="0.2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6"/>
    </row>
    <row r="26" spans="1:55" x14ac:dyDescent="0.2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6"/>
    </row>
    <row r="27" spans="1:55" x14ac:dyDescent="0.2">
      <c r="A27" s="24"/>
      <c r="B27" s="25"/>
      <c r="C27" s="25"/>
      <c r="D27" s="25"/>
      <c r="E27" s="27" t="s">
        <v>128</v>
      </c>
      <c r="F27" s="27" t="s">
        <v>128</v>
      </c>
      <c r="G27" s="27" t="s">
        <v>128</v>
      </c>
      <c r="H27" s="27" t="s">
        <v>128</v>
      </c>
      <c r="I27" s="27" t="s">
        <v>127</v>
      </c>
      <c r="J27" s="27" t="s">
        <v>127</v>
      </c>
      <c r="K27" s="27" t="s">
        <v>126</v>
      </c>
      <c r="L27" s="27" t="s">
        <v>126</v>
      </c>
      <c r="M27" s="25"/>
      <c r="N27" s="25"/>
      <c r="O27" s="25"/>
      <c r="P27" s="25"/>
      <c r="Q27" s="27"/>
      <c r="R27" s="27"/>
      <c r="S27" s="27"/>
      <c r="T27" s="27"/>
      <c r="U27" s="27"/>
      <c r="V27" s="25"/>
      <c r="W27" s="27"/>
      <c r="X27" s="25"/>
      <c r="Y27" s="25"/>
      <c r="Z27" s="27" t="s">
        <v>255</v>
      </c>
      <c r="AA27" s="27" t="s">
        <v>261</v>
      </c>
      <c r="AB27" s="27"/>
      <c r="AC27" s="25"/>
      <c r="AD27" s="25"/>
      <c r="AE27" s="25"/>
      <c r="AF27" s="25"/>
      <c r="AG27" s="25"/>
      <c r="AH27" s="25"/>
      <c r="AI27" s="27">
        <v>1</v>
      </c>
      <c r="AJ27" s="27">
        <v>6</v>
      </c>
      <c r="AK27" s="25"/>
      <c r="AL27" s="25"/>
      <c r="AM27" s="25"/>
      <c r="AN27" s="25"/>
      <c r="AO27" s="27" t="s">
        <v>258</v>
      </c>
      <c r="AP27" s="25"/>
      <c r="AQ27" s="25"/>
      <c r="AR27" s="25"/>
      <c r="AS27" s="27"/>
      <c r="AT27" s="49"/>
      <c r="AU27" s="49"/>
      <c r="AV27" s="49"/>
      <c r="AW27" s="49"/>
      <c r="AX27" s="49"/>
      <c r="AY27" s="25"/>
      <c r="AZ27" s="25"/>
      <c r="BA27" s="25"/>
      <c r="BB27" s="25"/>
      <c r="BC27" s="26"/>
    </row>
    <row r="28" spans="1:55" x14ac:dyDescent="0.2">
      <c r="A28" s="24"/>
      <c r="B28" s="25"/>
      <c r="C28" s="25"/>
      <c r="D28" s="25"/>
      <c r="E28" s="159" t="s">
        <v>129</v>
      </c>
      <c r="F28" s="159"/>
      <c r="G28" s="159"/>
      <c r="H28" s="159"/>
      <c r="I28" s="159"/>
      <c r="J28" s="159"/>
      <c r="K28" s="159"/>
      <c r="L28" s="159"/>
      <c r="M28" s="19"/>
      <c r="N28" s="25"/>
      <c r="O28" s="25"/>
      <c r="P28" s="25"/>
      <c r="Q28" s="25"/>
      <c r="R28" s="25"/>
      <c r="S28" s="33" t="s">
        <v>130</v>
      </c>
      <c r="T28" s="33"/>
      <c r="U28" s="25"/>
      <c r="V28" s="25"/>
      <c r="W28" s="25" t="s">
        <v>244</v>
      </c>
      <c r="X28" s="25"/>
      <c r="Y28" s="25"/>
      <c r="Z28" s="25"/>
      <c r="AA28" s="19" t="s">
        <v>245</v>
      </c>
      <c r="AB28" s="25"/>
      <c r="AC28" s="25"/>
      <c r="AD28" s="25"/>
      <c r="AE28" s="25"/>
      <c r="AF28" s="25"/>
      <c r="AG28" s="25"/>
      <c r="AH28" s="25"/>
      <c r="AI28" s="159" t="s">
        <v>131</v>
      </c>
      <c r="AJ28" s="159"/>
      <c r="AK28" s="25"/>
      <c r="AL28" s="25"/>
      <c r="AM28" s="25"/>
      <c r="AN28" s="25"/>
      <c r="AO28" s="19" t="s">
        <v>246</v>
      </c>
      <c r="AP28" s="25"/>
      <c r="AQ28" s="25"/>
      <c r="AR28" s="25"/>
      <c r="AS28" s="19" t="s">
        <v>263</v>
      </c>
      <c r="AT28" s="19"/>
      <c r="AU28" s="19"/>
      <c r="AV28" s="19"/>
      <c r="AW28" s="19"/>
      <c r="AX28" s="19"/>
      <c r="AY28" s="25"/>
      <c r="AZ28" s="25"/>
      <c r="BA28" s="25"/>
      <c r="BB28" s="25"/>
      <c r="BC28" s="26"/>
    </row>
    <row r="29" spans="1:55" ht="10.8" thickBo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5"/>
      <c r="AU29" s="25"/>
      <c r="AV29" s="25"/>
      <c r="AW29" s="25"/>
      <c r="AX29" s="25"/>
      <c r="AY29" s="25"/>
      <c r="AZ29" s="25"/>
      <c r="BA29" s="25"/>
      <c r="BB29" s="25"/>
      <c r="BC29" s="25"/>
    </row>
    <row r="30" spans="1:55" ht="12.75" customHeight="1" x14ac:dyDescent="0.3">
      <c r="A30" s="122" t="s">
        <v>761</v>
      </c>
      <c r="B30" s="123"/>
      <c r="C30" s="123"/>
      <c r="D30" s="124"/>
      <c r="E30" s="143" t="s">
        <v>618</v>
      </c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5"/>
      <c r="U30" s="143" t="s">
        <v>483</v>
      </c>
      <c r="V30" s="144"/>
      <c r="W30" s="144"/>
      <c r="X30" s="144"/>
      <c r="Y30" s="145"/>
      <c r="Z30" s="143" t="s">
        <v>469</v>
      </c>
      <c r="AA30" s="144"/>
      <c r="AB30" s="144"/>
      <c r="AC30" s="144"/>
      <c r="AD30" s="145"/>
      <c r="AE30" s="143" t="s">
        <v>474</v>
      </c>
      <c r="AF30" s="144"/>
      <c r="AG30" s="144"/>
      <c r="AH30" s="144"/>
      <c r="AI30" s="145"/>
      <c r="AJ30" s="143" t="s">
        <v>475</v>
      </c>
      <c r="AK30" s="144"/>
      <c r="AL30" s="144"/>
      <c r="AM30" s="144"/>
      <c r="AN30" s="145"/>
      <c r="AO30" s="143" t="s">
        <v>476</v>
      </c>
      <c r="AP30" s="144"/>
      <c r="AQ30" s="144"/>
      <c r="AR30" s="144"/>
      <c r="AS30" s="145"/>
      <c r="AT30" s="143" t="s">
        <v>473</v>
      </c>
      <c r="AU30" s="144"/>
      <c r="AV30" s="144"/>
      <c r="AW30" s="144"/>
      <c r="AX30" s="145"/>
      <c r="AY30" s="143" t="s">
        <v>1</v>
      </c>
      <c r="AZ30" s="144"/>
      <c r="BA30" s="144"/>
      <c r="BB30" s="144"/>
      <c r="BC30" s="145"/>
    </row>
    <row r="31" spans="1:55" ht="15" customHeight="1" thickBot="1" x14ac:dyDescent="0.35">
      <c r="A31" s="125"/>
      <c r="B31" s="126"/>
      <c r="C31" s="126"/>
      <c r="D31" s="127"/>
      <c r="E31" s="146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8"/>
      <c r="U31" s="146"/>
      <c r="V31" s="147"/>
      <c r="W31" s="147"/>
      <c r="X31" s="147"/>
      <c r="Y31" s="148"/>
      <c r="Z31" s="146"/>
      <c r="AA31" s="147"/>
      <c r="AB31" s="147"/>
      <c r="AC31" s="147"/>
      <c r="AD31" s="148"/>
      <c r="AE31" s="146"/>
      <c r="AF31" s="147"/>
      <c r="AG31" s="147"/>
      <c r="AH31" s="147"/>
      <c r="AI31" s="148"/>
      <c r="AJ31" s="146"/>
      <c r="AK31" s="147"/>
      <c r="AL31" s="147"/>
      <c r="AM31" s="147"/>
      <c r="AN31" s="148"/>
      <c r="AO31" s="146"/>
      <c r="AP31" s="147"/>
      <c r="AQ31" s="147"/>
      <c r="AR31" s="147"/>
      <c r="AS31" s="148"/>
      <c r="AT31" s="146"/>
      <c r="AU31" s="147"/>
      <c r="AV31" s="147"/>
      <c r="AW31" s="147"/>
      <c r="AX31" s="148"/>
      <c r="AY31" s="146"/>
      <c r="AZ31" s="147"/>
      <c r="BA31" s="147"/>
      <c r="BB31" s="147"/>
      <c r="BC31" s="148"/>
    </row>
    <row r="32" spans="1:55" ht="10.8" thickBot="1" x14ac:dyDescent="0.35">
      <c r="A32" s="128"/>
      <c r="B32" s="129"/>
      <c r="C32" s="129"/>
      <c r="D32" s="130"/>
      <c r="E32" s="149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1"/>
      <c r="U32" s="153">
        <v>8</v>
      </c>
      <c r="V32" s="153"/>
      <c r="W32" s="153"/>
      <c r="X32" s="153"/>
      <c r="Y32" s="154"/>
      <c r="Z32" s="152">
        <v>9</v>
      </c>
      <c r="AA32" s="153"/>
      <c r="AB32" s="153"/>
      <c r="AC32" s="153"/>
      <c r="AD32" s="154"/>
      <c r="AE32" s="152">
        <v>10</v>
      </c>
      <c r="AF32" s="153"/>
      <c r="AG32" s="153"/>
      <c r="AH32" s="153"/>
      <c r="AI32" s="154"/>
      <c r="AJ32" s="152">
        <v>11</v>
      </c>
      <c r="AK32" s="153"/>
      <c r="AL32" s="153"/>
      <c r="AM32" s="153"/>
      <c r="AN32" s="154"/>
      <c r="AO32" s="152">
        <v>12</v>
      </c>
      <c r="AP32" s="153"/>
      <c r="AQ32" s="153"/>
      <c r="AR32" s="153"/>
      <c r="AS32" s="154"/>
      <c r="AT32" s="152">
        <v>13</v>
      </c>
      <c r="AU32" s="153"/>
      <c r="AV32" s="153"/>
      <c r="AW32" s="153"/>
      <c r="AX32" s="154"/>
      <c r="AY32" s="152">
        <v>14</v>
      </c>
      <c r="AZ32" s="153"/>
      <c r="BA32" s="153"/>
      <c r="BB32" s="153"/>
      <c r="BC32" s="154"/>
    </row>
    <row r="33" spans="1:55" ht="15" customHeight="1" x14ac:dyDescent="0.3">
      <c r="A33" s="458" t="s">
        <v>362</v>
      </c>
      <c r="B33" s="459"/>
      <c r="C33" s="459"/>
      <c r="D33" s="459"/>
      <c r="E33" s="347" t="s">
        <v>735</v>
      </c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7"/>
      <c r="U33" s="499">
        <f>U34+U35+U36</f>
        <v>0</v>
      </c>
      <c r="V33" s="500"/>
      <c r="W33" s="500"/>
      <c r="X33" s="500"/>
      <c r="Y33" s="501"/>
      <c r="Z33" s="499">
        <f t="shared" ref="Z33" si="5">Z34+Z35+Z36</f>
        <v>0</v>
      </c>
      <c r="AA33" s="500"/>
      <c r="AB33" s="500"/>
      <c r="AC33" s="500"/>
      <c r="AD33" s="501"/>
      <c r="AE33" s="499">
        <f t="shared" ref="AE33" si="6">AE34+AE35+AE36</f>
        <v>0</v>
      </c>
      <c r="AF33" s="500"/>
      <c r="AG33" s="500"/>
      <c r="AH33" s="500"/>
      <c r="AI33" s="501"/>
      <c r="AJ33" s="499">
        <f t="shared" ref="AJ33" si="7">AJ34+AJ35+AJ36</f>
        <v>0</v>
      </c>
      <c r="AK33" s="500"/>
      <c r="AL33" s="500"/>
      <c r="AM33" s="500"/>
      <c r="AN33" s="501"/>
      <c r="AO33" s="499">
        <f t="shared" ref="AO33" si="8">AO34+AO35+AO36</f>
        <v>0</v>
      </c>
      <c r="AP33" s="500"/>
      <c r="AQ33" s="500"/>
      <c r="AR33" s="500"/>
      <c r="AS33" s="501"/>
      <c r="AT33" s="499">
        <f>AT34+AT35+AT36</f>
        <v>0</v>
      </c>
      <c r="AU33" s="500"/>
      <c r="AV33" s="500"/>
      <c r="AW33" s="500"/>
      <c r="AX33" s="501"/>
      <c r="AY33" s="499">
        <f>SUM(U33:AX33)</f>
        <v>0</v>
      </c>
      <c r="AZ33" s="500"/>
      <c r="BA33" s="500"/>
      <c r="BB33" s="500"/>
      <c r="BC33" s="501"/>
    </row>
    <row r="34" spans="1:55" x14ac:dyDescent="0.3">
      <c r="A34" s="300" t="s">
        <v>812</v>
      </c>
      <c r="B34" s="301"/>
      <c r="C34" s="301"/>
      <c r="D34" s="301"/>
      <c r="E34" s="338" t="s">
        <v>736</v>
      </c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40"/>
      <c r="U34" s="116">
        <f>0%*U14</f>
        <v>0</v>
      </c>
      <c r="V34" s="116"/>
      <c r="W34" s="116"/>
      <c r="X34" s="116"/>
      <c r="Y34" s="117"/>
      <c r="Z34" s="115">
        <f>25%*Z14</f>
        <v>0</v>
      </c>
      <c r="AA34" s="116"/>
      <c r="AB34" s="116"/>
      <c r="AC34" s="116"/>
      <c r="AD34" s="117"/>
      <c r="AE34" s="115">
        <f>50%*AE14</f>
        <v>0</v>
      </c>
      <c r="AF34" s="116"/>
      <c r="AG34" s="116"/>
      <c r="AH34" s="116"/>
      <c r="AI34" s="117"/>
      <c r="AJ34" s="115">
        <f>75%*AJ14</f>
        <v>0</v>
      </c>
      <c r="AK34" s="116"/>
      <c r="AL34" s="116"/>
      <c r="AM34" s="116"/>
      <c r="AN34" s="117"/>
      <c r="AO34" s="115">
        <f>75%*AO14</f>
        <v>0</v>
      </c>
      <c r="AP34" s="116"/>
      <c r="AQ34" s="116"/>
      <c r="AR34" s="116"/>
      <c r="AS34" s="117"/>
      <c r="AT34" s="115">
        <f>100%*AT14</f>
        <v>0</v>
      </c>
      <c r="AU34" s="197"/>
      <c r="AV34" s="197"/>
      <c r="AW34" s="197"/>
      <c r="AX34" s="117"/>
      <c r="AY34" s="115">
        <f t="shared" ref="AY34:AY37" si="9">SUM(U34:AX34)</f>
        <v>0</v>
      </c>
      <c r="AZ34" s="116"/>
      <c r="BA34" s="116"/>
      <c r="BB34" s="116"/>
      <c r="BC34" s="117"/>
    </row>
    <row r="35" spans="1:55" x14ac:dyDescent="0.3">
      <c r="A35" s="300" t="s">
        <v>813</v>
      </c>
      <c r="B35" s="301"/>
      <c r="C35" s="301"/>
      <c r="D35" s="301"/>
      <c r="E35" s="495" t="s">
        <v>737</v>
      </c>
      <c r="F35" s="496"/>
      <c r="G35" s="496"/>
      <c r="H35" s="496"/>
      <c r="I35" s="496"/>
      <c r="J35" s="496"/>
      <c r="K35" s="496"/>
      <c r="L35" s="496"/>
      <c r="M35" s="496"/>
      <c r="N35" s="496"/>
      <c r="O35" s="496"/>
      <c r="P35" s="496"/>
      <c r="Q35" s="496"/>
      <c r="R35" s="496"/>
      <c r="S35" s="496"/>
      <c r="T35" s="497"/>
      <c r="U35" s="116">
        <f>25%*U15</f>
        <v>0</v>
      </c>
      <c r="V35" s="116"/>
      <c r="W35" s="116"/>
      <c r="X35" s="116"/>
      <c r="Y35" s="117"/>
      <c r="Z35" s="116">
        <f>50%*Z15</f>
        <v>0</v>
      </c>
      <c r="AA35" s="116"/>
      <c r="AB35" s="116"/>
      <c r="AC35" s="116"/>
      <c r="AD35" s="117"/>
      <c r="AE35" s="116">
        <f>75%*AE15</f>
        <v>0</v>
      </c>
      <c r="AF35" s="116"/>
      <c r="AG35" s="116"/>
      <c r="AH35" s="116"/>
      <c r="AI35" s="117"/>
      <c r="AJ35" s="116">
        <f>100%*AJ15</f>
        <v>0</v>
      </c>
      <c r="AK35" s="116"/>
      <c r="AL35" s="116"/>
      <c r="AM35" s="116"/>
      <c r="AN35" s="117"/>
      <c r="AO35" s="116">
        <f>100%*AO15</f>
        <v>0</v>
      </c>
      <c r="AP35" s="116"/>
      <c r="AQ35" s="116"/>
      <c r="AR35" s="116"/>
      <c r="AS35" s="117"/>
      <c r="AT35" s="115">
        <f>100%*AT15</f>
        <v>0</v>
      </c>
      <c r="AU35" s="116"/>
      <c r="AV35" s="116"/>
      <c r="AW35" s="116"/>
      <c r="AX35" s="117"/>
      <c r="AY35" s="115">
        <f t="shared" si="9"/>
        <v>0</v>
      </c>
      <c r="AZ35" s="116"/>
      <c r="BA35" s="116"/>
      <c r="BB35" s="116"/>
      <c r="BC35" s="117"/>
    </row>
    <row r="36" spans="1:55" ht="10.8" thickBot="1" x14ac:dyDescent="0.35">
      <c r="A36" s="300" t="s">
        <v>814</v>
      </c>
      <c r="B36" s="301"/>
      <c r="C36" s="301"/>
      <c r="D36" s="301"/>
      <c r="E36" s="495" t="s">
        <v>738</v>
      </c>
      <c r="F36" s="496"/>
      <c r="G36" s="496"/>
      <c r="H36" s="496"/>
      <c r="I36" s="496"/>
      <c r="J36" s="496"/>
      <c r="K36" s="496"/>
      <c r="L36" s="496"/>
      <c r="M36" s="496"/>
      <c r="N36" s="496"/>
      <c r="O36" s="496"/>
      <c r="P36" s="496"/>
      <c r="Q36" s="496"/>
      <c r="R36" s="496"/>
      <c r="S36" s="496"/>
      <c r="T36" s="497"/>
      <c r="U36" s="116">
        <f>0%*U16</f>
        <v>0</v>
      </c>
      <c r="V36" s="116"/>
      <c r="W36" s="116"/>
      <c r="X36" s="116"/>
      <c r="Y36" s="117"/>
      <c r="Z36" s="115">
        <f>25%*Z16</f>
        <v>0</v>
      </c>
      <c r="AA36" s="116"/>
      <c r="AB36" s="116"/>
      <c r="AC36" s="116"/>
      <c r="AD36" s="117"/>
      <c r="AE36" s="115">
        <f>50%*AE16</f>
        <v>0</v>
      </c>
      <c r="AF36" s="116"/>
      <c r="AG36" s="116"/>
      <c r="AH36" s="116"/>
      <c r="AI36" s="117"/>
      <c r="AJ36" s="115">
        <f>75%*AJ16</f>
        <v>0</v>
      </c>
      <c r="AK36" s="116"/>
      <c r="AL36" s="116"/>
      <c r="AM36" s="116"/>
      <c r="AN36" s="117"/>
      <c r="AO36" s="115">
        <f>75%*AO16</f>
        <v>0</v>
      </c>
      <c r="AP36" s="116"/>
      <c r="AQ36" s="116"/>
      <c r="AR36" s="116"/>
      <c r="AS36" s="117"/>
      <c r="AT36" s="115">
        <f>100%*AT16</f>
        <v>0</v>
      </c>
      <c r="AU36" s="116"/>
      <c r="AV36" s="116"/>
      <c r="AW36" s="116"/>
      <c r="AX36" s="117"/>
      <c r="AY36" s="115">
        <f t="shared" si="9"/>
        <v>0</v>
      </c>
      <c r="AZ36" s="116"/>
      <c r="BA36" s="116"/>
      <c r="BB36" s="116"/>
      <c r="BC36" s="117"/>
    </row>
    <row r="37" spans="1:55" ht="15.75" customHeight="1" thickBot="1" x14ac:dyDescent="0.35">
      <c r="A37" s="492" t="s">
        <v>116</v>
      </c>
      <c r="B37" s="493"/>
      <c r="C37" s="493"/>
      <c r="D37" s="494"/>
      <c r="E37" s="181" t="s">
        <v>739</v>
      </c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3"/>
      <c r="U37" s="160">
        <f>0%*U17</f>
        <v>0</v>
      </c>
      <c r="V37" s="161"/>
      <c r="W37" s="161"/>
      <c r="X37" s="161"/>
      <c r="Y37" s="162"/>
      <c r="Z37" s="160">
        <f>25%*Z17</f>
        <v>0</v>
      </c>
      <c r="AA37" s="161"/>
      <c r="AB37" s="161"/>
      <c r="AC37" s="161"/>
      <c r="AD37" s="162"/>
      <c r="AE37" s="160">
        <f>50%*AE17</f>
        <v>0</v>
      </c>
      <c r="AF37" s="161"/>
      <c r="AG37" s="161"/>
      <c r="AH37" s="161"/>
      <c r="AI37" s="162"/>
      <c r="AJ37" s="160">
        <f>75%*AJ17</f>
        <v>0</v>
      </c>
      <c r="AK37" s="161"/>
      <c r="AL37" s="161"/>
      <c r="AM37" s="161"/>
      <c r="AN37" s="162"/>
      <c r="AO37" s="160">
        <f>75%*AO17</f>
        <v>0</v>
      </c>
      <c r="AP37" s="161"/>
      <c r="AQ37" s="161"/>
      <c r="AR37" s="161"/>
      <c r="AS37" s="162"/>
      <c r="AT37" s="160">
        <f>100%*AT17</f>
        <v>0</v>
      </c>
      <c r="AU37" s="161"/>
      <c r="AV37" s="161"/>
      <c r="AW37" s="161"/>
      <c r="AX37" s="162"/>
      <c r="AY37" s="160">
        <f t="shared" si="9"/>
        <v>0</v>
      </c>
      <c r="AZ37" s="161"/>
      <c r="BA37" s="161"/>
      <c r="BB37" s="161"/>
      <c r="BC37" s="162"/>
    </row>
    <row r="38" spans="1:55" ht="15.75" customHeight="1" thickBot="1" x14ac:dyDescent="0.35">
      <c r="A38" s="171" t="s">
        <v>239</v>
      </c>
      <c r="B38" s="172"/>
      <c r="C38" s="172"/>
      <c r="D38" s="173"/>
      <c r="E38" s="181" t="s">
        <v>740</v>
      </c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3"/>
      <c r="U38" s="160">
        <f>U33+U37</f>
        <v>0</v>
      </c>
      <c r="V38" s="161"/>
      <c r="W38" s="161"/>
      <c r="X38" s="161"/>
      <c r="Y38" s="162"/>
      <c r="Z38" s="160">
        <f t="shared" ref="Z38" si="10">Z33+Z37</f>
        <v>0</v>
      </c>
      <c r="AA38" s="161"/>
      <c r="AB38" s="161"/>
      <c r="AC38" s="161"/>
      <c r="AD38" s="162"/>
      <c r="AE38" s="160">
        <f t="shared" ref="AE38" si="11">AE33+AE37</f>
        <v>0</v>
      </c>
      <c r="AF38" s="161"/>
      <c r="AG38" s="161"/>
      <c r="AH38" s="161"/>
      <c r="AI38" s="162"/>
      <c r="AJ38" s="160">
        <f t="shared" ref="AJ38" si="12">AJ33+AJ37</f>
        <v>0</v>
      </c>
      <c r="AK38" s="161"/>
      <c r="AL38" s="161"/>
      <c r="AM38" s="161"/>
      <c r="AN38" s="162"/>
      <c r="AO38" s="160">
        <f t="shared" ref="AO38" si="13">AO33+AO37</f>
        <v>0</v>
      </c>
      <c r="AP38" s="161"/>
      <c r="AQ38" s="161"/>
      <c r="AR38" s="161"/>
      <c r="AS38" s="162"/>
      <c r="AT38" s="160">
        <f t="shared" ref="AT38" si="14">AT33+AT37</f>
        <v>0</v>
      </c>
      <c r="AU38" s="161"/>
      <c r="AV38" s="161"/>
      <c r="AW38" s="161"/>
      <c r="AX38" s="162"/>
      <c r="AY38" s="160">
        <f t="shared" ref="AY38" si="15">AY33+AY37</f>
        <v>0</v>
      </c>
      <c r="AZ38" s="161"/>
      <c r="BA38" s="161"/>
      <c r="BB38" s="161"/>
      <c r="BC38" s="162"/>
    </row>
    <row r="39" spans="1:55" x14ac:dyDescent="0.3">
      <c r="A39" s="53"/>
      <c r="B39" s="53"/>
      <c r="C39" s="53"/>
      <c r="D39" s="53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</row>
  </sheetData>
  <mergeCells count="163">
    <mergeCell ref="N24:R24"/>
    <mergeCell ref="A38:D38"/>
    <mergeCell ref="E38:T38"/>
    <mergeCell ref="U38:Y38"/>
    <mergeCell ref="Z38:AD38"/>
    <mergeCell ref="AE38:AI38"/>
    <mergeCell ref="AJ38:AN38"/>
    <mergeCell ref="AO38:AS38"/>
    <mergeCell ref="AT38:AX38"/>
    <mergeCell ref="A36:D36"/>
    <mergeCell ref="E36:T36"/>
    <mergeCell ref="U36:Y36"/>
    <mergeCell ref="Z36:AD36"/>
    <mergeCell ref="AE36:AI36"/>
    <mergeCell ref="AJ36:AN36"/>
    <mergeCell ref="AO36:AS36"/>
    <mergeCell ref="AT36:AX36"/>
    <mergeCell ref="A34:D34"/>
    <mergeCell ref="E34:T34"/>
    <mergeCell ref="U34:Y34"/>
    <mergeCell ref="Z34:AD34"/>
    <mergeCell ref="AE34:AI34"/>
    <mergeCell ref="AJ34:AN34"/>
    <mergeCell ref="AO34:AS34"/>
    <mergeCell ref="AY38:BC38"/>
    <mergeCell ref="A37:D37"/>
    <mergeCell ref="E37:T37"/>
    <mergeCell ref="U37:Y37"/>
    <mergeCell ref="Z37:AD37"/>
    <mergeCell ref="AE37:AI37"/>
    <mergeCell ref="AJ37:AN37"/>
    <mergeCell ref="AO37:AS37"/>
    <mergeCell ref="AT37:AX37"/>
    <mergeCell ref="AY37:BC37"/>
    <mergeCell ref="AY36:BC36"/>
    <mergeCell ref="A35:D35"/>
    <mergeCell ref="E35:T35"/>
    <mergeCell ref="U35:Y35"/>
    <mergeCell ref="Z35:AD35"/>
    <mergeCell ref="AE35:AI35"/>
    <mergeCell ref="AJ35:AN35"/>
    <mergeCell ref="AO35:AS35"/>
    <mergeCell ref="AT35:AX35"/>
    <mergeCell ref="AY35:BC35"/>
    <mergeCell ref="AY32:BC32"/>
    <mergeCell ref="AT34:AX34"/>
    <mergeCell ref="AY34:BC34"/>
    <mergeCell ref="A33:D33"/>
    <mergeCell ref="E33:T33"/>
    <mergeCell ref="U33:Y33"/>
    <mergeCell ref="Z33:AD33"/>
    <mergeCell ref="AE33:AI33"/>
    <mergeCell ref="AJ33:AN33"/>
    <mergeCell ref="AO33:AS33"/>
    <mergeCell ref="AT33:AX33"/>
    <mergeCell ref="AY33:BC33"/>
    <mergeCell ref="AY13:BC13"/>
    <mergeCell ref="AE14:AI14"/>
    <mergeCell ref="AJ14:AN14"/>
    <mergeCell ref="AO14:AS14"/>
    <mergeCell ref="AY14:BC14"/>
    <mergeCell ref="AE15:AI15"/>
    <mergeCell ref="AO15:AS15"/>
    <mergeCell ref="AY15:BC15"/>
    <mergeCell ref="AJ15:AN15"/>
    <mergeCell ref="AT13:AX13"/>
    <mergeCell ref="AT14:AX14"/>
    <mergeCell ref="AT15:AX15"/>
    <mergeCell ref="AO13:AS13"/>
    <mergeCell ref="AY17:BC17"/>
    <mergeCell ref="AE17:AI17"/>
    <mergeCell ref="AJ17:AN17"/>
    <mergeCell ref="AJ18:AN18"/>
    <mergeCell ref="AO18:AS18"/>
    <mergeCell ref="AJ16:AN16"/>
    <mergeCell ref="AO16:AS16"/>
    <mergeCell ref="Z16:AD16"/>
    <mergeCell ref="AE16:AI16"/>
    <mergeCell ref="AY16:BC16"/>
    <mergeCell ref="Z18:AD18"/>
    <mergeCell ref="AE18:AI18"/>
    <mergeCell ref="AT16:AX16"/>
    <mergeCell ref="AO17:AS17"/>
    <mergeCell ref="A15:D15"/>
    <mergeCell ref="E14:T14"/>
    <mergeCell ref="A13:D13"/>
    <mergeCell ref="A14:D14"/>
    <mergeCell ref="A16:D16"/>
    <mergeCell ref="E17:T17"/>
    <mergeCell ref="E18:T18"/>
    <mergeCell ref="E16:T16"/>
    <mergeCell ref="A17:D17"/>
    <mergeCell ref="A18:D18"/>
    <mergeCell ref="E15:T15"/>
    <mergeCell ref="E13:T13"/>
    <mergeCell ref="A21:BC21"/>
    <mergeCell ref="AY18:BC18"/>
    <mergeCell ref="U18:Y18"/>
    <mergeCell ref="AO30:AS31"/>
    <mergeCell ref="AT30:AX31"/>
    <mergeCell ref="AY30:BC31"/>
    <mergeCell ref="U32:Y32"/>
    <mergeCell ref="Z32:AD32"/>
    <mergeCell ref="AE32:AI32"/>
    <mergeCell ref="AJ32:AN32"/>
    <mergeCell ref="AT18:AX18"/>
    <mergeCell ref="A22:BC22"/>
    <mergeCell ref="D24:I24"/>
    <mergeCell ref="S24:AE24"/>
    <mergeCell ref="E28:L28"/>
    <mergeCell ref="AI28:AJ28"/>
    <mergeCell ref="A30:D32"/>
    <mergeCell ref="E30:T32"/>
    <mergeCell ref="U30:Y31"/>
    <mergeCell ref="Z30:AD31"/>
    <mergeCell ref="AE30:AI31"/>
    <mergeCell ref="AJ30:AN31"/>
    <mergeCell ref="AO32:AS32"/>
    <mergeCell ref="AT32:AX32"/>
    <mergeCell ref="A1:BC1"/>
    <mergeCell ref="A2:BC2"/>
    <mergeCell ref="S4:AE4"/>
    <mergeCell ref="A10:D12"/>
    <mergeCell ref="AY10:BC11"/>
    <mergeCell ref="AY12:BC12"/>
    <mergeCell ref="E10:T12"/>
    <mergeCell ref="U12:Y12"/>
    <mergeCell ref="Z12:AD12"/>
    <mergeCell ref="U10:Y11"/>
    <mergeCell ref="Z10:AD11"/>
    <mergeCell ref="AE10:AI11"/>
    <mergeCell ref="AJ10:AN11"/>
    <mergeCell ref="AO10:AS11"/>
    <mergeCell ref="AE12:AI12"/>
    <mergeCell ref="D4:I4"/>
    <mergeCell ref="E8:L8"/>
    <mergeCell ref="AI8:AJ8"/>
    <mergeCell ref="AJ12:AN12"/>
    <mergeCell ref="L4:R4"/>
    <mergeCell ref="AT10:AX11"/>
    <mergeCell ref="AT12:AX12"/>
    <mergeCell ref="AO12:AS12"/>
    <mergeCell ref="U17:Y17"/>
    <mergeCell ref="AT17:AX17"/>
    <mergeCell ref="U15:Y15"/>
    <mergeCell ref="Z13:AD13"/>
    <mergeCell ref="AE13:AI13"/>
    <mergeCell ref="AJ13:AN13"/>
    <mergeCell ref="U13:Y13"/>
    <mergeCell ref="U14:Y14"/>
    <mergeCell ref="Z14:AD14"/>
    <mergeCell ref="Z15:AD15"/>
    <mergeCell ref="U16:Y16"/>
    <mergeCell ref="Z17:AD17"/>
    <mergeCell ref="A19:D19"/>
    <mergeCell ref="E19:T19"/>
    <mergeCell ref="U19:Y19"/>
    <mergeCell ref="Z19:AD19"/>
    <mergeCell ref="AE19:AI19"/>
    <mergeCell ref="AJ19:AN19"/>
    <mergeCell ref="AO19:AS19"/>
    <mergeCell ref="AT19:AX19"/>
    <mergeCell ref="AY19:BC19"/>
  </mergeCells>
  <pageMargins left="0.52" right="0.62" top="0.74803149606299213" bottom="0.74803149606299213" header="0.31496062992125984" footer="0.31496062992125984"/>
  <pageSetup paperSize="9"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AU19"/>
  <sheetViews>
    <sheetView showGridLines="0" view="pageBreakPreview" zoomScale="112" zoomScaleNormal="100" zoomScaleSheetLayoutView="112" workbookViewId="0">
      <selection activeCell="A18" sqref="A18:C18"/>
    </sheetView>
  </sheetViews>
  <sheetFormatPr baseColWidth="10" defaultColWidth="3.44140625" defaultRowHeight="10.199999999999999" x14ac:dyDescent="0.2"/>
  <cols>
    <col min="1" max="2" width="3.44140625" style="2"/>
    <col min="3" max="3" width="1.5546875" style="2" customWidth="1"/>
    <col min="4" max="14" width="3.77734375" style="2" customWidth="1"/>
    <col min="15" max="15" width="3.77734375" style="2" hidden="1" customWidth="1"/>
    <col min="16" max="16" width="0.77734375" style="2" customWidth="1"/>
    <col min="17" max="17" width="0.5546875" style="2" hidden="1" customWidth="1"/>
    <col min="18" max="18" width="2.77734375" style="2" hidden="1" customWidth="1"/>
    <col min="19" max="19" width="3.77734375" style="2" hidden="1" customWidth="1"/>
    <col min="20" max="23" width="3.44140625" style="2"/>
    <col min="24" max="24" width="22.44140625" style="2" customWidth="1"/>
    <col min="25" max="16384" width="3.44140625" style="2"/>
  </cols>
  <sheetData>
    <row r="1" spans="1:47" x14ac:dyDescent="0.2">
      <c r="A1" s="214" t="s">
        <v>264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</row>
    <row r="2" spans="1:47" ht="10.8" thickBot="1" x14ac:dyDescent="0.25">
      <c r="A2" s="120" t="s">
        <v>163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</row>
    <row r="3" spans="1:47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</row>
    <row r="4" spans="1:47" x14ac:dyDescent="0.2">
      <c r="A4" s="24"/>
      <c r="B4" s="25"/>
      <c r="C4" s="25" t="s">
        <v>243</v>
      </c>
      <c r="D4" s="155"/>
      <c r="E4" s="156"/>
      <c r="F4" s="156"/>
      <c r="G4" s="156"/>
      <c r="H4" s="156"/>
      <c r="I4" s="157"/>
      <c r="J4" s="25"/>
      <c r="K4" s="25"/>
      <c r="L4" s="25"/>
      <c r="M4" s="25"/>
      <c r="N4" s="158" t="s">
        <v>125</v>
      </c>
      <c r="O4" s="158"/>
      <c r="P4" s="158"/>
      <c r="Q4" s="158"/>
      <c r="R4" s="158"/>
      <c r="S4" s="158"/>
      <c r="T4" s="158"/>
      <c r="U4" s="158"/>
      <c r="V4" s="158"/>
      <c r="W4" s="25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2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</row>
    <row r="5" spans="1:47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</row>
    <row r="6" spans="1:47" x14ac:dyDescent="0.2">
      <c r="A6" s="24"/>
      <c r="B6" s="25"/>
      <c r="C6" s="25"/>
      <c r="D6" s="27" t="s">
        <v>128</v>
      </c>
      <c r="E6" s="27" t="s">
        <v>128</v>
      </c>
      <c r="F6" s="27" t="s">
        <v>128</v>
      </c>
      <c r="G6" s="27" t="s">
        <v>127</v>
      </c>
      <c r="H6" s="27" t="s">
        <v>127</v>
      </c>
      <c r="I6" s="27" t="s">
        <v>126</v>
      </c>
      <c r="J6" s="27" t="s">
        <v>126</v>
      </c>
      <c r="K6" s="25"/>
      <c r="L6" s="25"/>
      <c r="M6" s="27"/>
      <c r="N6" s="27"/>
      <c r="O6" s="27"/>
      <c r="P6" s="27"/>
      <c r="Q6" s="27"/>
      <c r="R6" s="25"/>
      <c r="S6" s="25"/>
      <c r="T6" s="25"/>
      <c r="U6" s="25"/>
      <c r="V6" s="27"/>
      <c r="W6" s="25"/>
      <c r="X6" s="25"/>
      <c r="Y6" s="27" t="s">
        <v>255</v>
      </c>
      <c r="Z6" s="27" t="s">
        <v>262</v>
      </c>
      <c r="AA6" s="27"/>
      <c r="AB6" s="25"/>
      <c r="AC6" s="25"/>
      <c r="AD6" s="25"/>
      <c r="AE6" s="25"/>
      <c r="AF6" s="25"/>
      <c r="AG6" s="25"/>
      <c r="AH6" s="27">
        <v>1</v>
      </c>
      <c r="AI6" s="27">
        <v>7</v>
      </c>
      <c r="AJ6" s="25"/>
      <c r="AK6" s="25"/>
      <c r="AL6" s="25"/>
      <c r="AM6" s="25"/>
      <c r="AN6" s="27" t="s">
        <v>128</v>
      </c>
      <c r="AO6" s="25"/>
      <c r="AP6" s="25"/>
      <c r="AQ6" s="25"/>
      <c r="AR6" s="27"/>
      <c r="AS6" s="25"/>
      <c r="AT6" s="25"/>
      <c r="AU6" s="25"/>
    </row>
    <row r="7" spans="1:47" ht="15" customHeight="1" x14ac:dyDescent="0.2">
      <c r="A7" s="24"/>
      <c r="B7" s="25"/>
      <c r="C7" s="25"/>
      <c r="D7" s="159"/>
      <c r="E7" s="159"/>
      <c r="F7" s="159"/>
      <c r="G7" s="159"/>
      <c r="H7" s="159"/>
      <c r="I7" s="159"/>
      <c r="J7" s="159"/>
      <c r="K7" s="25"/>
      <c r="L7" s="25"/>
      <c r="M7" s="19"/>
      <c r="N7" s="33" t="s">
        <v>130</v>
      </c>
      <c r="O7" s="25"/>
      <c r="P7" s="25"/>
      <c r="Q7" s="25"/>
      <c r="R7" s="25"/>
      <c r="S7" s="19"/>
      <c r="T7" s="25"/>
      <c r="U7" s="25"/>
      <c r="V7" s="25" t="s">
        <v>244</v>
      </c>
      <c r="W7" s="25"/>
      <c r="X7" s="25"/>
      <c r="Y7" s="25"/>
      <c r="Z7" s="19" t="s">
        <v>245</v>
      </c>
      <c r="AA7" s="25"/>
      <c r="AB7" s="25"/>
      <c r="AC7" s="25"/>
      <c r="AD7" s="25"/>
      <c r="AE7" s="25"/>
      <c r="AF7" s="25"/>
      <c r="AG7" s="25"/>
      <c r="AH7" s="159" t="s">
        <v>131</v>
      </c>
      <c r="AI7" s="159"/>
      <c r="AJ7" s="25"/>
      <c r="AK7" s="25"/>
      <c r="AL7" s="25"/>
      <c r="AM7" s="25"/>
      <c r="AN7" s="19" t="s">
        <v>246</v>
      </c>
      <c r="AO7" s="25"/>
      <c r="AP7" s="25"/>
      <c r="AQ7" s="25"/>
      <c r="AR7" s="19" t="s">
        <v>263</v>
      </c>
      <c r="AS7" s="25"/>
      <c r="AT7" s="25"/>
      <c r="AU7" s="25"/>
    </row>
    <row r="8" spans="1:47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</row>
    <row r="9" spans="1:47" ht="12.75" customHeight="1" x14ac:dyDescent="0.2">
      <c r="A9" s="122" t="s">
        <v>761</v>
      </c>
      <c r="B9" s="123"/>
      <c r="C9" s="124"/>
      <c r="D9" s="144" t="s">
        <v>398</v>
      </c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5"/>
      <c r="T9" s="131" t="s">
        <v>28</v>
      </c>
      <c r="U9" s="132"/>
      <c r="V9" s="132"/>
      <c r="W9" s="132"/>
      <c r="X9" s="133"/>
      <c r="Y9" s="131" t="s">
        <v>29</v>
      </c>
      <c r="Z9" s="132"/>
      <c r="AA9" s="132"/>
      <c r="AB9" s="132"/>
      <c r="AC9" s="133"/>
      <c r="AD9" s="131" t="s">
        <v>30</v>
      </c>
      <c r="AE9" s="132"/>
      <c r="AF9" s="132"/>
      <c r="AG9" s="132"/>
      <c r="AH9" s="133"/>
      <c r="AI9" s="131" t="s">
        <v>31</v>
      </c>
      <c r="AJ9" s="132"/>
      <c r="AK9" s="132"/>
      <c r="AL9" s="132"/>
      <c r="AM9" s="133"/>
      <c r="AN9" s="131" t="s">
        <v>32</v>
      </c>
      <c r="AO9" s="132"/>
      <c r="AP9" s="132"/>
      <c r="AQ9" s="132"/>
      <c r="AR9" s="133"/>
      <c r="AS9" s="131" t="s">
        <v>623</v>
      </c>
      <c r="AT9" s="132"/>
      <c r="AU9" s="132"/>
    </row>
    <row r="10" spans="1:47" ht="30" customHeight="1" thickBot="1" x14ac:dyDescent="0.25">
      <c r="A10" s="125"/>
      <c r="B10" s="126"/>
      <c r="C10" s="12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8"/>
      <c r="T10" s="134"/>
      <c r="U10" s="135"/>
      <c r="V10" s="135"/>
      <c r="W10" s="135"/>
      <c r="X10" s="136"/>
      <c r="Y10" s="134"/>
      <c r="Z10" s="135"/>
      <c r="AA10" s="135"/>
      <c r="AB10" s="135"/>
      <c r="AC10" s="136"/>
      <c r="AD10" s="134"/>
      <c r="AE10" s="135"/>
      <c r="AF10" s="135"/>
      <c r="AG10" s="135"/>
      <c r="AH10" s="136"/>
      <c r="AI10" s="134"/>
      <c r="AJ10" s="135"/>
      <c r="AK10" s="135"/>
      <c r="AL10" s="135"/>
      <c r="AM10" s="136"/>
      <c r="AN10" s="134"/>
      <c r="AO10" s="135"/>
      <c r="AP10" s="135"/>
      <c r="AQ10" s="135"/>
      <c r="AR10" s="136"/>
      <c r="AS10" s="137"/>
      <c r="AT10" s="138"/>
      <c r="AU10" s="138"/>
    </row>
    <row r="11" spans="1:47" ht="15.75" customHeight="1" thickBot="1" x14ac:dyDescent="0.25">
      <c r="A11" s="125"/>
      <c r="B11" s="126"/>
      <c r="C11" s="12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8"/>
      <c r="T11" s="517">
        <v>1</v>
      </c>
      <c r="U11" s="518"/>
      <c r="V11" s="518"/>
      <c r="W11" s="518"/>
      <c r="X11" s="519"/>
      <c r="Y11" s="517">
        <v>2</v>
      </c>
      <c r="Z11" s="518"/>
      <c r="AA11" s="518"/>
      <c r="AB11" s="518"/>
      <c r="AC11" s="519"/>
      <c r="AD11" s="517">
        <v>3</v>
      </c>
      <c r="AE11" s="518"/>
      <c r="AF11" s="518"/>
      <c r="AG11" s="518"/>
      <c r="AH11" s="519"/>
      <c r="AI11" s="520" t="s">
        <v>290</v>
      </c>
      <c r="AJ11" s="521"/>
      <c r="AK11" s="521"/>
      <c r="AL11" s="521"/>
      <c r="AM11" s="522"/>
      <c r="AN11" s="517">
        <v>5</v>
      </c>
      <c r="AO11" s="518"/>
      <c r="AP11" s="518"/>
      <c r="AQ11" s="518"/>
      <c r="AR11" s="519"/>
      <c r="AS11" s="517" t="s">
        <v>624</v>
      </c>
      <c r="AT11" s="518"/>
      <c r="AU11" s="518"/>
    </row>
    <row r="12" spans="1:47" x14ac:dyDescent="0.2">
      <c r="A12" s="458" t="s">
        <v>401</v>
      </c>
      <c r="B12" s="459"/>
      <c r="C12" s="498"/>
      <c r="D12" s="506" t="s">
        <v>399</v>
      </c>
      <c r="E12" s="506"/>
      <c r="F12" s="506"/>
      <c r="G12" s="506"/>
      <c r="H12" s="506"/>
      <c r="I12" s="506"/>
      <c r="J12" s="506"/>
      <c r="K12" s="506"/>
      <c r="L12" s="506"/>
      <c r="M12" s="506"/>
      <c r="N12" s="506"/>
      <c r="O12" s="506"/>
      <c r="P12" s="506"/>
      <c r="Q12" s="506"/>
      <c r="R12" s="506"/>
      <c r="S12" s="507"/>
      <c r="T12" s="505" t="s">
        <v>524</v>
      </c>
      <c r="U12" s="506"/>
      <c r="V12" s="506"/>
      <c r="W12" s="506"/>
      <c r="X12" s="507"/>
      <c r="Y12" s="505" t="s">
        <v>530</v>
      </c>
      <c r="Z12" s="506"/>
      <c r="AA12" s="506"/>
      <c r="AB12" s="506"/>
      <c r="AC12" s="507"/>
      <c r="AD12" s="505" t="s">
        <v>534</v>
      </c>
      <c r="AE12" s="506"/>
      <c r="AF12" s="506"/>
      <c r="AG12" s="506"/>
      <c r="AH12" s="507"/>
      <c r="AI12" s="505"/>
      <c r="AJ12" s="506"/>
      <c r="AK12" s="506"/>
      <c r="AL12" s="506"/>
      <c r="AM12" s="507"/>
      <c r="AN12" s="505" t="s">
        <v>619</v>
      </c>
      <c r="AO12" s="506"/>
      <c r="AP12" s="506"/>
      <c r="AQ12" s="506"/>
      <c r="AR12" s="507"/>
      <c r="AS12" s="505"/>
      <c r="AT12" s="506"/>
      <c r="AU12" s="506"/>
    </row>
    <row r="13" spans="1:47" x14ac:dyDescent="0.2">
      <c r="A13" s="300" t="s">
        <v>402</v>
      </c>
      <c r="B13" s="301"/>
      <c r="C13" s="302"/>
      <c r="D13" s="504" t="s">
        <v>400</v>
      </c>
      <c r="E13" s="504"/>
      <c r="F13" s="504"/>
      <c r="G13" s="504"/>
      <c r="H13" s="504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8"/>
      <c r="T13" s="503" t="s">
        <v>527</v>
      </c>
      <c r="U13" s="504"/>
      <c r="V13" s="504"/>
      <c r="W13" s="504"/>
      <c r="X13" s="508"/>
      <c r="Y13" s="503" t="s">
        <v>531</v>
      </c>
      <c r="Z13" s="504"/>
      <c r="AA13" s="504"/>
      <c r="AB13" s="504"/>
      <c r="AC13" s="508"/>
      <c r="AD13" s="503" t="s">
        <v>535</v>
      </c>
      <c r="AE13" s="504"/>
      <c r="AF13" s="504"/>
      <c r="AG13" s="504"/>
      <c r="AH13" s="508"/>
      <c r="AI13" s="503"/>
      <c r="AJ13" s="504"/>
      <c r="AK13" s="504"/>
      <c r="AL13" s="504"/>
      <c r="AM13" s="508"/>
      <c r="AN13" s="503" t="s">
        <v>620</v>
      </c>
      <c r="AO13" s="504"/>
      <c r="AP13" s="504"/>
      <c r="AQ13" s="504"/>
      <c r="AR13" s="508"/>
      <c r="AS13" s="503"/>
      <c r="AT13" s="504"/>
      <c r="AU13" s="504"/>
    </row>
    <row r="14" spans="1:47" x14ac:dyDescent="0.2">
      <c r="A14" s="300" t="s">
        <v>770</v>
      </c>
      <c r="B14" s="301"/>
      <c r="C14" s="302"/>
      <c r="D14" s="504" t="s">
        <v>461</v>
      </c>
      <c r="E14" s="504"/>
      <c r="F14" s="504"/>
      <c r="G14" s="504"/>
      <c r="H14" s="504"/>
      <c r="I14" s="504"/>
      <c r="J14" s="504"/>
      <c r="K14" s="504"/>
      <c r="L14" s="504"/>
      <c r="M14" s="504"/>
      <c r="N14" s="504"/>
      <c r="O14" s="504"/>
      <c r="P14" s="504"/>
      <c r="Q14" s="504"/>
      <c r="R14" s="504"/>
      <c r="S14" s="508"/>
      <c r="T14" s="503" t="s">
        <v>528</v>
      </c>
      <c r="U14" s="504"/>
      <c r="V14" s="504"/>
      <c r="W14" s="504"/>
      <c r="X14" s="508"/>
      <c r="Y14" s="503" t="s">
        <v>532</v>
      </c>
      <c r="Z14" s="504"/>
      <c r="AA14" s="504"/>
      <c r="AB14" s="504"/>
      <c r="AC14" s="508"/>
      <c r="AD14" s="503" t="s">
        <v>536</v>
      </c>
      <c r="AE14" s="504"/>
      <c r="AF14" s="504"/>
      <c r="AG14" s="504"/>
      <c r="AH14" s="508"/>
      <c r="AI14" s="503"/>
      <c r="AJ14" s="504"/>
      <c r="AK14" s="504"/>
      <c r="AL14" s="504"/>
      <c r="AM14" s="508"/>
      <c r="AN14" s="503" t="s">
        <v>621</v>
      </c>
      <c r="AO14" s="504"/>
      <c r="AP14" s="504"/>
      <c r="AQ14" s="504"/>
      <c r="AR14" s="508"/>
      <c r="AS14" s="503"/>
      <c r="AT14" s="504"/>
      <c r="AU14" s="504"/>
    </row>
    <row r="15" spans="1:47" ht="15.75" customHeight="1" x14ac:dyDescent="0.2">
      <c r="A15" s="300" t="s">
        <v>815</v>
      </c>
      <c r="B15" s="301"/>
      <c r="C15" s="302"/>
      <c r="D15" s="504" t="s">
        <v>462</v>
      </c>
      <c r="E15" s="504"/>
      <c r="F15" s="504"/>
      <c r="G15" s="504"/>
      <c r="H15" s="504"/>
      <c r="I15" s="504"/>
      <c r="J15" s="504"/>
      <c r="K15" s="504"/>
      <c r="L15" s="504"/>
      <c r="M15" s="504"/>
      <c r="N15" s="504"/>
      <c r="O15" s="504"/>
      <c r="P15" s="504"/>
      <c r="Q15" s="504"/>
      <c r="R15" s="504"/>
      <c r="S15" s="508"/>
      <c r="T15" s="503" t="s">
        <v>529</v>
      </c>
      <c r="U15" s="504"/>
      <c r="V15" s="504"/>
      <c r="W15" s="504"/>
      <c r="X15" s="508"/>
      <c r="Y15" s="503" t="s">
        <v>533</v>
      </c>
      <c r="Z15" s="504"/>
      <c r="AA15" s="504"/>
      <c r="AB15" s="504"/>
      <c r="AC15" s="508"/>
      <c r="AD15" s="503" t="s">
        <v>537</v>
      </c>
      <c r="AE15" s="504"/>
      <c r="AF15" s="504"/>
      <c r="AG15" s="504"/>
      <c r="AH15" s="508"/>
      <c r="AI15" s="503"/>
      <c r="AJ15" s="504"/>
      <c r="AK15" s="504"/>
      <c r="AL15" s="504"/>
      <c r="AM15" s="508"/>
      <c r="AN15" s="503" t="s">
        <v>622</v>
      </c>
      <c r="AO15" s="504"/>
      <c r="AP15" s="504"/>
      <c r="AQ15" s="504"/>
      <c r="AR15" s="508"/>
      <c r="AS15" s="503"/>
      <c r="AT15" s="504"/>
      <c r="AU15" s="504"/>
    </row>
    <row r="16" spans="1:47" ht="12.75" customHeight="1" x14ac:dyDescent="0.2">
      <c r="A16" s="300" t="s">
        <v>816</v>
      </c>
      <c r="B16" s="301"/>
      <c r="C16" s="302"/>
      <c r="D16" s="504" t="s">
        <v>544</v>
      </c>
      <c r="E16" s="504"/>
      <c r="F16" s="504"/>
      <c r="G16" s="504"/>
      <c r="H16" s="504"/>
      <c r="I16" s="504"/>
      <c r="J16" s="504"/>
      <c r="K16" s="504"/>
      <c r="L16" s="504"/>
      <c r="M16" s="504"/>
      <c r="N16" s="504"/>
      <c r="O16" s="504"/>
      <c r="P16" s="504"/>
      <c r="Q16" s="504"/>
      <c r="R16" s="504"/>
      <c r="S16" s="508"/>
      <c r="T16" s="503" t="s">
        <v>545</v>
      </c>
      <c r="U16" s="504"/>
      <c r="V16" s="504"/>
      <c r="W16" s="504"/>
      <c r="X16" s="508"/>
      <c r="Y16" s="503" t="s">
        <v>546</v>
      </c>
      <c r="Z16" s="504"/>
      <c r="AA16" s="504"/>
      <c r="AB16" s="504"/>
      <c r="AC16" s="508"/>
      <c r="AD16" s="503" t="s">
        <v>547</v>
      </c>
      <c r="AE16" s="504"/>
      <c r="AF16" s="504"/>
      <c r="AG16" s="504"/>
      <c r="AH16" s="508"/>
      <c r="AI16" s="503"/>
      <c r="AJ16" s="504"/>
      <c r="AK16" s="504"/>
      <c r="AL16" s="504"/>
      <c r="AM16" s="508"/>
      <c r="AN16" s="503"/>
      <c r="AO16" s="504"/>
      <c r="AP16" s="504"/>
      <c r="AQ16" s="504"/>
      <c r="AR16" s="508"/>
      <c r="AS16" s="503"/>
      <c r="AT16" s="504"/>
      <c r="AU16" s="504"/>
    </row>
    <row r="17" spans="1:47" ht="10.8" thickBot="1" x14ac:dyDescent="0.25">
      <c r="A17" s="300" t="s">
        <v>765</v>
      </c>
      <c r="B17" s="301"/>
      <c r="C17" s="302"/>
      <c r="D17" s="504" t="s">
        <v>549</v>
      </c>
      <c r="E17" s="504"/>
      <c r="F17" s="504"/>
      <c r="G17" s="504"/>
      <c r="H17" s="504"/>
      <c r="I17" s="504"/>
      <c r="J17" s="504"/>
      <c r="K17" s="504"/>
      <c r="L17" s="504"/>
      <c r="M17" s="504"/>
      <c r="N17" s="504"/>
      <c r="O17" s="504"/>
      <c r="P17" s="504"/>
      <c r="Q17" s="504"/>
      <c r="R17" s="504"/>
      <c r="S17" s="508"/>
      <c r="T17" s="509" t="s">
        <v>548</v>
      </c>
      <c r="U17" s="510"/>
      <c r="V17" s="510"/>
      <c r="W17" s="510"/>
      <c r="X17" s="511"/>
      <c r="Y17" s="509" t="s">
        <v>542</v>
      </c>
      <c r="Z17" s="510"/>
      <c r="AA17" s="510"/>
      <c r="AB17" s="510"/>
      <c r="AC17" s="511"/>
      <c r="AD17" s="509" t="s">
        <v>541</v>
      </c>
      <c r="AE17" s="510"/>
      <c r="AF17" s="510"/>
      <c r="AG17" s="510"/>
      <c r="AH17" s="511"/>
      <c r="AI17" s="509"/>
      <c r="AJ17" s="510"/>
      <c r="AK17" s="510"/>
      <c r="AL17" s="510"/>
      <c r="AM17" s="511"/>
      <c r="AN17" s="509"/>
      <c r="AO17" s="510"/>
      <c r="AP17" s="510"/>
      <c r="AQ17" s="510"/>
      <c r="AR17" s="511"/>
      <c r="AS17" s="509"/>
      <c r="AT17" s="510"/>
      <c r="AU17" s="510"/>
    </row>
    <row r="18" spans="1:47" ht="15.75" customHeight="1" thickBot="1" x14ac:dyDescent="0.25">
      <c r="A18" s="512" t="s">
        <v>240</v>
      </c>
      <c r="B18" s="513"/>
      <c r="C18" s="513"/>
      <c r="D18" s="394" t="s">
        <v>223</v>
      </c>
      <c r="E18" s="395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395"/>
      <c r="Q18" s="395"/>
      <c r="R18" s="395"/>
      <c r="S18" s="396"/>
      <c r="T18" s="514" t="e">
        <f>T12+T13+T14+T15+T16+T17</f>
        <v>#VALUE!</v>
      </c>
      <c r="U18" s="515"/>
      <c r="V18" s="515"/>
      <c r="W18" s="515"/>
      <c r="X18" s="516"/>
      <c r="Y18" s="514" t="e">
        <f t="shared" ref="Y18" si="0">Y12+Y13+Y14+Y15+Y16+Y17</f>
        <v>#VALUE!</v>
      </c>
      <c r="Z18" s="515"/>
      <c r="AA18" s="515"/>
      <c r="AB18" s="515"/>
      <c r="AC18" s="516"/>
      <c r="AD18" s="514" t="e">
        <f t="shared" ref="AD18" si="1">AD12+AD13+AD14+AD15+AD16+AD17</f>
        <v>#VALUE!</v>
      </c>
      <c r="AE18" s="515"/>
      <c r="AF18" s="515"/>
      <c r="AG18" s="515"/>
      <c r="AH18" s="516"/>
      <c r="AI18" s="523">
        <f t="shared" ref="AI18" si="2">AI12+AI13+AI14+AI15+AI16+AI17</f>
        <v>0</v>
      </c>
      <c r="AJ18" s="524"/>
      <c r="AK18" s="524"/>
      <c r="AL18" s="524"/>
      <c r="AM18" s="525"/>
      <c r="AN18" s="514" t="e">
        <f t="shared" ref="AN18" si="3">AN12+AN13+AN14+AN15+AN16+AN17</f>
        <v>#VALUE!</v>
      </c>
      <c r="AO18" s="515"/>
      <c r="AP18" s="515"/>
      <c r="AQ18" s="515"/>
      <c r="AR18" s="516"/>
      <c r="AS18" s="514">
        <f t="shared" ref="AS18" si="4">AS12+AS13+AS14+AS15+AS16+AS17</f>
        <v>0</v>
      </c>
      <c r="AT18" s="515"/>
      <c r="AU18" s="515"/>
    </row>
    <row r="19" spans="1:47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</row>
  </sheetData>
  <mergeCells count="76">
    <mergeCell ref="A17:C17"/>
    <mergeCell ref="A13:C13"/>
    <mergeCell ref="D12:S12"/>
    <mergeCell ref="A12:C12"/>
    <mergeCell ref="D16:S16"/>
    <mergeCell ref="T16:X16"/>
    <mergeCell ref="D13:S13"/>
    <mergeCell ref="A14:C14"/>
    <mergeCell ref="D14:S14"/>
    <mergeCell ref="D15:S15"/>
    <mergeCell ref="A15:C15"/>
    <mergeCell ref="A16:C16"/>
    <mergeCell ref="D7:J7"/>
    <mergeCell ref="A1:AU1"/>
    <mergeCell ref="A2:AU2"/>
    <mergeCell ref="D4:I4"/>
    <mergeCell ref="A9:C11"/>
    <mergeCell ref="AS11:AU11"/>
    <mergeCell ref="T11:X11"/>
    <mergeCell ref="D9:S11"/>
    <mergeCell ref="T9:X10"/>
    <mergeCell ref="Y9:AC10"/>
    <mergeCell ref="AD9:AH10"/>
    <mergeCell ref="AI9:AM10"/>
    <mergeCell ref="N4:V4"/>
    <mergeCell ref="AS9:AU10"/>
    <mergeCell ref="AH7:AI7"/>
    <mergeCell ref="AN9:AR10"/>
    <mergeCell ref="Y11:AC11"/>
    <mergeCell ref="AD11:AH11"/>
    <mergeCell ref="AI11:AM11"/>
    <mergeCell ref="AN11:AR11"/>
    <mergeCell ref="AI18:AM18"/>
    <mergeCell ref="AN18:AR18"/>
    <mergeCell ref="AD15:AH15"/>
    <mergeCell ref="AI15:AM15"/>
    <mergeCell ref="AN14:AR14"/>
    <mergeCell ref="AS18:AU18"/>
    <mergeCell ref="AS14:AU14"/>
    <mergeCell ref="T14:X14"/>
    <mergeCell ref="Y14:AC14"/>
    <mergeCell ref="Y16:AC16"/>
    <mergeCell ref="AD16:AH16"/>
    <mergeCell ref="AN16:AR16"/>
    <mergeCell ref="AS16:AU16"/>
    <mergeCell ref="AI16:AM16"/>
    <mergeCell ref="AI17:AM17"/>
    <mergeCell ref="AD14:AH14"/>
    <mergeCell ref="AI14:AM14"/>
    <mergeCell ref="AN15:AR15"/>
    <mergeCell ref="AN17:AR17"/>
    <mergeCell ref="AS17:AU17"/>
    <mergeCell ref="AS15:AU15"/>
    <mergeCell ref="A18:C18"/>
    <mergeCell ref="D18:S18"/>
    <mergeCell ref="T18:X18"/>
    <mergeCell ref="Y18:AC18"/>
    <mergeCell ref="AD18:AH18"/>
    <mergeCell ref="D17:S17"/>
    <mergeCell ref="T17:X17"/>
    <mergeCell ref="Y17:AC17"/>
    <mergeCell ref="AD17:AH17"/>
    <mergeCell ref="T15:X15"/>
    <mergeCell ref="Y15:AC15"/>
    <mergeCell ref="AS13:AU13"/>
    <mergeCell ref="T12:X12"/>
    <mergeCell ref="T13:X13"/>
    <mergeCell ref="AN12:AR12"/>
    <mergeCell ref="AS12:AU12"/>
    <mergeCell ref="AI12:AM12"/>
    <mergeCell ref="Y12:AC12"/>
    <mergeCell ref="AD12:AH12"/>
    <mergeCell ref="Y13:AC13"/>
    <mergeCell ref="AN13:AR13"/>
    <mergeCell ref="AD13:AH13"/>
    <mergeCell ref="AI13:AM13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7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AX29"/>
  <sheetViews>
    <sheetView showGridLines="0" view="pageBreakPreview" topLeftCell="A11" zoomScale="96" zoomScaleNormal="100" zoomScaleSheetLayoutView="96" workbookViewId="0">
      <selection activeCell="A18" sqref="A18:D20"/>
    </sheetView>
  </sheetViews>
  <sheetFormatPr baseColWidth="10" defaultColWidth="3.44140625" defaultRowHeight="10.199999999999999" x14ac:dyDescent="0.2"/>
  <cols>
    <col min="1" max="16384" width="3.44140625" style="2"/>
  </cols>
  <sheetData>
    <row r="1" spans="1:50" x14ac:dyDescent="0.2">
      <c r="A1" s="214" t="s">
        <v>367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6"/>
    </row>
    <row r="2" spans="1:50" ht="10.8" thickBot="1" x14ac:dyDescent="0.25">
      <c r="A2" s="120" t="s">
        <v>238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215"/>
    </row>
    <row r="3" spans="1:50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3"/>
    </row>
    <row r="4" spans="1:50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25"/>
      <c r="M4" s="25"/>
      <c r="N4" s="158" t="s">
        <v>125</v>
      </c>
      <c r="O4" s="158"/>
      <c r="P4" s="158"/>
      <c r="Q4" s="158"/>
      <c r="R4" s="158"/>
      <c r="S4" s="155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7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6"/>
    </row>
    <row r="5" spans="1:50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6"/>
    </row>
    <row r="6" spans="1:50" x14ac:dyDescent="0.2">
      <c r="A6" s="24"/>
      <c r="B6" s="25"/>
      <c r="C6" s="25"/>
      <c r="D6" s="25"/>
      <c r="E6" s="27" t="s">
        <v>128</v>
      </c>
      <c r="F6" s="27" t="s">
        <v>128</v>
      </c>
      <c r="G6" s="27" t="s">
        <v>128</v>
      </c>
      <c r="H6" s="27" t="s">
        <v>128</v>
      </c>
      <c r="I6" s="27" t="s">
        <v>127</v>
      </c>
      <c r="J6" s="27" t="s">
        <v>127</v>
      </c>
      <c r="K6" s="27" t="s">
        <v>126</v>
      </c>
      <c r="L6" s="27" t="s">
        <v>126</v>
      </c>
      <c r="M6" s="25"/>
      <c r="N6" s="25"/>
      <c r="O6" s="25"/>
      <c r="P6" s="25"/>
      <c r="Q6" s="27"/>
      <c r="R6" s="27"/>
      <c r="S6" s="27"/>
      <c r="T6" s="27"/>
      <c r="U6" s="27"/>
      <c r="V6" s="25"/>
      <c r="W6" s="27"/>
      <c r="X6" s="25"/>
      <c r="Y6" s="25"/>
      <c r="Z6" s="27" t="s">
        <v>255</v>
      </c>
      <c r="AA6" s="27" t="s">
        <v>127</v>
      </c>
      <c r="AB6" s="27"/>
      <c r="AC6" s="25"/>
      <c r="AD6" s="25"/>
      <c r="AE6" s="25"/>
      <c r="AF6" s="25"/>
      <c r="AG6" s="25"/>
      <c r="AH6" s="25"/>
      <c r="AI6" s="27">
        <v>1</v>
      </c>
      <c r="AJ6" s="27">
        <v>8</v>
      </c>
      <c r="AK6" s="25"/>
      <c r="AL6" s="25"/>
      <c r="AM6" s="25"/>
      <c r="AN6" s="25"/>
      <c r="AO6" s="27" t="s">
        <v>258</v>
      </c>
      <c r="AP6" s="25"/>
      <c r="AQ6" s="25"/>
      <c r="AR6" s="25"/>
      <c r="AS6" s="27"/>
      <c r="AT6" s="25"/>
      <c r="AU6" s="25"/>
      <c r="AV6" s="25"/>
      <c r="AW6" s="25"/>
      <c r="AX6" s="26"/>
    </row>
    <row r="7" spans="1:50" x14ac:dyDescent="0.2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9"/>
      <c r="N7" s="25"/>
      <c r="O7" s="25"/>
      <c r="P7" s="25"/>
      <c r="Q7" s="25"/>
      <c r="R7" s="25"/>
      <c r="S7" s="33" t="s">
        <v>130</v>
      </c>
      <c r="T7" s="33"/>
      <c r="U7" s="25"/>
      <c r="V7" s="25"/>
      <c r="W7" s="25" t="s">
        <v>244</v>
      </c>
      <c r="X7" s="25"/>
      <c r="Y7" s="25"/>
      <c r="Z7" s="25"/>
      <c r="AA7" s="19" t="s">
        <v>245</v>
      </c>
      <c r="AB7" s="25"/>
      <c r="AC7" s="25"/>
      <c r="AD7" s="25"/>
      <c r="AE7" s="25"/>
      <c r="AF7" s="25"/>
      <c r="AG7" s="25"/>
      <c r="AH7" s="25"/>
      <c r="AI7" s="159" t="s">
        <v>131</v>
      </c>
      <c r="AJ7" s="159"/>
      <c r="AK7" s="25"/>
      <c r="AL7" s="25"/>
      <c r="AM7" s="25"/>
      <c r="AN7" s="25"/>
      <c r="AO7" s="19" t="s">
        <v>246</v>
      </c>
      <c r="AP7" s="25"/>
      <c r="AQ7" s="25"/>
      <c r="AR7" s="25"/>
      <c r="AS7" s="19" t="s">
        <v>263</v>
      </c>
      <c r="AT7" s="25"/>
      <c r="AU7" s="25"/>
      <c r="AV7" s="25"/>
      <c r="AW7" s="25"/>
      <c r="AX7" s="26"/>
    </row>
    <row r="8" spans="1:50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30"/>
    </row>
    <row r="9" spans="1:50" ht="25.5" customHeight="1" thickBot="1" x14ac:dyDescent="0.25">
      <c r="A9" s="526" t="s">
        <v>761</v>
      </c>
      <c r="B9" s="527"/>
      <c r="C9" s="527"/>
      <c r="D9" s="528"/>
      <c r="E9" s="131" t="s">
        <v>7</v>
      </c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3"/>
      <c r="Z9" s="131" t="s">
        <v>18</v>
      </c>
      <c r="AA9" s="132"/>
      <c r="AB9" s="132"/>
      <c r="AC9" s="132"/>
      <c r="AD9" s="133"/>
      <c r="AE9" s="131" t="s">
        <v>19</v>
      </c>
      <c r="AF9" s="132"/>
      <c r="AG9" s="132"/>
      <c r="AH9" s="132"/>
      <c r="AI9" s="133"/>
      <c r="AJ9" s="131" t="s">
        <v>20</v>
      </c>
      <c r="AK9" s="132"/>
      <c r="AL9" s="132"/>
      <c r="AM9" s="132"/>
      <c r="AN9" s="133"/>
      <c r="AO9" s="131" t="s">
        <v>21</v>
      </c>
      <c r="AP9" s="132"/>
      <c r="AQ9" s="132"/>
      <c r="AR9" s="132"/>
      <c r="AS9" s="133"/>
      <c r="AT9" s="131" t="s">
        <v>1</v>
      </c>
      <c r="AU9" s="132"/>
      <c r="AV9" s="132"/>
      <c r="AW9" s="132"/>
      <c r="AX9" s="133"/>
    </row>
    <row r="10" spans="1:50" ht="10.8" thickBot="1" x14ac:dyDescent="0.25">
      <c r="A10" s="529"/>
      <c r="B10" s="530"/>
      <c r="C10" s="530"/>
      <c r="D10" s="531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9"/>
      <c r="Z10" s="141">
        <v>1</v>
      </c>
      <c r="AA10" s="141"/>
      <c r="AB10" s="141"/>
      <c r="AC10" s="141"/>
      <c r="AD10" s="142"/>
      <c r="AE10" s="140">
        <v>2</v>
      </c>
      <c r="AF10" s="141"/>
      <c r="AG10" s="141"/>
      <c r="AH10" s="141"/>
      <c r="AI10" s="142"/>
      <c r="AJ10" s="140">
        <v>3</v>
      </c>
      <c r="AK10" s="141"/>
      <c r="AL10" s="141"/>
      <c r="AM10" s="141"/>
      <c r="AN10" s="142"/>
      <c r="AO10" s="140">
        <v>4</v>
      </c>
      <c r="AP10" s="141"/>
      <c r="AQ10" s="141"/>
      <c r="AR10" s="141"/>
      <c r="AS10" s="142"/>
      <c r="AT10" s="140">
        <v>5</v>
      </c>
      <c r="AU10" s="141"/>
      <c r="AV10" s="141"/>
      <c r="AW10" s="141"/>
      <c r="AX10" s="142"/>
    </row>
    <row r="11" spans="1:50" x14ac:dyDescent="0.2">
      <c r="A11" s="306" t="s">
        <v>90</v>
      </c>
      <c r="B11" s="307"/>
      <c r="C11" s="307"/>
      <c r="D11" s="308"/>
      <c r="E11" s="391" t="s">
        <v>117</v>
      </c>
      <c r="F11" s="316"/>
      <c r="G11" s="316"/>
      <c r="H11" s="316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92"/>
      <c r="Z11" s="313"/>
      <c r="AA11" s="314"/>
      <c r="AB11" s="314"/>
      <c r="AC11" s="314"/>
      <c r="AD11" s="315"/>
      <c r="AE11" s="313"/>
      <c r="AF11" s="314"/>
      <c r="AG11" s="314"/>
      <c r="AH11" s="314"/>
      <c r="AI11" s="315"/>
      <c r="AJ11" s="313"/>
      <c r="AK11" s="314"/>
      <c r="AL11" s="314"/>
      <c r="AM11" s="314"/>
      <c r="AN11" s="315"/>
      <c r="AO11" s="532"/>
      <c r="AP11" s="533"/>
      <c r="AQ11" s="533"/>
      <c r="AR11" s="533"/>
      <c r="AS11" s="534"/>
      <c r="AT11" s="313"/>
      <c r="AU11" s="314"/>
      <c r="AV11" s="314"/>
      <c r="AW11" s="314"/>
      <c r="AX11" s="315"/>
    </row>
    <row r="12" spans="1:50" x14ac:dyDescent="0.2">
      <c r="A12" s="548" t="s">
        <v>120</v>
      </c>
      <c r="B12" s="549"/>
      <c r="C12" s="549"/>
      <c r="D12" s="550"/>
      <c r="E12" s="541" t="s">
        <v>118</v>
      </c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542"/>
      <c r="Z12" s="168"/>
      <c r="AA12" s="158"/>
      <c r="AB12" s="158"/>
      <c r="AC12" s="158"/>
      <c r="AD12" s="169"/>
      <c r="AE12" s="168"/>
      <c r="AF12" s="158"/>
      <c r="AG12" s="158"/>
      <c r="AH12" s="158"/>
      <c r="AI12" s="169"/>
      <c r="AJ12" s="168"/>
      <c r="AK12" s="158"/>
      <c r="AL12" s="158"/>
      <c r="AM12" s="158"/>
      <c r="AN12" s="169"/>
      <c r="AO12" s="168"/>
      <c r="AP12" s="158"/>
      <c r="AQ12" s="158"/>
      <c r="AR12" s="158"/>
      <c r="AS12" s="169"/>
      <c r="AT12" s="168"/>
      <c r="AU12" s="158"/>
      <c r="AV12" s="158"/>
      <c r="AW12" s="158"/>
      <c r="AX12" s="169"/>
    </row>
    <row r="13" spans="1:50" x14ac:dyDescent="0.2">
      <c r="A13" s="309" t="s">
        <v>121</v>
      </c>
      <c r="B13" s="310"/>
      <c r="C13" s="310"/>
      <c r="D13" s="311"/>
      <c r="E13" s="546" t="s">
        <v>291</v>
      </c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547"/>
      <c r="Z13" s="168"/>
      <c r="AA13" s="158"/>
      <c r="AB13" s="158"/>
      <c r="AC13" s="158"/>
      <c r="AD13" s="169"/>
      <c r="AE13" s="168"/>
      <c r="AF13" s="158"/>
      <c r="AG13" s="158"/>
      <c r="AH13" s="158"/>
      <c r="AI13" s="169"/>
      <c r="AJ13" s="168"/>
      <c r="AK13" s="158"/>
      <c r="AL13" s="158"/>
      <c r="AM13" s="158"/>
      <c r="AN13" s="169"/>
      <c r="AO13" s="168"/>
      <c r="AP13" s="158"/>
      <c r="AQ13" s="158"/>
      <c r="AR13" s="158"/>
      <c r="AS13" s="169"/>
      <c r="AT13" s="168"/>
      <c r="AU13" s="158"/>
      <c r="AV13" s="158"/>
      <c r="AW13" s="158"/>
      <c r="AX13" s="169"/>
    </row>
    <row r="14" spans="1:50" x14ac:dyDescent="0.2">
      <c r="A14" s="548" t="s">
        <v>91</v>
      </c>
      <c r="B14" s="549"/>
      <c r="C14" s="549"/>
      <c r="D14" s="550"/>
      <c r="E14" s="541" t="s">
        <v>119</v>
      </c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542"/>
      <c r="Z14" s="168"/>
      <c r="AA14" s="158"/>
      <c r="AB14" s="158"/>
      <c r="AC14" s="158"/>
      <c r="AD14" s="169"/>
      <c r="AE14" s="168"/>
      <c r="AF14" s="158"/>
      <c r="AG14" s="158"/>
      <c r="AH14" s="158"/>
      <c r="AI14" s="169"/>
      <c r="AJ14" s="168"/>
      <c r="AK14" s="158"/>
      <c r="AL14" s="158"/>
      <c r="AM14" s="158"/>
      <c r="AN14" s="169"/>
      <c r="AO14" s="535"/>
      <c r="AP14" s="536"/>
      <c r="AQ14" s="536"/>
      <c r="AR14" s="536"/>
      <c r="AS14" s="537"/>
      <c r="AT14" s="168"/>
      <c r="AU14" s="158"/>
      <c r="AV14" s="158"/>
      <c r="AW14" s="158"/>
      <c r="AX14" s="169"/>
    </row>
    <row r="15" spans="1:50" ht="10.8" thickBot="1" x14ac:dyDescent="0.25">
      <c r="A15" s="309" t="s">
        <v>92</v>
      </c>
      <c r="B15" s="310"/>
      <c r="C15" s="310"/>
      <c r="D15" s="311"/>
      <c r="E15" s="546" t="s">
        <v>237</v>
      </c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547"/>
      <c r="Z15" s="168"/>
      <c r="AA15" s="158"/>
      <c r="AB15" s="158"/>
      <c r="AC15" s="158"/>
      <c r="AD15" s="169"/>
      <c r="AE15" s="168"/>
      <c r="AF15" s="158"/>
      <c r="AG15" s="158"/>
      <c r="AH15" s="158"/>
      <c r="AI15" s="169"/>
      <c r="AJ15" s="168"/>
      <c r="AK15" s="158"/>
      <c r="AL15" s="158"/>
      <c r="AM15" s="158"/>
      <c r="AN15" s="169"/>
      <c r="AO15" s="535"/>
      <c r="AP15" s="536"/>
      <c r="AQ15" s="536"/>
      <c r="AR15" s="536"/>
      <c r="AS15" s="537"/>
      <c r="AT15" s="168"/>
      <c r="AU15" s="158"/>
      <c r="AV15" s="158"/>
      <c r="AW15" s="158"/>
      <c r="AX15" s="169"/>
    </row>
    <row r="16" spans="1:50" ht="10.8" thickBot="1" x14ac:dyDescent="0.25">
      <c r="A16" s="382" t="s">
        <v>88</v>
      </c>
      <c r="B16" s="383"/>
      <c r="C16" s="383"/>
      <c r="D16" s="384"/>
      <c r="E16" s="394" t="s">
        <v>384</v>
      </c>
      <c r="F16" s="395"/>
      <c r="G16" s="395"/>
      <c r="H16" s="395"/>
      <c r="I16" s="395"/>
      <c r="J16" s="395"/>
      <c r="K16" s="395"/>
      <c r="L16" s="395"/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6"/>
      <c r="Z16" s="523"/>
      <c r="AA16" s="524"/>
      <c r="AB16" s="524"/>
      <c r="AC16" s="524"/>
      <c r="AD16" s="525"/>
      <c r="AE16" s="523"/>
      <c r="AF16" s="524"/>
      <c r="AG16" s="524"/>
      <c r="AH16" s="524"/>
      <c r="AI16" s="525"/>
      <c r="AJ16" s="523"/>
      <c r="AK16" s="524"/>
      <c r="AL16" s="524"/>
      <c r="AM16" s="524"/>
      <c r="AN16" s="525"/>
      <c r="AO16" s="523"/>
      <c r="AP16" s="524"/>
      <c r="AQ16" s="524"/>
      <c r="AR16" s="524"/>
      <c r="AS16" s="525"/>
      <c r="AT16" s="523"/>
      <c r="AU16" s="524"/>
      <c r="AV16" s="524"/>
      <c r="AW16" s="524"/>
      <c r="AX16" s="525"/>
    </row>
    <row r="17" spans="1:50" ht="10.8" thickBo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ht="15" customHeight="1" thickBot="1" x14ac:dyDescent="0.25">
      <c r="A18" s="122" t="s">
        <v>761</v>
      </c>
      <c r="B18" s="123"/>
      <c r="C18" s="123"/>
      <c r="D18" s="124"/>
      <c r="E18" s="143" t="s">
        <v>7</v>
      </c>
      <c r="F18" s="144"/>
      <c r="G18" s="144"/>
      <c r="H18" s="144"/>
      <c r="I18" s="144"/>
      <c r="J18" s="144"/>
      <c r="K18" s="144"/>
      <c r="L18" s="144"/>
      <c r="M18" s="144"/>
      <c r="N18" s="144"/>
      <c r="O18" s="145"/>
      <c r="P18" s="152" t="s">
        <v>141</v>
      </c>
      <c r="Q18" s="153"/>
      <c r="R18" s="153"/>
      <c r="S18" s="153"/>
      <c r="T18" s="153"/>
      <c r="U18" s="153"/>
      <c r="V18" s="153"/>
      <c r="W18" s="153"/>
      <c r="X18" s="153"/>
      <c r="Y18" s="154"/>
      <c r="Z18" s="152" t="s">
        <v>463</v>
      </c>
      <c r="AA18" s="153"/>
      <c r="AB18" s="153"/>
      <c r="AC18" s="153"/>
      <c r="AD18" s="153"/>
      <c r="AE18" s="153"/>
      <c r="AF18" s="153"/>
      <c r="AG18" s="153"/>
      <c r="AH18" s="153"/>
      <c r="AI18" s="154"/>
      <c r="AJ18" s="152" t="s">
        <v>464</v>
      </c>
      <c r="AK18" s="153"/>
      <c r="AL18" s="153"/>
      <c r="AM18" s="153"/>
      <c r="AN18" s="153"/>
      <c r="AO18" s="153"/>
      <c r="AP18" s="153"/>
      <c r="AQ18" s="153"/>
      <c r="AR18" s="153"/>
      <c r="AS18" s="154"/>
      <c r="AT18" s="131" t="s">
        <v>142</v>
      </c>
      <c r="AU18" s="132"/>
      <c r="AV18" s="132"/>
      <c r="AW18" s="132"/>
      <c r="AX18" s="133"/>
    </row>
    <row r="19" spans="1:50" ht="15.75" customHeight="1" thickBot="1" x14ac:dyDescent="0.25">
      <c r="A19" s="125"/>
      <c r="B19" s="126"/>
      <c r="C19" s="126"/>
      <c r="D19" s="127"/>
      <c r="E19" s="146"/>
      <c r="F19" s="147"/>
      <c r="G19" s="147"/>
      <c r="H19" s="147"/>
      <c r="I19" s="147"/>
      <c r="J19" s="147"/>
      <c r="K19" s="147"/>
      <c r="L19" s="147"/>
      <c r="M19" s="147"/>
      <c r="N19" s="147"/>
      <c r="O19" s="148"/>
      <c r="P19" s="149" t="s">
        <v>153</v>
      </c>
      <c r="Q19" s="150"/>
      <c r="R19" s="150"/>
      <c r="S19" s="150"/>
      <c r="T19" s="150"/>
      <c r="U19" s="149" t="s">
        <v>154</v>
      </c>
      <c r="V19" s="150"/>
      <c r="W19" s="150"/>
      <c r="X19" s="150"/>
      <c r="Y19" s="151"/>
      <c r="Z19" s="149" t="s">
        <v>153</v>
      </c>
      <c r="AA19" s="150"/>
      <c r="AB19" s="150"/>
      <c r="AC19" s="150"/>
      <c r="AD19" s="150"/>
      <c r="AE19" s="149" t="s">
        <v>154</v>
      </c>
      <c r="AF19" s="150"/>
      <c r="AG19" s="150"/>
      <c r="AH19" s="150"/>
      <c r="AI19" s="151"/>
      <c r="AJ19" s="149" t="s">
        <v>153</v>
      </c>
      <c r="AK19" s="150"/>
      <c r="AL19" s="150"/>
      <c r="AM19" s="150"/>
      <c r="AN19" s="150"/>
      <c r="AO19" s="149" t="s">
        <v>154</v>
      </c>
      <c r="AP19" s="150"/>
      <c r="AQ19" s="150"/>
      <c r="AR19" s="150"/>
      <c r="AS19" s="151"/>
      <c r="AT19" s="137"/>
      <c r="AU19" s="138"/>
      <c r="AV19" s="138"/>
      <c r="AW19" s="138"/>
      <c r="AX19" s="139"/>
    </row>
    <row r="20" spans="1:50" ht="15.75" customHeight="1" thickBot="1" x14ac:dyDescent="0.25">
      <c r="A20" s="128"/>
      <c r="B20" s="129"/>
      <c r="C20" s="129"/>
      <c r="D20" s="130"/>
      <c r="E20" s="149"/>
      <c r="F20" s="150"/>
      <c r="G20" s="150"/>
      <c r="H20" s="150"/>
      <c r="I20" s="150"/>
      <c r="J20" s="150"/>
      <c r="K20" s="150"/>
      <c r="L20" s="150"/>
      <c r="M20" s="150"/>
      <c r="N20" s="150"/>
      <c r="O20" s="151"/>
      <c r="P20" s="153">
        <v>6</v>
      </c>
      <c r="Q20" s="153"/>
      <c r="R20" s="153"/>
      <c r="S20" s="153"/>
      <c r="T20" s="154"/>
      <c r="U20" s="152">
        <v>7</v>
      </c>
      <c r="V20" s="153"/>
      <c r="W20" s="153"/>
      <c r="X20" s="153"/>
      <c r="Y20" s="154"/>
      <c r="Z20" s="152">
        <v>8</v>
      </c>
      <c r="AA20" s="153"/>
      <c r="AB20" s="153"/>
      <c r="AC20" s="153"/>
      <c r="AD20" s="154"/>
      <c r="AE20" s="152">
        <v>9</v>
      </c>
      <c r="AF20" s="153"/>
      <c r="AG20" s="153"/>
      <c r="AH20" s="153"/>
      <c r="AI20" s="154"/>
      <c r="AJ20" s="152">
        <v>10</v>
      </c>
      <c r="AK20" s="153"/>
      <c r="AL20" s="153"/>
      <c r="AM20" s="153"/>
      <c r="AN20" s="154"/>
      <c r="AO20" s="152">
        <v>11</v>
      </c>
      <c r="AP20" s="153"/>
      <c r="AQ20" s="153"/>
      <c r="AR20" s="153"/>
      <c r="AS20" s="154"/>
      <c r="AT20" s="152">
        <v>12</v>
      </c>
      <c r="AU20" s="153"/>
      <c r="AV20" s="153"/>
      <c r="AW20" s="153"/>
      <c r="AX20" s="154"/>
    </row>
    <row r="21" spans="1:50" ht="15" customHeight="1" x14ac:dyDescent="0.2">
      <c r="A21" s="306" t="s">
        <v>275</v>
      </c>
      <c r="B21" s="307"/>
      <c r="C21" s="307"/>
      <c r="D21" s="308"/>
      <c r="E21" s="391" t="s">
        <v>267</v>
      </c>
      <c r="F21" s="316"/>
      <c r="G21" s="316"/>
      <c r="H21" s="316"/>
      <c r="I21" s="316"/>
      <c r="J21" s="316"/>
      <c r="K21" s="316"/>
      <c r="L21" s="316"/>
      <c r="M21" s="316"/>
      <c r="N21" s="316"/>
      <c r="O21" s="392"/>
      <c r="P21" s="313"/>
      <c r="Q21" s="314"/>
      <c r="R21" s="314"/>
      <c r="S21" s="314"/>
      <c r="T21" s="315"/>
      <c r="U21" s="313"/>
      <c r="V21" s="314"/>
      <c r="W21" s="314"/>
      <c r="X21" s="314"/>
      <c r="Y21" s="315"/>
      <c r="Z21" s="313"/>
      <c r="AA21" s="314"/>
      <c r="AB21" s="314"/>
      <c r="AC21" s="314"/>
      <c r="AD21" s="315"/>
      <c r="AE21" s="313"/>
      <c r="AF21" s="314"/>
      <c r="AG21" s="314"/>
      <c r="AH21" s="314"/>
      <c r="AI21" s="315"/>
      <c r="AJ21" s="313"/>
      <c r="AK21" s="314"/>
      <c r="AL21" s="314"/>
      <c r="AM21" s="314"/>
      <c r="AN21" s="315"/>
      <c r="AO21" s="313"/>
      <c r="AP21" s="314"/>
      <c r="AQ21" s="314"/>
      <c r="AR21" s="314"/>
      <c r="AS21" s="315"/>
      <c r="AT21" s="313"/>
      <c r="AU21" s="314"/>
      <c r="AV21" s="314"/>
      <c r="AW21" s="314"/>
      <c r="AX21" s="315"/>
    </row>
    <row r="22" spans="1:50" ht="15" customHeight="1" x14ac:dyDescent="0.2">
      <c r="A22" s="309" t="s">
        <v>276</v>
      </c>
      <c r="B22" s="310"/>
      <c r="C22" s="310"/>
      <c r="D22" s="311"/>
      <c r="E22" s="551" t="s">
        <v>268</v>
      </c>
      <c r="F22" s="552"/>
      <c r="G22" s="552"/>
      <c r="H22" s="552"/>
      <c r="I22" s="552"/>
      <c r="J22" s="552"/>
      <c r="K22" s="552"/>
      <c r="L22" s="552"/>
      <c r="M22" s="552"/>
      <c r="N22" s="552"/>
      <c r="O22" s="553"/>
      <c r="P22" s="168"/>
      <c r="Q22" s="158"/>
      <c r="R22" s="158"/>
      <c r="S22" s="158"/>
      <c r="T22" s="169"/>
      <c r="U22" s="168"/>
      <c r="V22" s="158"/>
      <c r="W22" s="158"/>
      <c r="X22" s="158"/>
      <c r="Y22" s="169"/>
      <c r="Z22" s="168"/>
      <c r="AA22" s="158"/>
      <c r="AB22" s="158"/>
      <c r="AC22" s="158"/>
      <c r="AD22" s="169"/>
      <c r="AE22" s="168"/>
      <c r="AF22" s="158"/>
      <c r="AG22" s="158"/>
      <c r="AH22" s="158"/>
      <c r="AI22" s="169"/>
      <c r="AJ22" s="168"/>
      <c r="AK22" s="158"/>
      <c r="AL22" s="158"/>
      <c r="AM22" s="158"/>
      <c r="AN22" s="169"/>
      <c r="AO22" s="168"/>
      <c r="AP22" s="158"/>
      <c r="AQ22" s="158"/>
      <c r="AR22" s="158"/>
      <c r="AS22" s="169"/>
      <c r="AT22" s="168"/>
      <c r="AU22" s="158"/>
      <c r="AV22" s="158"/>
      <c r="AW22" s="158"/>
      <c r="AX22" s="169"/>
    </row>
    <row r="23" spans="1:50" ht="15" customHeight="1" x14ac:dyDescent="0.2">
      <c r="A23" s="309" t="s">
        <v>277</v>
      </c>
      <c r="B23" s="310"/>
      <c r="C23" s="310"/>
      <c r="D23" s="311"/>
      <c r="E23" s="541" t="s">
        <v>269</v>
      </c>
      <c r="F23" s="321"/>
      <c r="G23" s="321"/>
      <c r="H23" s="321"/>
      <c r="I23" s="321"/>
      <c r="J23" s="321"/>
      <c r="K23" s="321"/>
      <c r="L23" s="321"/>
      <c r="M23" s="321"/>
      <c r="N23" s="321"/>
      <c r="O23" s="542"/>
      <c r="P23" s="168"/>
      <c r="Q23" s="158"/>
      <c r="R23" s="158"/>
      <c r="S23" s="158"/>
      <c r="T23" s="169"/>
      <c r="U23" s="168"/>
      <c r="V23" s="158"/>
      <c r="W23" s="158"/>
      <c r="X23" s="158"/>
      <c r="Y23" s="169"/>
      <c r="Z23" s="168"/>
      <c r="AA23" s="158"/>
      <c r="AB23" s="158"/>
      <c r="AC23" s="158"/>
      <c r="AD23" s="169"/>
      <c r="AE23" s="168"/>
      <c r="AF23" s="158"/>
      <c r="AG23" s="158"/>
      <c r="AH23" s="158"/>
      <c r="AI23" s="169"/>
      <c r="AJ23" s="168"/>
      <c r="AK23" s="158"/>
      <c r="AL23" s="158"/>
      <c r="AM23" s="158"/>
      <c r="AN23" s="169"/>
      <c r="AO23" s="168"/>
      <c r="AP23" s="158"/>
      <c r="AQ23" s="158"/>
      <c r="AR23" s="158"/>
      <c r="AS23" s="169"/>
      <c r="AT23" s="168"/>
      <c r="AU23" s="158"/>
      <c r="AV23" s="158"/>
      <c r="AW23" s="158"/>
      <c r="AX23" s="169"/>
    </row>
    <row r="24" spans="1:50" ht="15" customHeight="1" x14ac:dyDescent="0.2">
      <c r="A24" s="309" t="s">
        <v>278</v>
      </c>
      <c r="B24" s="310"/>
      <c r="C24" s="310"/>
      <c r="D24" s="311"/>
      <c r="E24" s="541" t="s">
        <v>270</v>
      </c>
      <c r="F24" s="321"/>
      <c r="G24" s="321"/>
      <c r="H24" s="321"/>
      <c r="I24" s="321"/>
      <c r="J24" s="321"/>
      <c r="K24" s="321"/>
      <c r="L24" s="321"/>
      <c r="M24" s="321"/>
      <c r="N24" s="321"/>
      <c r="O24" s="542"/>
      <c r="P24" s="168"/>
      <c r="Q24" s="158"/>
      <c r="R24" s="158"/>
      <c r="S24" s="158"/>
      <c r="T24" s="169"/>
      <c r="U24" s="168"/>
      <c r="V24" s="158"/>
      <c r="W24" s="158"/>
      <c r="X24" s="158"/>
      <c r="Y24" s="169"/>
      <c r="Z24" s="168"/>
      <c r="AA24" s="158"/>
      <c r="AB24" s="158"/>
      <c r="AC24" s="158"/>
      <c r="AD24" s="169"/>
      <c r="AE24" s="168"/>
      <c r="AF24" s="158"/>
      <c r="AG24" s="158"/>
      <c r="AH24" s="158"/>
      <c r="AI24" s="169"/>
      <c r="AJ24" s="168"/>
      <c r="AK24" s="158"/>
      <c r="AL24" s="158"/>
      <c r="AM24" s="158"/>
      <c r="AN24" s="169"/>
      <c r="AO24" s="168"/>
      <c r="AP24" s="158"/>
      <c r="AQ24" s="158"/>
      <c r="AR24" s="158"/>
      <c r="AS24" s="169"/>
      <c r="AT24" s="168"/>
      <c r="AU24" s="158"/>
      <c r="AV24" s="158"/>
      <c r="AW24" s="158"/>
      <c r="AX24" s="169"/>
    </row>
    <row r="25" spans="1:50" ht="15" customHeight="1" x14ac:dyDescent="0.2">
      <c r="A25" s="309" t="s">
        <v>279</v>
      </c>
      <c r="B25" s="310"/>
      <c r="C25" s="310"/>
      <c r="D25" s="311"/>
      <c r="E25" s="541" t="s">
        <v>271</v>
      </c>
      <c r="F25" s="321"/>
      <c r="G25" s="321"/>
      <c r="H25" s="321"/>
      <c r="I25" s="321"/>
      <c r="J25" s="321"/>
      <c r="K25" s="321"/>
      <c r="L25" s="321"/>
      <c r="M25" s="321"/>
      <c r="N25" s="321"/>
      <c r="O25" s="542"/>
      <c r="P25" s="168"/>
      <c r="Q25" s="158"/>
      <c r="R25" s="158"/>
      <c r="S25" s="158"/>
      <c r="T25" s="169"/>
      <c r="U25" s="168"/>
      <c r="V25" s="158"/>
      <c r="W25" s="158"/>
      <c r="X25" s="158"/>
      <c r="Y25" s="169"/>
      <c r="Z25" s="168"/>
      <c r="AA25" s="158"/>
      <c r="AB25" s="158"/>
      <c r="AC25" s="158"/>
      <c r="AD25" s="169"/>
      <c r="AE25" s="168"/>
      <c r="AF25" s="158"/>
      <c r="AG25" s="158"/>
      <c r="AH25" s="158"/>
      <c r="AI25" s="169"/>
      <c r="AJ25" s="168"/>
      <c r="AK25" s="158"/>
      <c r="AL25" s="158"/>
      <c r="AM25" s="158"/>
      <c r="AN25" s="169"/>
      <c r="AO25" s="168"/>
      <c r="AP25" s="158"/>
      <c r="AQ25" s="158"/>
      <c r="AR25" s="158"/>
      <c r="AS25" s="169"/>
      <c r="AT25" s="168"/>
      <c r="AU25" s="158"/>
      <c r="AV25" s="158"/>
      <c r="AW25" s="158"/>
      <c r="AX25" s="169"/>
    </row>
    <row r="26" spans="1:50" ht="15" customHeight="1" x14ac:dyDescent="0.2">
      <c r="A26" s="309" t="s">
        <v>280</v>
      </c>
      <c r="B26" s="310"/>
      <c r="C26" s="310"/>
      <c r="D26" s="311"/>
      <c r="E26" s="541" t="s">
        <v>272</v>
      </c>
      <c r="F26" s="321"/>
      <c r="G26" s="321"/>
      <c r="H26" s="321"/>
      <c r="I26" s="321"/>
      <c r="J26" s="321"/>
      <c r="K26" s="321"/>
      <c r="L26" s="321"/>
      <c r="M26" s="321"/>
      <c r="N26" s="321"/>
      <c r="O26" s="542"/>
      <c r="P26" s="168"/>
      <c r="Q26" s="158"/>
      <c r="R26" s="158"/>
      <c r="S26" s="158"/>
      <c r="T26" s="169"/>
      <c r="U26" s="168"/>
      <c r="V26" s="158"/>
      <c r="W26" s="158"/>
      <c r="X26" s="158"/>
      <c r="Y26" s="169"/>
      <c r="Z26" s="168"/>
      <c r="AA26" s="158"/>
      <c r="AB26" s="158"/>
      <c r="AC26" s="158"/>
      <c r="AD26" s="169"/>
      <c r="AE26" s="168"/>
      <c r="AF26" s="158"/>
      <c r="AG26" s="158"/>
      <c r="AH26" s="158"/>
      <c r="AI26" s="169"/>
      <c r="AJ26" s="168"/>
      <c r="AK26" s="158"/>
      <c r="AL26" s="158"/>
      <c r="AM26" s="158"/>
      <c r="AN26" s="169"/>
      <c r="AO26" s="168"/>
      <c r="AP26" s="158"/>
      <c r="AQ26" s="158"/>
      <c r="AR26" s="158"/>
      <c r="AS26" s="169"/>
      <c r="AT26" s="168"/>
      <c r="AU26" s="158"/>
      <c r="AV26" s="158"/>
      <c r="AW26" s="158"/>
      <c r="AX26" s="169"/>
    </row>
    <row r="27" spans="1:50" ht="15.75" customHeight="1" thickBot="1" x14ac:dyDescent="0.25">
      <c r="A27" s="309" t="s">
        <v>281</v>
      </c>
      <c r="B27" s="310"/>
      <c r="C27" s="310"/>
      <c r="D27" s="311"/>
      <c r="E27" s="541" t="s">
        <v>273</v>
      </c>
      <c r="F27" s="321"/>
      <c r="G27" s="321"/>
      <c r="H27" s="321"/>
      <c r="I27" s="321"/>
      <c r="J27" s="321"/>
      <c r="K27" s="321"/>
      <c r="L27" s="321"/>
      <c r="M27" s="321"/>
      <c r="N27" s="321"/>
      <c r="O27" s="542"/>
      <c r="P27" s="538"/>
      <c r="Q27" s="539"/>
      <c r="R27" s="539"/>
      <c r="S27" s="539"/>
      <c r="T27" s="540"/>
      <c r="U27" s="538"/>
      <c r="V27" s="539"/>
      <c r="W27" s="539"/>
      <c r="X27" s="539"/>
      <c r="Y27" s="540"/>
      <c r="Z27" s="538"/>
      <c r="AA27" s="539"/>
      <c r="AB27" s="539"/>
      <c r="AC27" s="539"/>
      <c r="AD27" s="540"/>
      <c r="AE27" s="538"/>
      <c r="AF27" s="539"/>
      <c r="AG27" s="539"/>
      <c r="AH27" s="539"/>
      <c r="AI27" s="540"/>
      <c r="AJ27" s="538"/>
      <c r="AK27" s="539"/>
      <c r="AL27" s="539"/>
      <c r="AM27" s="539"/>
      <c r="AN27" s="540"/>
      <c r="AO27" s="538"/>
      <c r="AP27" s="539"/>
      <c r="AQ27" s="539"/>
      <c r="AR27" s="539"/>
      <c r="AS27" s="540"/>
      <c r="AT27" s="538"/>
      <c r="AU27" s="539"/>
      <c r="AV27" s="539"/>
      <c r="AW27" s="539"/>
      <c r="AX27" s="540"/>
    </row>
    <row r="28" spans="1:50" ht="15.75" customHeight="1" thickBot="1" x14ac:dyDescent="0.25">
      <c r="A28" s="382" t="s">
        <v>241</v>
      </c>
      <c r="B28" s="383"/>
      <c r="C28" s="383"/>
      <c r="D28" s="384"/>
      <c r="E28" s="543" t="s">
        <v>1</v>
      </c>
      <c r="F28" s="544"/>
      <c r="G28" s="544"/>
      <c r="H28" s="544"/>
      <c r="I28" s="544"/>
      <c r="J28" s="544"/>
      <c r="K28" s="544"/>
      <c r="L28" s="544"/>
      <c r="M28" s="544"/>
      <c r="N28" s="544"/>
      <c r="O28" s="545"/>
      <c r="P28" s="523"/>
      <c r="Q28" s="524"/>
      <c r="R28" s="524"/>
      <c r="S28" s="524"/>
      <c r="T28" s="525"/>
      <c r="U28" s="523"/>
      <c r="V28" s="524"/>
      <c r="W28" s="524"/>
      <c r="X28" s="524"/>
      <c r="Y28" s="525"/>
      <c r="Z28" s="523"/>
      <c r="AA28" s="524"/>
      <c r="AB28" s="524"/>
      <c r="AC28" s="524"/>
      <c r="AD28" s="525"/>
      <c r="AE28" s="523"/>
      <c r="AF28" s="524"/>
      <c r="AG28" s="524"/>
      <c r="AH28" s="524"/>
      <c r="AI28" s="525"/>
      <c r="AJ28" s="523"/>
      <c r="AK28" s="524"/>
      <c r="AL28" s="524"/>
      <c r="AM28" s="524"/>
      <c r="AN28" s="525"/>
      <c r="AO28" s="523"/>
      <c r="AP28" s="524"/>
      <c r="AQ28" s="524"/>
      <c r="AR28" s="524"/>
      <c r="AS28" s="525"/>
      <c r="AT28" s="523"/>
      <c r="AU28" s="524"/>
      <c r="AV28" s="524"/>
      <c r="AW28" s="524"/>
      <c r="AX28" s="525"/>
    </row>
    <row r="29" spans="1:5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</sheetData>
  <mergeCells count="152">
    <mergeCell ref="E11:Y11"/>
    <mergeCell ref="E12:Y12"/>
    <mergeCell ref="E13:Y13"/>
    <mergeCell ref="E14:Y14"/>
    <mergeCell ref="E15:Y15"/>
    <mergeCell ref="A11:D11"/>
    <mergeCell ref="A12:D12"/>
    <mergeCell ref="P28:T28"/>
    <mergeCell ref="U28:Y28"/>
    <mergeCell ref="A22:D22"/>
    <mergeCell ref="A23:D23"/>
    <mergeCell ref="A24:D24"/>
    <mergeCell ref="E21:O21"/>
    <mergeCell ref="E22:O22"/>
    <mergeCell ref="E23:O23"/>
    <mergeCell ref="E24:O24"/>
    <mergeCell ref="A18:D20"/>
    <mergeCell ref="A13:D13"/>
    <mergeCell ref="E18:O20"/>
    <mergeCell ref="A21:D21"/>
    <mergeCell ref="A14:D14"/>
    <mergeCell ref="A15:D15"/>
    <mergeCell ref="Z28:AD28"/>
    <mergeCell ref="AE28:AI28"/>
    <mergeCell ref="AJ28:AN28"/>
    <mergeCell ref="AE16:AI16"/>
    <mergeCell ref="AJ16:AN16"/>
    <mergeCell ref="A16:D16"/>
    <mergeCell ref="E16:Y16"/>
    <mergeCell ref="A25:D25"/>
    <mergeCell ref="A26:D26"/>
    <mergeCell ref="A27:D27"/>
    <mergeCell ref="E25:O25"/>
    <mergeCell ref="E26:O26"/>
    <mergeCell ref="E27:O27"/>
    <mergeCell ref="E28:O28"/>
    <mergeCell ref="A28:D28"/>
    <mergeCell ref="AE22:AI22"/>
    <mergeCell ref="AJ22:AN22"/>
    <mergeCell ref="Z24:AD24"/>
    <mergeCell ref="AT28:AX28"/>
    <mergeCell ref="AO24:AS24"/>
    <mergeCell ref="AT24:AX24"/>
    <mergeCell ref="U24:Y24"/>
    <mergeCell ref="AO21:AS21"/>
    <mergeCell ref="AT21:AX21"/>
    <mergeCell ref="AT26:AX26"/>
    <mergeCell ref="U27:Y27"/>
    <mergeCell ref="Z27:AD27"/>
    <mergeCell ref="AE27:AI27"/>
    <mergeCell ref="AJ27:AN27"/>
    <mergeCell ref="AO27:AS27"/>
    <mergeCell ref="AT27:AX27"/>
    <mergeCell ref="Z25:AD25"/>
    <mergeCell ref="AE25:AI25"/>
    <mergeCell ref="AJ25:AN25"/>
    <mergeCell ref="AO25:AS25"/>
    <mergeCell ref="AT25:AX25"/>
    <mergeCell ref="U26:Y26"/>
    <mergeCell ref="Z26:AD26"/>
    <mergeCell ref="AE26:AI26"/>
    <mergeCell ref="AJ26:AN26"/>
    <mergeCell ref="AJ24:AN24"/>
    <mergeCell ref="AJ21:AN21"/>
    <mergeCell ref="AO22:AS22"/>
    <mergeCell ref="AO28:AS28"/>
    <mergeCell ref="U22:Y22"/>
    <mergeCell ref="AT22:AX22"/>
    <mergeCell ref="P26:T26"/>
    <mergeCell ref="P27:T27"/>
    <mergeCell ref="U21:Y21"/>
    <mergeCell ref="Z21:AD21"/>
    <mergeCell ref="AE21:AI21"/>
    <mergeCell ref="U23:Y23"/>
    <mergeCell ref="Z23:AD23"/>
    <mergeCell ref="AE23:AI23"/>
    <mergeCell ref="U25:Y25"/>
    <mergeCell ref="AE24:AI24"/>
    <mergeCell ref="P21:T21"/>
    <mergeCell ref="P22:T22"/>
    <mergeCell ref="P23:T23"/>
    <mergeCell ref="P24:T24"/>
    <mergeCell ref="P25:T25"/>
    <mergeCell ref="Z22:AD22"/>
    <mergeCell ref="AJ23:AN23"/>
    <mergeCell ref="AO23:AS23"/>
    <mergeCell ref="AT23:AX23"/>
    <mergeCell ref="AO26:AS26"/>
    <mergeCell ref="AT20:AX20"/>
    <mergeCell ref="P20:T20"/>
    <mergeCell ref="U20:Y20"/>
    <mergeCell ref="Z20:AD20"/>
    <mergeCell ref="AE20:AI20"/>
    <mergeCell ref="AJ20:AN20"/>
    <mergeCell ref="AO20:AS20"/>
    <mergeCell ref="P18:Y18"/>
    <mergeCell ref="AT18:AX19"/>
    <mergeCell ref="P19:T19"/>
    <mergeCell ref="U19:Y19"/>
    <mergeCell ref="Z18:AI18"/>
    <mergeCell ref="AJ18:AS18"/>
    <mergeCell ref="Z19:AD19"/>
    <mergeCell ref="AE19:AI19"/>
    <mergeCell ref="AJ19:AN19"/>
    <mergeCell ref="AO19:AS19"/>
    <mergeCell ref="AO14:AS14"/>
    <mergeCell ref="AT14:AX14"/>
    <mergeCell ref="AO16:AS16"/>
    <mergeCell ref="AT16:AX16"/>
    <mergeCell ref="AE15:AI15"/>
    <mergeCell ref="AJ15:AN15"/>
    <mergeCell ref="AO15:AS15"/>
    <mergeCell ref="AT15:AX15"/>
    <mergeCell ref="Z16:AD16"/>
    <mergeCell ref="Z14:AD14"/>
    <mergeCell ref="Z15:AD15"/>
    <mergeCell ref="AE14:AI14"/>
    <mergeCell ref="AJ14:AN14"/>
    <mergeCell ref="AO11:AS11"/>
    <mergeCell ref="AT11:AX11"/>
    <mergeCell ref="AE12:AI12"/>
    <mergeCell ref="AJ12:AN12"/>
    <mergeCell ref="AO12:AS12"/>
    <mergeCell ref="AT12:AX12"/>
    <mergeCell ref="Z11:AD11"/>
    <mergeCell ref="Z12:AD12"/>
    <mergeCell ref="Z13:AD13"/>
    <mergeCell ref="AE13:AI13"/>
    <mergeCell ref="AJ13:AN13"/>
    <mergeCell ref="AO13:AS13"/>
    <mergeCell ref="AT13:AX13"/>
    <mergeCell ref="AE11:AI11"/>
    <mergeCell ref="AJ11:AN11"/>
    <mergeCell ref="AT10:AX10"/>
    <mergeCell ref="Z10:AD10"/>
    <mergeCell ref="AE10:AI10"/>
    <mergeCell ref="AJ10:AN10"/>
    <mergeCell ref="AO10:AS10"/>
    <mergeCell ref="A1:AX1"/>
    <mergeCell ref="A2:AX2"/>
    <mergeCell ref="N4:R4"/>
    <mergeCell ref="S4:AE4"/>
    <mergeCell ref="E9:Y10"/>
    <mergeCell ref="Z9:AD9"/>
    <mergeCell ref="AE9:AI9"/>
    <mergeCell ref="AJ9:AN9"/>
    <mergeCell ref="AO9:AS9"/>
    <mergeCell ref="AT9:AX9"/>
    <mergeCell ref="D4:I4"/>
    <mergeCell ref="E7:L7"/>
    <mergeCell ref="A9:D10"/>
    <mergeCell ref="AI7:AJ7"/>
  </mergeCells>
  <pageMargins left="0.74803149606299213" right="0.47244094488188981" top="0.74803149606299213" bottom="0.74803149606299213" header="0.31496062992125984" footer="0.31496062992125984"/>
  <pageSetup paperSize="9" scale="75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BA38"/>
  <sheetViews>
    <sheetView showGridLines="0" view="pageBreakPreview" topLeftCell="A14" zoomScaleNormal="100" zoomScaleSheetLayoutView="100" workbookViewId="0">
      <selection activeCell="A9" sqref="A9:C12"/>
    </sheetView>
  </sheetViews>
  <sheetFormatPr baseColWidth="10" defaultColWidth="3.44140625" defaultRowHeight="10.199999999999999" x14ac:dyDescent="0.2"/>
  <cols>
    <col min="1" max="12" width="3.44140625" style="2"/>
    <col min="13" max="13" width="6.21875" style="2" customWidth="1"/>
    <col min="14" max="16384" width="3.44140625" style="2"/>
  </cols>
  <sheetData>
    <row r="1" spans="1:53" x14ac:dyDescent="0.2">
      <c r="A1" s="214" t="s">
        <v>596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6"/>
    </row>
    <row r="2" spans="1:53" ht="10.8" thickBot="1" x14ac:dyDescent="0.25">
      <c r="A2" s="120" t="s">
        <v>368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215"/>
    </row>
    <row r="3" spans="1:53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</row>
    <row r="4" spans="1:53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25"/>
      <c r="M4" s="25"/>
      <c r="N4" s="158" t="s">
        <v>125</v>
      </c>
      <c r="O4" s="158"/>
      <c r="P4" s="158"/>
      <c r="Q4" s="158"/>
      <c r="R4" s="158"/>
      <c r="S4" s="155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7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</row>
    <row r="5" spans="1:53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</row>
    <row r="6" spans="1:53" x14ac:dyDescent="0.2">
      <c r="A6" s="24"/>
      <c r="B6" s="25"/>
      <c r="C6" s="25"/>
      <c r="D6" s="25"/>
      <c r="E6" s="27" t="s">
        <v>128</v>
      </c>
      <c r="F6" s="27" t="s">
        <v>128</v>
      </c>
      <c r="G6" s="27" t="s">
        <v>128</v>
      </c>
      <c r="H6" s="27" t="s">
        <v>128</v>
      </c>
      <c r="I6" s="27" t="s">
        <v>127</v>
      </c>
      <c r="J6" s="27" t="s">
        <v>127</v>
      </c>
      <c r="K6" s="27" t="s">
        <v>126</v>
      </c>
      <c r="L6" s="27" t="s">
        <v>126</v>
      </c>
      <c r="M6" s="25"/>
      <c r="N6" s="25"/>
      <c r="O6" s="25"/>
      <c r="P6" s="25"/>
      <c r="Q6" s="27"/>
      <c r="R6" s="27"/>
      <c r="S6" s="27"/>
      <c r="T6" s="27"/>
      <c r="U6" s="27"/>
      <c r="V6" s="25"/>
      <c r="W6" s="27"/>
      <c r="X6" s="25"/>
      <c r="Y6" s="25"/>
      <c r="Z6" s="27" t="s">
        <v>255</v>
      </c>
      <c r="AA6" s="27" t="s">
        <v>246</v>
      </c>
      <c r="AB6" s="27"/>
      <c r="AC6" s="25"/>
      <c r="AD6" s="25"/>
      <c r="AE6" s="25"/>
      <c r="AF6" s="25"/>
      <c r="AG6" s="25"/>
      <c r="AH6" s="25"/>
      <c r="AI6" s="27">
        <v>1</v>
      </c>
      <c r="AJ6" s="27">
        <v>9</v>
      </c>
      <c r="AK6" s="25"/>
      <c r="AL6" s="25"/>
      <c r="AM6" s="25"/>
      <c r="AN6" s="25"/>
      <c r="AO6" s="27" t="s">
        <v>128</v>
      </c>
      <c r="AP6" s="25"/>
      <c r="AQ6" s="25"/>
      <c r="AR6" s="25"/>
      <c r="AS6" s="27"/>
      <c r="AT6" s="25"/>
      <c r="AU6" s="25"/>
      <c r="AV6" s="25"/>
      <c r="AW6" s="25"/>
      <c r="AX6" s="25"/>
      <c r="AY6" s="25"/>
      <c r="AZ6" s="25"/>
      <c r="BA6" s="25"/>
    </row>
    <row r="7" spans="1:53" x14ac:dyDescent="0.2">
      <c r="A7" s="24"/>
      <c r="B7" s="25"/>
      <c r="C7" s="25"/>
      <c r="D7" s="25"/>
      <c r="E7" s="159" t="s">
        <v>129</v>
      </c>
      <c r="F7" s="159"/>
      <c r="G7" s="159"/>
      <c r="H7" s="159"/>
      <c r="I7" s="159"/>
      <c r="J7" s="159"/>
      <c r="K7" s="159"/>
      <c r="L7" s="159"/>
      <c r="M7" s="19"/>
      <c r="N7" s="25"/>
      <c r="O7" s="25"/>
      <c r="P7" s="25"/>
      <c r="Q7" s="25"/>
      <c r="R7" s="25"/>
      <c r="S7" s="33" t="s">
        <v>130</v>
      </c>
      <c r="T7" s="33"/>
      <c r="U7" s="25"/>
      <c r="V7" s="25"/>
      <c r="W7" s="25" t="s">
        <v>244</v>
      </c>
      <c r="X7" s="25"/>
      <c r="Y7" s="25"/>
      <c r="Z7" s="25"/>
      <c r="AA7" s="19" t="s">
        <v>245</v>
      </c>
      <c r="AB7" s="25"/>
      <c r="AC7" s="25"/>
      <c r="AD7" s="25"/>
      <c r="AE7" s="25"/>
      <c r="AF7" s="25"/>
      <c r="AG7" s="25"/>
      <c r="AH7" s="25"/>
      <c r="AI7" s="159" t="s">
        <v>131</v>
      </c>
      <c r="AJ7" s="159"/>
      <c r="AK7" s="25"/>
      <c r="AL7" s="25"/>
      <c r="AM7" s="25"/>
      <c r="AN7" s="25"/>
      <c r="AO7" s="19" t="s">
        <v>246</v>
      </c>
      <c r="AP7" s="25"/>
      <c r="AQ7" s="25"/>
      <c r="AR7" s="25"/>
      <c r="AS7" s="19" t="s">
        <v>263</v>
      </c>
      <c r="AT7" s="25"/>
      <c r="AU7" s="25"/>
      <c r="AV7" s="25"/>
      <c r="AW7" s="25"/>
      <c r="AX7" s="25"/>
      <c r="AY7" s="25"/>
      <c r="AZ7" s="25"/>
      <c r="BA7" s="25"/>
    </row>
    <row r="8" spans="1:53" ht="10.8" thickBot="1" x14ac:dyDescent="0.25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</row>
    <row r="9" spans="1:53" ht="15.75" customHeight="1" thickBot="1" x14ac:dyDescent="0.25">
      <c r="A9" s="122" t="s">
        <v>761</v>
      </c>
      <c r="B9" s="123"/>
      <c r="C9" s="123"/>
      <c r="D9" s="143" t="s">
        <v>7</v>
      </c>
      <c r="E9" s="144"/>
      <c r="F9" s="144"/>
      <c r="G9" s="144"/>
      <c r="H9" s="144"/>
      <c r="I9" s="145"/>
      <c r="J9" s="131" t="s">
        <v>22</v>
      </c>
      <c r="K9" s="132"/>
      <c r="L9" s="132"/>
      <c r="M9" s="133"/>
      <c r="N9" s="152" t="s">
        <v>143</v>
      </c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4"/>
      <c r="AD9" s="131" t="s">
        <v>147</v>
      </c>
      <c r="AE9" s="132"/>
      <c r="AF9" s="132"/>
      <c r="AG9" s="133"/>
      <c r="AH9" s="152" t="s">
        <v>146</v>
      </c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4"/>
      <c r="AX9" s="131" t="s">
        <v>148</v>
      </c>
      <c r="AY9" s="132"/>
      <c r="AZ9" s="132"/>
      <c r="BA9" s="133"/>
    </row>
    <row r="10" spans="1:53" ht="15" customHeight="1" x14ac:dyDescent="0.2">
      <c r="A10" s="125"/>
      <c r="B10" s="126"/>
      <c r="C10" s="126"/>
      <c r="D10" s="146"/>
      <c r="E10" s="147"/>
      <c r="F10" s="147"/>
      <c r="G10" s="147"/>
      <c r="H10" s="147"/>
      <c r="I10" s="148"/>
      <c r="J10" s="134"/>
      <c r="K10" s="135"/>
      <c r="L10" s="135"/>
      <c r="M10" s="136"/>
      <c r="N10" s="131" t="s">
        <v>37</v>
      </c>
      <c r="O10" s="132"/>
      <c r="P10" s="132"/>
      <c r="Q10" s="133"/>
      <c r="R10" s="131" t="s">
        <v>23</v>
      </c>
      <c r="S10" s="132"/>
      <c r="T10" s="132"/>
      <c r="U10" s="133"/>
      <c r="V10" s="131" t="s">
        <v>24</v>
      </c>
      <c r="W10" s="132"/>
      <c r="X10" s="132"/>
      <c r="Y10" s="133"/>
      <c r="Z10" s="131" t="s">
        <v>1</v>
      </c>
      <c r="AA10" s="132"/>
      <c r="AB10" s="132"/>
      <c r="AC10" s="133"/>
      <c r="AD10" s="134"/>
      <c r="AE10" s="135"/>
      <c r="AF10" s="135"/>
      <c r="AG10" s="136"/>
      <c r="AH10" s="131" t="s">
        <v>25</v>
      </c>
      <c r="AI10" s="132"/>
      <c r="AJ10" s="132"/>
      <c r="AK10" s="133"/>
      <c r="AL10" s="131" t="s">
        <v>26</v>
      </c>
      <c r="AM10" s="132"/>
      <c r="AN10" s="132"/>
      <c r="AO10" s="133"/>
      <c r="AP10" s="131" t="s">
        <v>27</v>
      </c>
      <c r="AQ10" s="132"/>
      <c r="AR10" s="132"/>
      <c r="AS10" s="133"/>
      <c r="AT10" s="143" t="s">
        <v>1</v>
      </c>
      <c r="AU10" s="144"/>
      <c r="AV10" s="144"/>
      <c r="AW10" s="145"/>
      <c r="AX10" s="134"/>
      <c r="AY10" s="135"/>
      <c r="AZ10" s="135"/>
      <c r="BA10" s="136"/>
    </row>
    <row r="11" spans="1:53" ht="29.25" customHeight="1" thickBot="1" x14ac:dyDescent="0.25">
      <c r="A11" s="125"/>
      <c r="B11" s="126"/>
      <c r="C11" s="126"/>
      <c r="D11" s="146"/>
      <c r="E11" s="147"/>
      <c r="F11" s="147"/>
      <c r="G11" s="147"/>
      <c r="H11" s="147"/>
      <c r="I11" s="148"/>
      <c r="J11" s="137"/>
      <c r="K11" s="138"/>
      <c r="L11" s="138"/>
      <c r="M11" s="139"/>
      <c r="N11" s="137"/>
      <c r="O11" s="138"/>
      <c r="P11" s="138"/>
      <c r="Q11" s="139"/>
      <c r="R11" s="137"/>
      <c r="S11" s="138"/>
      <c r="T11" s="138"/>
      <c r="U11" s="139"/>
      <c r="V11" s="137"/>
      <c r="W11" s="138"/>
      <c r="X11" s="138"/>
      <c r="Y11" s="139"/>
      <c r="Z11" s="137"/>
      <c r="AA11" s="138"/>
      <c r="AB11" s="138"/>
      <c r="AC11" s="139"/>
      <c r="AD11" s="137"/>
      <c r="AE11" s="138"/>
      <c r="AF11" s="138"/>
      <c r="AG11" s="139"/>
      <c r="AH11" s="137"/>
      <c r="AI11" s="138"/>
      <c r="AJ11" s="138"/>
      <c r="AK11" s="139"/>
      <c r="AL11" s="137"/>
      <c r="AM11" s="138"/>
      <c r="AN11" s="138"/>
      <c r="AO11" s="139"/>
      <c r="AP11" s="137"/>
      <c r="AQ11" s="138"/>
      <c r="AR11" s="138"/>
      <c r="AS11" s="139"/>
      <c r="AT11" s="149"/>
      <c r="AU11" s="150"/>
      <c r="AV11" s="150"/>
      <c r="AW11" s="151"/>
      <c r="AX11" s="137"/>
      <c r="AY11" s="138"/>
      <c r="AZ11" s="138"/>
      <c r="BA11" s="139"/>
    </row>
    <row r="12" spans="1:53" ht="15.75" customHeight="1" thickBot="1" x14ac:dyDescent="0.25">
      <c r="A12" s="128"/>
      <c r="B12" s="129"/>
      <c r="C12" s="129"/>
      <c r="D12" s="149"/>
      <c r="E12" s="150"/>
      <c r="F12" s="150"/>
      <c r="G12" s="150"/>
      <c r="H12" s="150"/>
      <c r="I12" s="151"/>
      <c r="J12" s="153">
        <v>1</v>
      </c>
      <c r="K12" s="153"/>
      <c r="L12" s="153"/>
      <c r="M12" s="154"/>
      <c r="N12" s="152">
        <v>2</v>
      </c>
      <c r="O12" s="153"/>
      <c r="P12" s="153"/>
      <c r="Q12" s="154"/>
      <c r="R12" s="152">
        <v>3</v>
      </c>
      <c r="S12" s="153"/>
      <c r="T12" s="153"/>
      <c r="U12" s="154"/>
      <c r="V12" s="152">
        <v>4</v>
      </c>
      <c r="W12" s="153"/>
      <c r="X12" s="153"/>
      <c r="Y12" s="154"/>
      <c r="Z12" s="152" t="s">
        <v>292</v>
      </c>
      <c r="AA12" s="153"/>
      <c r="AB12" s="153"/>
      <c r="AC12" s="154"/>
      <c r="AD12" s="152" t="s">
        <v>144</v>
      </c>
      <c r="AE12" s="153"/>
      <c r="AF12" s="153"/>
      <c r="AG12" s="154"/>
      <c r="AH12" s="152">
        <v>7</v>
      </c>
      <c r="AI12" s="153"/>
      <c r="AJ12" s="153"/>
      <c r="AK12" s="154"/>
      <c r="AL12" s="152">
        <v>8</v>
      </c>
      <c r="AM12" s="153"/>
      <c r="AN12" s="153"/>
      <c r="AO12" s="154"/>
      <c r="AP12" s="152">
        <v>9</v>
      </c>
      <c r="AQ12" s="153"/>
      <c r="AR12" s="153"/>
      <c r="AS12" s="154"/>
      <c r="AT12" s="152" t="s">
        <v>145</v>
      </c>
      <c r="AU12" s="153"/>
      <c r="AV12" s="153"/>
      <c r="AW12" s="154"/>
      <c r="AX12" s="152" t="s">
        <v>149</v>
      </c>
      <c r="AY12" s="153"/>
      <c r="AZ12" s="153"/>
      <c r="BA12" s="154"/>
    </row>
    <row r="13" spans="1:53" ht="24" customHeight="1" thickBot="1" x14ac:dyDescent="0.25">
      <c r="A13" s="567" t="s">
        <v>247</v>
      </c>
      <c r="B13" s="568"/>
      <c r="C13" s="569"/>
      <c r="D13" s="576" t="s">
        <v>254</v>
      </c>
      <c r="E13" s="577"/>
      <c r="F13" s="577"/>
      <c r="G13" s="577"/>
      <c r="H13" s="577"/>
      <c r="I13" s="578"/>
      <c r="J13" s="523"/>
      <c r="K13" s="524"/>
      <c r="L13" s="524"/>
      <c r="M13" s="525"/>
      <c r="N13" s="523"/>
      <c r="O13" s="524"/>
      <c r="P13" s="524"/>
      <c r="Q13" s="525"/>
      <c r="R13" s="523"/>
      <c r="S13" s="524"/>
      <c r="T13" s="524"/>
      <c r="U13" s="525"/>
      <c r="V13" s="523"/>
      <c r="W13" s="524"/>
      <c r="X13" s="524"/>
      <c r="Y13" s="525"/>
      <c r="Z13" s="523"/>
      <c r="AA13" s="524"/>
      <c r="AB13" s="524"/>
      <c r="AC13" s="525"/>
      <c r="AD13" s="523"/>
      <c r="AE13" s="524"/>
      <c r="AF13" s="524"/>
      <c r="AG13" s="525"/>
      <c r="AH13" s="523"/>
      <c r="AI13" s="524"/>
      <c r="AJ13" s="524"/>
      <c r="AK13" s="525"/>
      <c r="AL13" s="523"/>
      <c r="AM13" s="524"/>
      <c r="AN13" s="524"/>
      <c r="AO13" s="525"/>
      <c r="AP13" s="523"/>
      <c r="AQ13" s="524"/>
      <c r="AR13" s="524"/>
      <c r="AS13" s="525"/>
      <c r="AT13" s="523"/>
      <c r="AU13" s="524"/>
      <c r="AV13" s="524"/>
      <c r="AW13" s="525"/>
      <c r="AX13" s="523"/>
      <c r="AY13" s="524"/>
      <c r="AZ13" s="524"/>
      <c r="BA13" s="525"/>
    </row>
    <row r="14" spans="1:53" x14ac:dyDescent="0.2">
      <c r="A14" s="570" t="s">
        <v>432</v>
      </c>
      <c r="B14" s="571"/>
      <c r="C14" s="572"/>
      <c r="D14" s="562" t="s">
        <v>222</v>
      </c>
      <c r="E14" s="562"/>
      <c r="F14" s="562"/>
      <c r="G14" s="562"/>
      <c r="H14" s="562"/>
      <c r="I14" s="563"/>
      <c r="J14" s="168"/>
      <c r="K14" s="158"/>
      <c r="L14" s="158"/>
      <c r="M14" s="169"/>
      <c r="N14" s="168"/>
      <c r="O14" s="158"/>
      <c r="P14" s="158"/>
      <c r="Q14" s="169"/>
      <c r="R14" s="168"/>
      <c r="S14" s="158"/>
      <c r="T14" s="158"/>
      <c r="U14" s="169"/>
      <c r="V14" s="168"/>
      <c r="W14" s="158"/>
      <c r="X14" s="158"/>
      <c r="Y14" s="169"/>
      <c r="Z14" s="168"/>
      <c r="AA14" s="158"/>
      <c r="AB14" s="158"/>
      <c r="AC14" s="169"/>
      <c r="AD14" s="168"/>
      <c r="AE14" s="158"/>
      <c r="AF14" s="158"/>
      <c r="AG14" s="169"/>
      <c r="AH14" s="168"/>
      <c r="AI14" s="158"/>
      <c r="AJ14" s="158"/>
      <c r="AK14" s="169"/>
      <c r="AL14" s="168"/>
      <c r="AM14" s="158"/>
      <c r="AN14" s="158"/>
      <c r="AO14" s="169"/>
      <c r="AP14" s="168"/>
      <c r="AQ14" s="158"/>
      <c r="AR14" s="158"/>
      <c r="AS14" s="169"/>
      <c r="AT14" s="168"/>
      <c r="AU14" s="158"/>
      <c r="AV14" s="158"/>
      <c r="AW14" s="169"/>
      <c r="AX14" s="168"/>
      <c r="AY14" s="158"/>
      <c r="AZ14" s="158"/>
      <c r="BA14" s="169"/>
    </row>
    <row r="15" spans="1:53" x14ac:dyDescent="0.2">
      <c r="A15" s="554" t="s">
        <v>433</v>
      </c>
      <c r="B15" s="555"/>
      <c r="C15" s="556"/>
      <c r="D15" s="562" t="s">
        <v>222</v>
      </c>
      <c r="E15" s="562"/>
      <c r="F15" s="562"/>
      <c r="G15" s="562"/>
      <c r="H15" s="562"/>
      <c r="I15" s="563"/>
      <c r="J15" s="168"/>
      <c r="K15" s="158"/>
      <c r="L15" s="158"/>
      <c r="M15" s="169"/>
      <c r="N15" s="168"/>
      <c r="O15" s="158"/>
      <c r="P15" s="158"/>
      <c r="Q15" s="169"/>
      <c r="R15" s="168"/>
      <c r="S15" s="158"/>
      <c r="T15" s="158"/>
      <c r="U15" s="169"/>
      <c r="V15" s="168"/>
      <c r="W15" s="158"/>
      <c r="X15" s="158"/>
      <c r="Y15" s="169"/>
      <c r="Z15" s="168"/>
      <c r="AA15" s="158"/>
      <c r="AB15" s="158"/>
      <c r="AC15" s="169"/>
      <c r="AD15" s="168"/>
      <c r="AE15" s="158"/>
      <c r="AF15" s="158"/>
      <c r="AG15" s="169"/>
      <c r="AH15" s="168"/>
      <c r="AI15" s="158"/>
      <c r="AJ15" s="158"/>
      <c r="AK15" s="169"/>
      <c r="AL15" s="168"/>
      <c r="AM15" s="158"/>
      <c r="AN15" s="158"/>
      <c r="AO15" s="169"/>
      <c r="AP15" s="168"/>
      <c r="AQ15" s="158"/>
      <c r="AR15" s="158"/>
      <c r="AS15" s="169"/>
      <c r="AT15" s="168"/>
      <c r="AU15" s="158"/>
      <c r="AV15" s="158"/>
      <c r="AW15" s="169"/>
      <c r="AX15" s="168"/>
      <c r="AY15" s="158"/>
      <c r="AZ15" s="158"/>
      <c r="BA15" s="169"/>
    </row>
    <row r="16" spans="1:53" x14ac:dyDescent="0.2">
      <c r="A16" s="554" t="s">
        <v>434</v>
      </c>
      <c r="B16" s="555"/>
      <c r="C16" s="556"/>
      <c r="D16" s="562" t="s">
        <v>222</v>
      </c>
      <c r="E16" s="562"/>
      <c r="F16" s="562"/>
      <c r="G16" s="562"/>
      <c r="H16" s="562"/>
      <c r="I16" s="563"/>
      <c r="J16" s="168"/>
      <c r="K16" s="158"/>
      <c r="L16" s="158"/>
      <c r="M16" s="169"/>
      <c r="N16" s="168"/>
      <c r="O16" s="158"/>
      <c r="P16" s="158"/>
      <c r="Q16" s="169"/>
      <c r="R16" s="168"/>
      <c r="S16" s="158"/>
      <c r="T16" s="158"/>
      <c r="U16" s="169"/>
      <c r="V16" s="168"/>
      <c r="W16" s="158"/>
      <c r="X16" s="158"/>
      <c r="Y16" s="169"/>
      <c r="Z16" s="168"/>
      <c r="AA16" s="158"/>
      <c r="AB16" s="158"/>
      <c r="AC16" s="169"/>
      <c r="AD16" s="168"/>
      <c r="AE16" s="158"/>
      <c r="AF16" s="158"/>
      <c r="AG16" s="169"/>
      <c r="AH16" s="168"/>
      <c r="AI16" s="158"/>
      <c r="AJ16" s="158"/>
      <c r="AK16" s="169"/>
      <c r="AL16" s="168"/>
      <c r="AM16" s="158"/>
      <c r="AN16" s="158"/>
      <c r="AO16" s="169"/>
      <c r="AP16" s="168"/>
      <c r="AQ16" s="158"/>
      <c r="AR16" s="158"/>
      <c r="AS16" s="169"/>
      <c r="AT16" s="168"/>
      <c r="AU16" s="158"/>
      <c r="AV16" s="158"/>
      <c r="AW16" s="169"/>
      <c r="AX16" s="168"/>
      <c r="AY16" s="158"/>
      <c r="AZ16" s="158"/>
      <c r="BA16" s="169"/>
    </row>
    <row r="17" spans="1:53" x14ac:dyDescent="0.2">
      <c r="A17" s="554" t="s">
        <v>435</v>
      </c>
      <c r="B17" s="555"/>
      <c r="C17" s="556"/>
      <c r="D17" s="562" t="s">
        <v>222</v>
      </c>
      <c r="E17" s="562"/>
      <c r="F17" s="562"/>
      <c r="G17" s="562"/>
      <c r="H17" s="562"/>
      <c r="I17" s="563"/>
      <c r="J17" s="168"/>
      <c r="K17" s="158"/>
      <c r="L17" s="158"/>
      <c r="M17" s="169"/>
      <c r="N17" s="168"/>
      <c r="O17" s="158"/>
      <c r="P17" s="158"/>
      <c r="Q17" s="169"/>
      <c r="R17" s="168"/>
      <c r="S17" s="158"/>
      <c r="T17" s="158"/>
      <c r="U17" s="169"/>
      <c r="V17" s="168"/>
      <c r="W17" s="158"/>
      <c r="X17" s="158"/>
      <c r="Y17" s="169"/>
      <c r="Z17" s="168"/>
      <c r="AA17" s="158"/>
      <c r="AB17" s="158"/>
      <c r="AC17" s="169"/>
      <c r="AD17" s="168"/>
      <c r="AE17" s="158"/>
      <c r="AF17" s="158"/>
      <c r="AG17" s="169"/>
      <c r="AH17" s="168"/>
      <c r="AI17" s="158"/>
      <c r="AJ17" s="158"/>
      <c r="AK17" s="169"/>
      <c r="AL17" s="168"/>
      <c r="AM17" s="158"/>
      <c r="AN17" s="158"/>
      <c r="AO17" s="169"/>
      <c r="AP17" s="168"/>
      <c r="AQ17" s="158"/>
      <c r="AR17" s="158"/>
      <c r="AS17" s="169"/>
      <c r="AT17" s="168"/>
      <c r="AU17" s="158"/>
      <c r="AV17" s="158"/>
      <c r="AW17" s="169"/>
      <c r="AX17" s="168"/>
      <c r="AY17" s="158"/>
      <c r="AZ17" s="158"/>
      <c r="BA17" s="169"/>
    </row>
    <row r="18" spans="1:53" ht="10.8" thickBot="1" x14ac:dyDescent="0.25">
      <c r="A18" s="557" t="s">
        <v>436</v>
      </c>
      <c r="B18" s="558"/>
      <c r="C18" s="559"/>
      <c r="D18" s="562" t="s">
        <v>274</v>
      </c>
      <c r="E18" s="562"/>
      <c r="F18" s="562"/>
      <c r="G18" s="562"/>
      <c r="H18" s="562"/>
      <c r="I18" s="563"/>
      <c r="J18" s="168"/>
      <c r="K18" s="158"/>
      <c r="L18" s="158"/>
      <c r="M18" s="169"/>
      <c r="N18" s="168"/>
      <c r="O18" s="158"/>
      <c r="P18" s="158"/>
      <c r="Q18" s="169"/>
      <c r="R18" s="168"/>
      <c r="S18" s="158"/>
      <c r="T18" s="158"/>
      <c r="U18" s="169"/>
      <c r="V18" s="168"/>
      <c r="W18" s="158"/>
      <c r="X18" s="158"/>
      <c r="Y18" s="169"/>
      <c r="Z18" s="168"/>
      <c r="AA18" s="158"/>
      <c r="AB18" s="158"/>
      <c r="AC18" s="169"/>
      <c r="AD18" s="168"/>
      <c r="AE18" s="158"/>
      <c r="AF18" s="158"/>
      <c r="AG18" s="169"/>
      <c r="AH18" s="168"/>
      <c r="AI18" s="158"/>
      <c r="AJ18" s="158"/>
      <c r="AK18" s="169"/>
      <c r="AL18" s="168"/>
      <c r="AM18" s="158"/>
      <c r="AN18" s="158"/>
      <c r="AO18" s="169"/>
      <c r="AP18" s="168"/>
      <c r="AQ18" s="158"/>
      <c r="AR18" s="158"/>
      <c r="AS18" s="169"/>
      <c r="AT18" s="168"/>
      <c r="AU18" s="158"/>
      <c r="AV18" s="158"/>
      <c r="AW18" s="169"/>
      <c r="AX18" s="168"/>
      <c r="AY18" s="158"/>
      <c r="AZ18" s="158"/>
      <c r="BA18" s="169"/>
    </row>
    <row r="19" spans="1:53" ht="25.5" customHeight="1" thickBot="1" x14ac:dyDescent="0.25">
      <c r="A19" s="573" t="s">
        <v>248</v>
      </c>
      <c r="B19" s="574"/>
      <c r="C19" s="575"/>
      <c r="D19" s="564" t="s">
        <v>253</v>
      </c>
      <c r="E19" s="565"/>
      <c r="F19" s="565"/>
      <c r="G19" s="565"/>
      <c r="H19" s="565"/>
      <c r="I19" s="566"/>
      <c r="J19" s="523"/>
      <c r="K19" s="524"/>
      <c r="L19" s="524"/>
      <c r="M19" s="525"/>
      <c r="N19" s="523"/>
      <c r="O19" s="524"/>
      <c r="P19" s="524"/>
      <c r="Q19" s="525"/>
      <c r="R19" s="523"/>
      <c r="S19" s="524"/>
      <c r="T19" s="524"/>
      <c r="U19" s="525"/>
      <c r="V19" s="523"/>
      <c r="W19" s="524"/>
      <c r="X19" s="524"/>
      <c r="Y19" s="525"/>
      <c r="Z19" s="523"/>
      <c r="AA19" s="524"/>
      <c r="AB19" s="524"/>
      <c r="AC19" s="525"/>
      <c r="AD19" s="523"/>
      <c r="AE19" s="524"/>
      <c r="AF19" s="524"/>
      <c r="AG19" s="525"/>
      <c r="AH19" s="523"/>
      <c r="AI19" s="524"/>
      <c r="AJ19" s="524"/>
      <c r="AK19" s="525"/>
      <c r="AL19" s="523"/>
      <c r="AM19" s="524"/>
      <c r="AN19" s="524"/>
      <c r="AO19" s="525"/>
      <c r="AP19" s="523"/>
      <c r="AQ19" s="524"/>
      <c r="AR19" s="524"/>
      <c r="AS19" s="525"/>
      <c r="AT19" s="523"/>
      <c r="AU19" s="524"/>
      <c r="AV19" s="524"/>
      <c r="AW19" s="525"/>
      <c r="AX19" s="523"/>
      <c r="AY19" s="524"/>
      <c r="AZ19" s="524"/>
      <c r="BA19" s="525"/>
    </row>
    <row r="20" spans="1:53" x14ac:dyDescent="0.2">
      <c r="A20" s="570" t="s">
        <v>437</v>
      </c>
      <c r="B20" s="571"/>
      <c r="C20" s="572"/>
      <c r="D20" s="561" t="s">
        <v>222</v>
      </c>
      <c r="E20" s="562"/>
      <c r="F20" s="562"/>
      <c r="G20" s="562"/>
      <c r="H20" s="562"/>
      <c r="I20" s="563"/>
      <c r="J20" s="168"/>
      <c r="K20" s="158"/>
      <c r="L20" s="158"/>
      <c r="M20" s="169"/>
      <c r="N20" s="168"/>
      <c r="O20" s="158"/>
      <c r="P20" s="158"/>
      <c r="Q20" s="169"/>
      <c r="R20" s="168"/>
      <c r="S20" s="158"/>
      <c r="T20" s="158"/>
      <c r="U20" s="169"/>
      <c r="V20" s="168"/>
      <c r="W20" s="158"/>
      <c r="X20" s="158"/>
      <c r="Y20" s="169"/>
      <c r="Z20" s="168"/>
      <c r="AA20" s="158"/>
      <c r="AB20" s="158"/>
      <c r="AC20" s="169"/>
      <c r="AD20" s="168"/>
      <c r="AE20" s="158"/>
      <c r="AF20" s="158"/>
      <c r="AG20" s="169"/>
      <c r="AH20" s="168"/>
      <c r="AI20" s="158"/>
      <c r="AJ20" s="158"/>
      <c r="AK20" s="169"/>
      <c r="AL20" s="168"/>
      <c r="AM20" s="158"/>
      <c r="AN20" s="158"/>
      <c r="AO20" s="169"/>
      <c r="AP20" s="168"/>
      <c r="AQ20" s="158"/>
      <c r="AR20" s="158"/>
      <c r="AS20" s="169"/>
      <c r="AT20" s="168"/>
      <c r="AU20" s="158"/>
      <c r="AV20" s="158"/>
      <c r="AW20" s="169"/>
      <c r="AX20" s="168"/>
      <c r="AY20" s="158"/>
      <c r="AZ20" s="158"/>
      <c r="BA20" s="169"/>
    </row>
    <row r="21" spans="1:53" x14ac:dyDescent="0.2">
      <c r="A21" s="554" t="s">
        <v>438</v>
      </c>
      <c r="B21" s="555"/>
      <c r="C21" s="556"/>
      <c r="D21" s="561" t="s">
        <v>222</v>
      </c>
      <c r="E21" s="562"/>
      <c r="F21" s="562"/>
      <c r="G21" s="562"/>
      <c r="H21" s="562"/>
      <c r="I21" s="563"/>
      <c r="J21" s="168"/>
      <c r="K21" s="158"/>
      <c r="L21" s="158"/>
      <c r="M21" s="169"/>
      <c r="N21" s="168"/>
      <c r="O21" s="158"/>
      <c r="P21" s="158"/>
      <c r="Q21" s="169"/>
      <c r="R21" s="168"/>
      <c r="S21" s="158"/>
      <c r="T21" s="158"/>
      <c r="U21" s="169"/>
      <c r="V21" s="168"/>
      <c r="W21" s="158"/>
      <c r="X21" s="158"/>
      <c r="Y21" s="169"/>
      <c r="Z21" s="168"/>
      <c r="AA21" s="158"/>
      <c r="AB21" s="158"/>
      <c r="AC21" s="169"/>
      <c r="AD21" s="168"/>
      <c r="AE21" s="158"/>
      <c r="AF21" s="158"/>
      <c r="AG21" s="169"/>
      <c r="AH21" s="168"/>
      <c r="AI21" s="158"/>
      <c r="AJ21" s="158"/>
      <c r="AK21" s="169"/>
      <c r="AL21" s="168"/>
      <c r="AM21" s="158"/>
      <c r="AN21" s="158"/>
      <c r="AO21" s="169"/>
      <c r="AP21" s="168"/>
      <c r="AQ21" s="158"/>
      <c r="AR21" s="158"/>
      <c r="AS21" s="169"/>
      <c r="AT21" s="168"/>
      <c r="AU21" s="158"/>
      <c r="AV21" s="158"/>
      <c r="AW21" s="169"/>
      <c r="AX21" s="168"/>
      <c r="AY21" s="158"/>
      <c r="AZ21" s="158"/>
      <c r="BA21" s="169"/>
    </row>
    <row r="22" spans="1:53" x14ac:dyDescent="0.2">
      <c r="A22" s="554" t="s">
        <v>439</v>
      </c>
      <c r="B22" s="555"/>
      <c r="C22" s="556"/>
      <c r="D22" s="561" t="s">
        <v>222</v>
      </c>
      <c r="E22" s="562"/>
      <c r="F22" s="562"/>
      <c r="G22" s="562"/>
      <c r="H22" s="562"/>
      <c r="I22" s="563"/>
      <c r="J22" s="168"/>
      <c r="K22" s="158"/>
      <c r="L22" s="158"/>
      <c r="M22" s="169"/>
      <c r="N22" s="168"/>
      <c r="O22" s="158"/>
      <c r="P22" s="158"/>
      <c r="Q22" s="169"/>
      <c r="R22" s="168"/>
      <c r="S22" s="158"/>
      <c r="T22" s="158"/>
      <c r="U22" s="169"/>
      <c r="V22" s="168"/>
      <c r="W22" s="158"/>
      <c r="X22" s="158"/>
      <c r="Y22" s="169"/>
      <c r="Z22" s="168"/>
      <c r="AA22" s="158"/>
      <c r="AB22" s="158"/>
      <c r="AC22" s="169"/>
      <c r="AD22" s="168"/>
      <c r="AE22" s="158"/>
      <c r="AF22" s="158"/>
      <c r="AG22" s="169"/>
      <c r="AH22" s="168"/>
      <c r="AI22" s="158"/>
      <c r="AJ22" s="158"/>
      <c r="AK22" s="169"/>
      <c r="AL22" s="168"/>
      <c r="AM22" s="158"/>
      <c r="AN22" s="158"/>
      <c r="AO22" s="169"/>
      <c r="AP22" s="168"/>
      <c r="AQ22" s="158"/>
      <c r="AR22" s="158"/>
      <c r="AS22" s="169"/>
      <c r="AT22" s="168"/>
      <c r="AU22" s="158"/>
      <c r="AV22" s="158"/>
      <c r="AW22" s="169"/>
      <c r="AX22" s="168"/>
      <c r="AY22" s="158"/>
      <c r="AZ22" s="158"/>
      <c r="BA22" s="169"/>
    </row>
    <row r="23" spans="1:53" x14ac:dyDescent="0.2">
      <c r="A23" s="554" t="s">
        <v>435</v>
      </c>
      <c r="B23" s="555"/>
      <c r="C23" s="556"/>
      <c r="D23" s="561" t="s">
        <v>222</v>
      </c>
      <c r="E23" s="562"/>
      <c r="F23" s="562"/>
      <c r="G23" s="562"/>
      <c r="H23" s="562"/>
      <c r="I23" s="563"/>
      <c r="J23" s="168"/>
      <c r="K23" s="158"/>
      <c r="L23" s="158"/>
      <c r="M23" s="169"/>
      <c r="N23" s="168"/>
      <c r="O23" s="158"/>
      <c r="P23" s="158"/>
      <c r="Q23" s="169"/>
      <c r="R23" s="168"/>
      <c r="S23" s="158"/>
      <c r="T23" s="158"/>
      <c r="U23" s="169"/>
      <c r="V23" s="168"/>
      <c r="W23" s="158"/>
      <c r="X23" s="158"/>
      <c r="Y23" s="169"/>
      <c r="Z23" s="168"/>
      <c r="AA23" s="158"/>
      <c r="AB23" s="158"/>
      <c r="AC23" s="169"/>
      <c r="AD23" s="168"/>
      <c r="AE23" s="158"/>
      <c r="AF23" s="158"/>
      <c r="AG23" s="169"/>
      <c r="AH23" s="168"/>
      <c r="AI23" s="158"/>
      <c r="AJ23" s="158"/>
      <c r="AK23" s="169"/>
      <c r="AL23" s="168"/>
      <c r="AM23" s="158"/>
      <c r="AN23" s="158"/>
      <c r="AO23" s="169"/>
      <c r="AP23" s="168"/>
      <c r="AQ23" s="158"/>
      <c r="AR23" s="158"/>
      <c r="AS23" s="169"/>
      <c r="AT23" s="168"/>
      <c r="AU23" s="158"/>
      <c r="AV23" s="158"/>
      <c r="AW23" s="169"/>
      <c r="AX23" s="168"/>
      <c r="AY23" s="158"/>
      <c r="AZ23" s="158"/>
      <c r="BA23" s="169"/>
    </row>
    <row r="24" spans="1:53" ht="10.8" thickBot="1" x14ac:dyDescent="0.25">
      <c r="A24" s="557" t="s">
        <v>440</v>
      </c>
      <c r="B24" s="558"/>
      <c r="C24" s="559"/>
      <c r="D24" s="561" t="s">
        <v>274</v>
      </c>
      <c r="E24" s="562"/>
      <c r="F24" s="562"/>
      <c r="G24" s="562"/>
      <c r="H24" s="562"/>
      <c r="I24" s="563"/>
      <c r="J24" s="168"/>
      <c r="K24" s="158"/>
      <c r="L24" s="158"/>
      <c r="M24" s="169"/>
      <c r="N24" s="168"/>
      <c r="O24" s="158"/>
      <c r="P24" s="158"/>
      <c r="Q24" s="169"/>
      <c r="R24" s="168"/>
      <c r="S24" s="158"/>
      <c r="T24" s="158"/>
      <c r="U24" s="169"/>
      <c r="V24" s="168"/>
      <c r="W24" s="158"/>
      <c r="X24" s="158"/>
      <c r="Y24" s="169"/>
      <c r="Z24" s="168"/>
      <c r="AA24" s="158"/>
      <c r="AB24" s="158"/>
      <c r="AC24" s="169"/>
      <c r="AD24" s="168"/>
      <c r="AE24" s="158"/>
      <c r="AF24" s="158"/>
      <c r="AG24" s="169"/>
      <c r="AH24" s="168"/>
      <c r="AI24" s="158"/>
      <c r="AJ24" s="158"/>
      <c r="AK24" s="169"/>
      <c r="AL24" s="168"/>
      <c r="AM24" s="158"/>
      <c r="AN24" s="158"/>
      <c r="AO24" s="169"/>
      <c r="AP24" s="168"/>
      <c r="AQ24" s="158"/>
      <c r="AR24" s="158"/>
      <c r="AS24" s="169"/>
      <c r="AT24" s="168"/>
      <c r="AU24" s="158"/>
      <c r="AV24" s="158"/>
      <c r="AW24" s="169"/>
      <c r="AX24" s="168"/>
      <c r="AY24" s="158"/>
      <c r="AZ24" s="158"/>
      <c r="BA24" s="169"/>
    </row>
    <row r="25" spans="1:53" ht="27.75" customHeight="1" thickBot="1" x14ac:dyDescent="0.25">
      <c r="A25" s="184" t="s">
        <v>249</v>
      </c>
      <c r="B25" s="185"/>
      <c r="C25" s="560"/>
      <c r="D25" s="564" t="s">
        <v>251</v>
      </c>
      <c r="E25" s="565"/>
      <c r="F25" s="565"/>
      <c r="G25" s="565"/>
      <c r="H25" s="565"/>
      <c r="I25" s="566"/>
      <c r="J25" s="523"/>
      <c r="K25" s="524"/>
      <c r="L25" s="524"/>
      <c r="M25" s="525"/>
      <c r="N25" s="523"/>
      <c r="O25" s="524"/>
      <c r="P25" s="524"/>
      <c r="Q25" s="525"/>
      <c r="R25" s="523"/>
      <c r="S25" s="524"/>
      <c r="T25" s="524"/>
      <c r="U25" s="525"/>
      <c r="V25" s="523"/>
      <c r="W25" s="524"/>
      <c r="X25" s="524"/>
      <c r="Y25" s="525"/>
      <c r="Z25" s="523"/>
      <c r="AA25" s="524"/>
      <c r="AB25" s="524"/>
      <c r="AC25" s="525"/>
      <c r="AD25" s="523"/>
      <c r="AE25" s="524"/>
      <c r="AF25" s="524"/>
      <c r="AG25" s="525"/>
      <c r="AH25" s="523"/>
      <c r="AI25" s="524"/>
      <c r="AJ25" s="524"/>
      <c r="AK25" s="525"/>
      <c r="AL25" s="523"/>
      <c r="AM25" s="524"/>
      <c r="AN25" s="524"/>
      <c r="AO25" s="525"/>
      <c r="AP25" s="523"/>
      <c r="AQ25" s="524"/>
      <c r="AR25" s="524"/>
      <c r="AS25" s="525"/>
      <c r="AT25" s="523"/>
      <c r="AU25" s="524"/>
      <c r="AV25" s="524"/>
      <c r="AW25" s="525"/>
      <c r="AX25" s="523"/>
      <c r="AY25" s="524"/>
      <c r="AZ25" s="524"/>
      <c r="BA25" s="525"/>
    </row>
    <row r="26" spans="1:53" x14ac:dyDescent="0.2">
      <c r="A26" s="570" t="s">
        <v>441</v>
      </c>
      <c r="B26" s="571"/>
      <c r="C26" s="572"/>
      <c r="D26" s="561" t="s">
        <v>222</v>
      </c>
      <c r="E26" s="562"/>
      <c r="F26" s="562"/>
      <c r="G26" s="562"/>
      <c r="H26" s="562"/>
      <c r="I26" s="563"/>
      <c r="J26" s="168"/>
      <c r="K26" s="158"/>
      <c r="L26" s="158"/>
      <c r="M26" s="169"/>
      <c r="N26" s="168"/>
      <c r="O26" s="158"/>
      <c r="P26" s="158"/>
      <c r="Q26" s="169"/>
      <c r="R26" s="168"/>
      <c r="S26" s="158"/>
      <c r="T26" s="158"/>
      <c r="U26" s="169"/>
      <c r="V26" s="168"/>
      <c r="W26" s="158"/>
      <c r="X26" s="158"/>
      <c r="Y26" s="169"/>
      <c r="Z26" s="168"/>
      <c r="AA26" s="158"/>
      <c r="AB26" s="158"/>
      <c r="AC26" s="169"/>
      <c r="AD26" s="168"/>
      <c r="AE26" s="158"/>
      <c r="AF26" s="158"/>
      <c r="AG26" s="169"/>
      <c r="AH26" s="168"/>
      <c r="AI26" s="158"/>
      <c r="AJ26" s="158"/>
      <c r="AK26" s="169"/>
      <c r="AL26" s="168"/>
      <c r="AM26" s="158"/>
      <c r="AN26" s="158"/>
      <c r="AO26" s="169"/>
      <c r="AP26" s="168"/>
      <c r="AQ26" s="158"/>
      <c r="AR26" s="158"/>
      <c r="AS26" s="169"/>
      <c r="AT26" s="168"/>
      <c r="AU26" s="158"/>
      <c r="AV26" s="158"/>
      <c r="AW26" s="169"/>
      <c r="AX26" s="168"/>
      <c r="AY26" s="158"/>
      <c r="AZ26" s="158"/>
      <c r="BA26" s="169"/>
    </row>
    <row r="27" spans="1:53" x14ac:dyDescent="0.2">
      <c r="A27" s="554" t="s">
        <v>442</v>
      </c>
      <c r="B27" s="555"/>
      <c r="C27" s="556"/>
      <c r="D27" s="561" t="s">
        <v>222</v>
      </c>
      <c r="E27" s="562"/>
      <c r="F27" s="562"/>
      <c r="G27" s="562"/>
      <c r="H27" s="562"/>
      <c r="I27" s="563"/>
      <c r="J27" s="168"/>
      <c r="K27" s="158"/>
      <c r="L27" s="158"/>
      <c r="M27" s="169"/>
      <c r="N27" s="168"/>
      <c r="O27" s="158"/>
      <c r="P27" s="158"/>
      <c r="Q27" s="169"/>
      <c r="R27" s="168"/>
      <c r="S27" s="158"/>
      <c r="T27" s="158"/>
      <c r="U27" s="169"/>
      <c r="V27" s="168"/>
      <c r="W27" s="158"/>
      <c r="X27" s="158"/>
      <c r="Y27" s="169"/>
      <c r="Z27" s="168"/>
      <c r="AA27" s="158"/>
      <c r="AB27" s="158"/>
      <c r="AC27" s="169"/>
      <c r="AD27" s="168"/>
      <c r="AE27" s="158"/>
      <c r="AF27" s="158"/>
      <c r="AG27" s="169"/>
      <c r="AH27" s="168"/>
      <c r="AI27" s="158"/>
      <c r="AJ27" s="158"/>
      <c r="AK27" s="169"/>
      <c r="AL27" s="168"/>
      <c r="AM27" s="158"/>
      <c r="AN27" s="158"/>
      <c r="AO27" s="169"/>
      <c r="AP27" s="168"/>
      <c r="AQ27" s="158"/>
      <c r="AR27" s="158"/>
      <c r="AS27" s="169"/>
      <c r="AT27" s="168"/>
      <c r="AU27" s="158"/>
      <c r="AV27" s="158"/>
      <c r="AW27" s="169"/>
      <c r="AX27" s="168"/>
      <c r="AY27" s="158"/>
      <c r="AZ27" s="158"/>
      <c r="BA27" s="169"/>
    </row>
    <row r="28" spans="1:53" x14ac:dyDescent="0.2">
      <c r="A28" s="554" t="s">
        <v>443</v>
      </c>
      <c r="B28" s="555"/>
      <c r="C28" s="556"/>
      <c r="D28" s="561" t="s">
        <v>222</v>
      </c>
      <c r="E28" s="562"/>
      <c r="F28" s="562"/>
      <c r="G28" s="562"/>
      <c r="H28" s="562"/>
      <c r="I28" s="563"/>
      <c r="J28" s="168"/>
      <c r="K28" s="158"/>
      <c r="L28" s="158"/>
      <c r="M28" s="169"/>
      <c r="N28" s="168"/>
      <c r="O28" s="158"/>
      <c r="P28" s="158"/>
      <c r="Q28" s="169"/>
      <c r="R28" s="168"/>
      <c r="S28" s="158"/>
      <c r="T28" s="158"/>
      <c r="U28" s="169"/>
      <c r="V28" s="168"/>
      <c r="W28" s="158"/>
      <c r="X28" s="158"/>
      <c r="Y28" s="169"/>
      <c r="Z28" s="168"/>
      <c r="AA28" s="158"/>
      <c r="AB28" s="158"/>
      <c r="AC28" s="169"/>
      <c r="AD28" s="168"/>
      <c r="AE28" s="158"/>
      <c r="AF28" s="158"/>
      <c r="AG28" s="169"/>
      <c r="AH28" s="168"/>
      <c r="AI28" s="158"/>
      <c r="AJ28" s="158"/>
      <c r="AK28" s="169"/>
      <c r="AL28" s="168"/>
      <c r="AM28" s="158"/>
      <c r="AN28" s="158"/>
      <c r="AO28" s="169"/>
      <c r="AP28" s="168"/>
      <c r="AQ28" s="158"/>
      <c r="AR28" s="158"/>
      <c r="AS28" s="169"/>
      <c r="AT28" s="168"/>
      <c r="AU28" s="158"/>
      <c r="AV28" s="158"/>
      <c r="AW28" s="169"/>
      <c r="AX28" s="168"/>
      <c r="AY28" s="158"/>
      <c r="AZ28" s="158"/>
      <c r="BA28" s="169"/>
    </row>
    <row r="29" spans="1:53" x14ac:dyDescent="0.2">
      <c r="A29" s="554" t="s">
        <v>435</v>
      </c>
      <c r="B29" s="555"/>
      <c r="C29" s="556"/>
      <c r="D29" s="561" t="s">
        <v>222</v>
      </c>
      <c r="E29" s="562"/>
      <c r="F29" s="562"/>
      <c r="G29" s="562"/>
      <c r="H29" s="562"/>
      <c r="I29" s="563"/>
      <c r="J29" s="168"/>
      <c r="K29" s="158"/>
      <c r="L29" s="158"/>
      <c r="M29" s="169"/>
      <c r="N29" s="168"/>
      <c r="O29" s="158"/>
      <c r="P29" s="158"/>
      <c r="Q29" s="169"/>
      <c r="R29" s="168"/>
      <c r="S29" s="158"/>
      <c r="T29" s="158"/>
      <c r="U29" s="169"/>
      <c r="V29" s="168"/>
      <c r="W29" s="158"/>
      <c r="X29" s="158"/>
      <c r="Y29" s="169"/>
      <c r="Z29" s="168"/>
      <c r="AA29" s="158"/>
      <c r="AB29" s="158"/>
      <c r="AC29" s="169"/>
      <c r="AD29" s="168"/>
      <c r="AE29" s="158"/>
      <c r="AF29" s="158"/>
      <c r="AG29" s="169"/>
      <c r="AH29" s="168"/>
      <c r="AI29" s="158"/>
      <c r="AJ29" s="158"/>
      <c r="AK29" s="169"/>
      <c r="AL29" s="168"/>
      <c r="AM29" s="158"/>
      <c r="AN29" s="158"/>
      <c r="AO29" s="169"/>
      <c r="AP29" s="168"/>
      <c r="AQ29" s="158"/>
      <c r="AR29" s="158"/>
      <c r="AS29" s="169"/>
      <c r="AT29" s="168"/>
      <c r="AU29" s="158"/>
      <c r="AV29" s="158"/>
      <c r="AW29" s="169"/>
      <c r="AX29" s="168"/>
      <c r="AY29" s="158"/>
      <c r="AZ29" s="158"/>
      <c r="BA29" s="169"/>
    </row>
    <row r="30" spans="1:53" ht="10.8" thickBot="1" x14ac:dyDescent="0.25">
      <c r="A30" s="557" t="s">
        <v>444</v>
      </c>
      <c r="B30" s="558"/>
      <c r="C30" s="559"/>
      <c r="D30" s="561" t="s">
        <v>274</v>
      </c>
      <c r="E30" s="562"/>
      <c r="F30" s="562"/>
      <c r="G30" s="562"/>
      <c r="H30" s="562"/>
      <c r="I30" s="563"/>
      <c r="J30" s="168"/>
      <c r="K30" s="158"/>
      <c r="L30" s="158"/>
      <c r="M30" s="169"/>
      <c r="N30" s="168"/>
      <c r="O30" s="158"/>
      <c r="P30" s="158"/>
      <c r="Q30" s="169"/>
      <c r="R30" s="168"/>
      <c r="S30" s="158"/>
      <c r="T30" s="158"/>
      <c r="U30" s="169"/>
      <c r="V30" s="168"/>
      <c r="W30" s="158"/>
      <c r="X30" s="158"/>
      <c r="Y30" s="169"/>
      <c r="Z30" s="168"/>
      <c r="AA30" s="158"/>
      <c r="AB30" s="158"/>
      <c r="AC30" s="169"/>
      <c r="AD30" s="168"/>
      <c r="AE30" s="158"/>
      <c r="AF30" s="158"/>
      <c r="AG30" s="169"/>
      <c r="AH30" s="168"/>
      <c r="AI30" s="158"/>
      <c r="AJ30" s="158"/>
      <c r="AK30" s="169"/>
      <c r="AL30" s="168"/>
      <c r="AM30" s="158"/>
      <c r="AN30" s="158"/>
      <c r="AO30" s="169"/>
      <c r="AP30" s="168"/>
      <c r="AQ30" s="158"/>
      <c r="AR30" s="158"/>
      <c r="AS30" s="169"/>
      <c r="AT30" s="168"/>
      <c r="AU30" s="158"/>
      <c r="AV30" s="158"/>
      <c r="AW30" s="169"/>
      <c r="AX30" s="168"/>
      <c r="AY30" s="158"/>
      <c r="AZ30" s="158"/>
      <c r="BA30" s="169"/>
    </row>
    <row r="31" spans="1:53" ht="24.75" customHeight="1" thickBot="1" x14ac:dyDescent="0.25">
      <c r="A31" s="184" t="s">
        <v>250</v>
      </c>
      <c r="B31" s="185"/>
      <c r="C31" s="560"/>
      <c r="D31" s="564" t="s">
        <v>252</v>
      </c>
      <c r="E31" s="565"/>
      <c r="F31" s="565"/>
      <c r="G31" s="565"/>
      <c r="H31" s="565"/>
      <c r="I31" s="566"/>
      <c r="J31" s="523"/>
      <c r="K31" s="524"/>
      <c r="L31" s="524"/>
      <c r="M31" s="525"/>
      <c r="N31" s="523"/>
      <c r="O31" s="524"/>
      <c r="P31" s="524"/>
      <c r="Q31" s="525"/>
      <c r="R31" s="523"/>
      <c r="S31" s="524"/>
      <c r="T31" s="524"/>
      <c r="U31" s="525"/>
      <c r="V31" s="523"/>
      <c r="W31" s="524"/>
      <c r="X31" s="524"/>
      <c r="Y31" s="525"/>
      <c r="Z31" s="523"/>
      <c r="AA31" s="524"/>
      <c r="AB31" s="524"/>
      <c r="AC31" s="525"/>
      <c r="AD31" s="523"/>
      <c r="AE31" s="524"/>
      <c r="AF31" s="524"/>
      <c r="AG31" s="525"/>
      <c r="AH31" s="523"/>
      <c r="AI31" s="524"/>
      <c r="AJ31" s="524"/>
      <c r="AK31" s="525"/>
      <c r="AL31" s="523"/>
      <c r="AM31" s="524"/>
      <c r="AN31" s="524"/>
      <c r="AO31" s="525"/>
      <c r="AP31" s="523"/>
      <c r="AQ31" s="524"/>
      <c r="AR31" s="524"/>
      <c r="AS31" s="525"/>
      <c r="AT31" s="523"/>
      <c r="AU31" s="524"/>
      <c r="AV31" s="524"/>
      <c r="AW31" s="525"/>
      <c r="AX31" s="523"/>
      <c r="AY31" s="524"/>
      <c r="AZ31" s="524"/>
      <c r="BA31" s="525"/>
    </row>
    <row r="32" spans="1:53" x14ac:dyDescent="0.2">
      <c r="A32" s="570" t="s">
        <v>445</v>
      </c>
      <c r="B32" s="571"/>
      <c r="C32" s="572"/>
      <c r="D32" s="561" t="s">
        <v>222</v>
      </c>
      <c r="E32" s="562"/>
      <c r="F32" s="562"/>
      <c r="G32" s="562"/>
      <c r="H32" s="562"/>
      <c r="I32" s="563"/>
      <c r="J32" s="168"/>
      <c r="K32" s="158"/>
      <c r="L32" s="158"/>
      <c r="M32" s="169"/>
      <c r="N32" s="168"/>
      <c r="O32" s="158"/>
      <c r="P32" s="158"/>
      <c r="Q32" s="169"/>
      <c r="R32" s="168"/>
      <c r="S32" s="158"/>
      <c r="T32" s="158"/>
      <c r="U32" s="169"/>
      <c r="V32" s="168"/>
      <c r="W32" s="158"/>
      <c r="X32" s="158"/>
      <c r="Y32" s="169"/>
      <c r="Z32" s="168"/>
      <c r="AA32" s="158"/>
      <c r="AB32" s="158"/>
      <c r="AC32" s="169"/>
      <c r="AD32" s="168"/>
      <c r="AE32" s="158"/>
      <c r="AF32" s="158"/>
      <c r="AG32" s="169"/>
      <c r="AH32" s="168"/>
      <c r="AI32" s="158"/>
      <c r="AJ32" s="158"/>
      <c r="AK32" s="169"/>
      <c r="AL32" s="168"/>
      <c r="AM32" s="158"/>
      <c r="AN32" s="158"/>
      <c r="AO32" s="169"/>
      <c r="AP32" s="168"/>
      <c r="AQ32" s="158"/>
      <c r="AR32" s="158"/>
      <c r="AS32" s="169"/>
      <c r="AT32" s="168"/>
      <c r="AU32" s="158"/>
      <c r="AV32" s="158"/>
      <c r="AW32" s="169"/>
      <c r="AX32" s="168"/>
      <c r="AY32" s="158"/>
      <c r="AZ32" s="158"/>
      <c r="BA32" s="169"/>
    </row>
    <row r="33" spans="1:53" x14ac:dyDescent="0.2">
      <c r="A33" s="554" t="s">
        <v>446</v>
      </c>
      <c r="B33" s="555"/>
      <c r="C33" s="556"/>
      <c r="D33" s="561" t="s">
        <v>222</v>
      </c>
      <c r="E33" s="562"/>
      <c r="F33" s="562"/>
      <c r="G33" s="562"/>
      <c r="H33" s="562"/>
      <c r="I33" s="563"/>
      <c r="J33" s="168"/>
      <c r="K33" s="158"/>
      <c r="L33" s="158"/>
      <c r="M33" s="169"/>
      <c r="N33" s="168"/>
      <c r="O33" s="158"/>
      <c r="P33" s="158"/>
      <c r="Q33" s="169"/>
      <c r="R33" s="168"/>
      <c r="S33" s="158"/>
      <c r="T33" s="158"/>
      <c r="U33" s="169"/>
      <c r="V33" s="168"/>
      <c r="W33" s="158"/>
      <c r="X33" s="158"/>
      <c r="Y33" s="169"/>
      <c r="Z33" s="168"/>
      <c r="AA33" s="158"/>
      <c r="AB33" s="158"/>
      <c r="AC33" s="169"/>
      <c r="AD33" s="168"/>
      <c r="AE33" s="158"/>
      <c r="AF33" s="158"/>
      <c r="AG33" s="169"/>
      <c r="AH33" s="168"/>
      <c r="AI33" s="158"/>
      <c r="AJ33" s="158"/>
      <c r="AK33" s="169"/>
      <c r="AL33" s="168"/>
      <c r="AM33" s="158"/>
      <c r="AN33" s="158"/>
      <c r="AO33" s="169"/>
      <c r="AP33" s="168"/>
      <c r="AQ33" s="158"/>
      <c r="AR33" s="158"/>
      <c r="AS33" s="169"/>
      <c r="AT33" s="168"/>
      <c r="AU33" s="158"/>
      <c r="AV33" s="158"/>
      <c r="AW33" s="169"/>
      <c r="AX33" s="168"/>
      <c r="AY33" s="158"/>
      <c r="AZ33" s="158"/>
      <c r="BA33" s="169"/>
    </row>
    <row r="34" spans="1:53" x14ac:dyDescent="0.2">
      <c r="A34" s="554" t="s">
        <v>447</v>
      </c>
      <c r="B34" s="555"/>
      <c r="C34" s="556"/>
      <c r="D34" s="54"/>
      <c r="E34" s="55"/>
      <c r="F34" s="55"/>
      <c r="G34" s="55"/>
      <c r="H34" s="55"/>
      <c r="I34" s="56"/>
      <c r="J34" s="18"/>
      <c r="K34" s="19"/>
      <c r="L34" s="19"/>
      <c r="M34" s="20"/>
      <c r="N34" s="18"/>
      <c r="O34" s="19"/>
      <c r="P34" s="19"/>
      <c r="Q34" s="20"/>
      <c r="R34" s="18"/>
      <c r="S34" s="19"/>
      <c r="T34" s="19"/>
      <c r="U34" s="20"/>
      <c r="V34" s="18"/>
      <c r="W34" s="19"/>
      <c r="X34" s="19"/>
      <c r="Y34" s="20"/>
      <c r="Z34" s="18"/>
      <c r="AA34" s="19"/>
      <c r="AB34" s="19"/>
      <c r="AC34" s="20"/>
      <c r="AD34" s="18"/>
      <c r="AE34" s="19"/>
      <c r="AF34" s="19"/>
      <c r="AG34" s="20"/>
      <c r="AH34" s="18"/>
      <c r="AI34" s="19"/>
      <c r="AJ34" s="19"/>
      <c r="AK34" s="20"/>
      <c r="AL34" s="18"/>
      <c r="AM34" s="19"/>
      <c r="AN34" s="19"/>
      <c r="AO34" s="20"/>
      <c r="AP34" s="18"/>
      <c r="AQ34" s="19"/>
      <c r="AR34" s="19"/>
      <c r="AS34" s="20"/>
      <c r="AT34" s="18"/>
      <c r="AU34" s="19"/>
      <c r="AV34" s="19"/>
      <c r="AW34" s="20"/>
      <c r="AX34" s="18"/>
      <c r="AY34" s="19"/>
      <c r="AZ34" s="19"/>
      <c r="BA34" s="20"/>
    </row>
    <row r="35" spans="1:53" x14ac:dyDescent="0.2">
      <c r="A35" s="554" t="s">
        <v>435</v>
      </c>
      <c r="B35" s="555"/>
      <c r="C35" s="556"/>
      <c r="D35" s="561" t="s">
        <v>222</v>
      </c>
      <c r="E35" s="562"/>
      <c r="F35" s="562"/>
      <c r="G35" s="562"/>
      <c r="H35" s="562"/>
      <c r="I35" s="563"/>
      <c r="J35" s="168"/>
      <c r="K35" s="158"/>
      <c r="L35" s="158"/>
      <c r="M35" s="169"/>
      <c r="N35" s="168"/>
      <c r="O35" s="158"/>
      <c r="P35" s="158"/>
      <c r="Q35" s="169"/>
      <c r="R35" s="168"/>
      <c r="S35" s="158"/>
      <c r="T35" s="158"/>
      <c r="U35" s="169"/>
      <c r="V35" s="168"/>
      <c r="W35" s="158"/>
      <c r="X35" s="158"/>
      <c r="Y35" s="169"/>
      <c r="Z35" s="168"/>
      <c r="AA35" s="158"/>
      <c r="AB35" s="158"/>
      <c r="AC35" s="169"/>
      <c r="AD35" s="168"/>
      <c r="AE35" s="158"/>
      <c r="AF35" s="158"/>
      <c r="AG35" s="169"/>
      <c r="AH35" s="168"/>
      <c r="AI35" s="158"/>
      <c r="AJ35" s="158"/>
      <c r="AK35" s="169"/>
      <c r="AL35" s="168"/>
      <c r="AM35" s="158"/>
      <c r="AN35" s="158"/>
      <c r="AO35" s="169"/>
      <c r="AP35" s="168"/>
      <c r="AQ35" s="158"/>
      <c r="AR35" s="158"/>
      <c r="AS35" s="169"/>
      <c r="AT35" s="168"/>
      <c r="AU35" s="158"/>
      <c r="AV35" s="158"/>
      <c r="AW35" s="169"/>
      <c r="AX35" s="168"/>
      <c r="AY35" s="158"/>
      <c r="AZ35" s="158"/>
      <c r="BA35" s="169"/>
    </row>
    <row r="36" spans="1:53" ht="10.8" thickBot="1" x14ac:dyDescent="0.25">
      <c r="A36" s="557" t="s">
        <v>448</v>
      </c>
      <c r="B36" s="558"/>
      <c r="C36" s="559"/>
      <c r="D36" s="561" t="s">
        <v>274</v>
      </c>
      <c r="E36" s="562"/>
      <c r="F36" s="562"/>
      <c r="G36" s="562"/>
      <c r="H36" s="562"/>
      <c r="I36" s="563"/>
      <c r="J36" s="168"/>
      <c r="K36" s="158"/>
      <c r="L36" s="158"/>
      <c r="M36" s="169"/>
      <c r="N36" s="168"/>
      <c r="O36" s="158"/>
      <c r="P36" s="158"/>
      <c r="Q36" s="169"/>
      <c r="R36" s="168"/>
      <c r="S36" s="158"/>
      <c r="T36" s="158"/>
      <c r="U36" s="169"/>
      <c r="V36" s="168"/>
      <c r="W36" s="158"/>
      <c r="X36" s="158"/>
      <c r="Y36" s="169"/>
      <c r="Z36" s="168"/>
      <c r="AA36" s="158"/>
      <c r="AB36" s="158"/>
      <c r="AC36" s="169"/>
      <c r="AD36" s="168"/>
      <c r="AE36" s="158"/>
      <c r="AF36" s="158"/>
      <c r="AG36" s="169"/>
      <c r="AH36" s="168"/>
      <c r="AI36" s="158"/>
      <c r="AJ36" s="158"/>
      <c r="AK36" s="169"/>
      <c r="AL36" s="168"/>
      <c r="AM36" s="158"/>
      <c r="AN36" s="158"/>
      <c r="AO36" s="169"/>
      <c r="AP36" s="168"/>
      <c r="AQ36" s="158"/>
      <c r="AR36" s="158"/>
      <c r="AS36" s="169"/>
      <c r="AT36" s="168"/>
      <c r="AU36" s="158"/>
      <c r="AV36" s="158"/>
      <c r="AW36" s="169"/>
      <c r="AX36" s="168"/>
      <c r="AY36" s="158"/>
      <c r="AZ36" s="158"/>
      <c r="BA36" s="169"/>
    </row>
    <row r="37" spans="1:53" ht="15.75" customHeight="1" thickBot="1" x14ac:dyDescent="0.25">
      <c r="A37" s="382" t="s">
        <v>242</v>
      </c>
      <c r="B37" s="383"/>
      <c r="C37" s="384"/>
      <c r="D37" s="543" t="s">
        <v>1</v>
      </c>
      <c r="E37" s="544"/>
      <c r="F37" s="544"/>
      <c r="G37" s="544"/>
      <c r="H37" s="544"/>
      <c r="I37" s="545"/>
      <c r="J37" s="523"/>
      <c r="K37" s="524"/>
      <c r="L37" s="524"/>
      <c r="M37" s="525"/>
      <c r="N37" s="523"/>
      <c r="O37" s="524"/>
      <c r="P37" s="524"/>
      <c r="Q37" s="525"/>
      <c r="R37" s="523"/>
      <c r="S37" s="524"/>
      <c r="T37" s="524"/>
      <c r="U37" s="525"/>
      <c r="V37" s="523"/>
      <c r="W37" s="524"/>
      <c r="X37" s="524"/>
      <c r="Y37" s="525"/>
      <c r="Z37" s="523"/>
      <c r="AA37" s="524"/>
      <c r="AB37" s="524"/>
      <c r="AC37" s="525"/>
      <c r="AD37" s="523"/>
      <c r="AE37" s="524"/>
      <c r="AF37" s="524"/>
      <c r="AG37" s="525"/>
      <c r="AH37" s="523"/>
      <c r="AI37" s="524"/>
      <c r="AJ37" s="524"/>
      <c r="AK37" s="525"/>
      <c r="AL37" s="523"/>
      <c r="AM37" s="524"/>
      <c r="AN37" s="524"/>
      <c r="AO37" s="525"/>
      <c r="AP37" s="523"/>
      <c r="AQ37" s="524"/>
      <c r="AR37" s="524"/>
      <c r="AS37" s="525"/>
      <c r="AT37" s="523"/>
      <c r="AU37" s="524"/>
      <c r="AV37" s="524"/>
      <c r="AW37" s="525"/>
      <c r="AX37" s="523"/>
      <c r="AY37" s="524"/>
      <c r="AZ37" s="524"/>
      <c r="BA37" s="525"/>
    </row>
    <row r="38" spans="1:53" x14ac:dyDescent="0.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</row>
  </sheetData>
  <mergeCells count="346">
    <mergeCell ref="D37:I37"/>
    <mergeCell ref="A37:C37"/>
    <mergeCell ref="AX37:BA37"/>
    <mergeCell ref="AX36:BA36"/>
    <mergeCell ref="N37:Q37"/>
    <mergeCell ref="R37:U37"/>
    <mergeCell ref="V37:Y37"/>
    <mergeCell ref="Z37:AC37"/>
    <mergeCell ref="AD37:AG37"/>
    <mergeCell ref="AH37:AK37"/>
    <mergeCell ref="AL37:AO37"/>
    <mergeCell ref="AP37:AS37"/>
    <mergeCell ref="AT37:AW37"/>
    <mergeCell ref="N36:Q36"/>
    <mergeCell ref="R36:U36"/>
    <mergeCell ref="V36:Y36"/>
    <mergeCell ref="Z36:AC36"/>
    <mergeCell ref="AD36:AG36"/>
    <mergeCell ref="AH36:AK36"/>
    <mergeCell ref="AL36:AO36"/>
    <mergeCell ref="AP36:AS36"/>
    <mergeCell ref="AT36:AW36"/>
    <mergeCell ref="J37:M37"/>
    <mergeCell ref="AX33:BA33"/>
    <mergeCell ref="N35:Q35"/>
    <mergeCell ref="R35:U35"/>
    <mergeCell ref="V35:Y35"/>
    <mergeCell ref="Z35:AC35"/>
    <mergeCell ref="AD35:AG35"/>
    <mergeCell ref="AH35:AK35"/>
    <mergeCell ref="AL35:AO35"/>
    <mergeCell ref="AP35:AS35"/>
    <mergeCell ref="AT35:AW35"/>
    <mergeCell ref="N33:Q33"/>
    <mergeCell ref="R33:U33"/>
    <mergeCell ref="V33:Y33"/>
    <mergeCell ref="Z33:AC33"/>
    <mergeCell ref="AD33:AG33"/>
    <mergeCell ref="AH33:AK33"/>
    <mergeCell ref="AL33:AO33"/>
    <mergeCell ref="AP33:AS33"/>
    <mergeCell ref="AT33:AW33"/>
    <mergeCell ref="AX35:BA35"/>
    <mergeCell ref="AX31:BA31"/>
    <mergeCell ref="N32:Q32"/>
    <mergeCell ref="R32:U32"/>
    <mergeCell ref="V32:Y32"/>
    <mergeCell ref="Z32:AC32"/>
    <mergeCell ref="AD32:AG32"/>
    <mergeCell ref="AH32:AK32"/>
    <mergeCell ref="AL32:AO32"/>
    <mergeCell ref="AP32:AS32"/>
    <mergeCell ref="AT32:AW32"/>
    <mergeCell ref="AX32:BA32"/>
    <mergeCell ref="N31:Q31"/>
    <mergeCell ref="R31:U31"/>
    <mergeCell ref="V31:Y31"/>
    <mergeCell ref="Z31:AC31"/>
    <mergeCell ref="AD31:AG31"/>
    <mergeCell ref="AH31:AK31"/>
    <mergeCell ref="AL31:AO31"/>
    <mergeCell ref="AP31:AS31"/>
    <mergeCell ref="AT31:AW31"/>
    <mergeCell ref="AX29:BA29"/>
    <mergeCell ref="N30:Q30"/>
    <mergeCell ref="R30:U30"/>
    <mergeCell ref="V30:Y30"/>
    <mergeCell ref="Z30:AC30"/>
    <mergeCell ref="AD30:AG30"/>
    <mergeCell ref="AH30:AK30"/>
    <mergeCell ref="AL30:AO30"/>
    <mergeCell ref="AP30:AS30"/>
    <mergeCell ref="AT30:AW30"/>
    <mergeCell ref="AX30:BA30"/>
    <mergeCell ref="N29:Q29"/>
    <mergeCell ref="R29:U29"/>
    <mergeCell ref="V29:Y29"/>
    <mergeCell ref="Z29:AC29"/>
    <mergeCell ref="AD29:AG29"/>
    <mergeCell ref="AH29:AK29"/>
    <mergeCell ref="AL29:AO29"/>
    <mergeCell ref="AP29:AS29"/>
    <mergeCell ref="AT29:AW29"/>
    <mergeCell ref="AX27:BA27"/>
    <mergeCell ref="N28:Q28"/>
    <mergeCell ref="R28:U28"/>
    <mergeCell ref="V28:Y28"/>
    <mergeCell ref="Z28:AC28"/>
    <mergeCell ref="AD28:AG28"/>
    <mergeCell ref="AH28:AK28"/>
    <mergeCell ref="AL28:AO28"/>
    <mergeCell ref="AP28:AS28"/>
    <mergeCell ref="AT28:AW28"/>
    <mergeCell ref="AX28:BA28"/>
    <mergeCell ref="N27:Q27"/>
    <mergeCell ref="R27:U27"/>
    <mergeCell ref="V27:Y27"/>
    <mergeCell ref="Z27:AC27"/>
    <mergeCell ref="AD27:AG27"/>
    <mergeCell ref="AH27:AK27"/>
    <mergeCell ref="AL27:AO27"/>
    <mergeCell ref="AP27:AS27"/>
    <mergeCell ref="AT27:AW27"/>
    <mergeCell ref="AT24:AW24"/>
    <mergeCell ref="AX24:BA24"/>
    <mergeCell ref="AX25:BA25"/>
    <mergeCell ref="N26:Q26"/>
    <mergeCell ref="R26:U26"/>
    <mergeCell ref="V26:Y26"/>
    <mergeCell ref="Z26:AC26"/>
    <mergeCell ref="AD26:AG26"/>
    <mergeCell ref="AH26:AK26"/>
    <mergeCell ref="AL26:AO26"/>
    <mergeCell ref="AP26:AS26"/>
    <mergeCell ref="AT26:AW26"/>
    <mergeCell ref="AX26:BA26"/>
    <mergeCell ref="N25:Q25"/>
    <mergeCell ref="R25:U25"/>
    <mergeCell ref="V25:Y25"/>
    <mergeCell ref="Z25:AC25"/>
    <mergeCell ref="AD25:AG25"/>
    <mergeCell ref="AH25:AK25"/>
    <mergeCell ref="AL25:AO25"/>
    <mergeCell ref="AP25:AS25"/>
    <mergeCell ref="AT25:AW25"/>
    <mergeCell ref="AD24:AG24"/>
    <mergeCell ref="AH24:AK24"/>
    <mergeCell ref="AT22:AW22"/>
    <mergeCell ref="AX22:BA22"/>
    <mergeCell ref="R23:U23"/>
    <mergeCell ref="V23:Y23"/>
    <mergeCell ref="Z23:AC23"/>
    <mergeCell ref="AD23:AG23"/>
    <mergeCell ref="AH23:AK23"/>
    <mergeCell ref="AL23:AO23"/>
    <mergeCell ref="AP23:AS23"/>
    <mergeCell ref="AT23:AW23"/>
    <mergeCell ref="AX23:BA23"/>
    <mergeCell ref="Z22:AC22"/>
    <mergeCell ref="AD22:AG22"/>
    <mergeCell ref="AH22:AK22"/>
    <mergeCell ref="AL22:AO22"/>
    <mergeCell ref="AT20:AW20"/>
    <mergeCell ref="AX20:BA20"/>
    <mergeCell ref="R20:U20"/>
    <mergeCell ref="V20:Y20"/>
    <mergeCell ref="Z20:AC20"/>
    <mergeCell ref="R21:U21"/>
    <mergeCell ref="V21:Y21"/>
    <mergeCell ref="Z21:AC21"/>
    <mergeCell ref="AD21:AG21"/>
    <mergeCell ref="AH21:AK21"/>
    <mergeCell ref="AL21:AO21"/>
    <mergeCell ref="AP21:AS21"/>
    <mergeCell ref="AT21:AW21"/>
    <mergeCell ref="AX21:BA21"/>
    <mergeCell ref="AD20:AG20"/>
    <mergeCell ref="AH20:AK20"/>
    <mergeCell ref="AL20:AO20"/>
    <mergeCell ref="AX18:BA18"/>
    <mergeCell ref="R19:U19"/>
    <mergeCell ref="V19:Y19"/>
    <mergeCell ref="Z19:AC19"/>
    <mergeCell ref="AD19:AG19"/>
    <mergeCell ref="AH19:AK19"/>
    <mergeCell ref="AL19:AO19"/>
    <mergeCell ref="AP19:AS19"/>
    <mergeCell ref="AT19:AW19"/>
    <mergeCell ref="AX19:BA19"/>
    <mergeCell ref="V18:Y18"/>
    <mergeCell ref="AX15:BA15"/>
    <mergeCell ref="AP16:AS16"/>
    <mergeCell ref="AT16:AW16"/>
    <mergeCell ref="AX16:BA16"/>
    <mergeCell ref="R17:U17"/>
    <mergeCell ref="V17:Y17"/>
    <mergeCell ref="Z17:AC17"/>
    <mergeCell ref="AD17:AG17"/>
    <mergeCell ref="AH17:AK17"/>
    <mergeCell ref="AL17:AO17"/>
    <mergeCell ref="AP17:AS17"/>
    <mergeCell ref="AT17:AW17"/>
    <mergeCell ref="AX17:BA17"/>
    <mergeCell ref="Z16:AC16"/>
    <mergeCell ref="AD16:AG16"/>
    <mergeCell ref="AH16:AK16"/>
    <mergeCell ref="AL16:AO16"/>
    <mergeCell ref="R15:U15"/>
    <mergeCell ref="J20:M20"/>
    <mergeCell ref="J21:M21"/>
    <mergeCell ref="J22:M22"/>
    <mergeCell ref="J23:M23"/>
    <mergeCell ref="J17:M17"/>
    <mergeCell ref="J18:M18"/>
    <mergeCell ref="J15:M15"/>
    <mergeCell ref="J16:M16"/>
    <mergeCell ref="AX13:BA13"/>
    <mergeCell ref="N14:Q14"/>
    <mergeCell ref="R14:U14"/>
    <mergeCell ref="V14:Y14"/>
    <mergeCell ref="Z14:AC14"/>
    <mergeCell ref="AD14:AG14"/>
    <mergeCell ref="AH14:AK14"/>
    <mergeCell ref="AL14:AO14"/>
    <mergeCell ref="AP14:AS14"/>
    <mergeCell ref="AT14:AW14"/>
    <mergeCell ref="AX14:BA14"/>
    <mergeCell ref="V13:Y13"/>
    <mergeCell ref="Z13:AC13"/>
    <mergeCell ref="AD13:AG13"/>
    <mergeCell ref="AH13:AK13"/>
    <mergeCell ref="AL13:AO13"/>
    <mergeCell ref="J33:M33"/>
    <mergeCell ref="J35:M35"/>
    <mergeCell ref="J36:M36"/>
    <mergeCell ref="A33:C33"/>
    <mergeCell ref="A34:C34"/>
    <mergeCell ref="A35:C35"/>
    <mergeCell ref="D33:I33"/>
    <mergeCell ref="D35:I35"/>
    <mergeCell ref="D36:I36"/>
    <mergeCell ref="A36:C36"/>
    <mergeCell ref="A30:C30"/>
    <mergeCell ref="A31:C31"/>
    <mergeCell ref="A32:C32"/>
    <mergeCell ref="J30:M30"/>
    <mergeCell ref="J31:M31"/>
    <mergeCell ref="J32:M32"/>
    <mergeCell ref="N24:Q24"/>
    <mergeCell ref="J25:M25"/>
    <mergeCell ref="N20:Q20"/>
    <mergeCell ref="N21:Q21"/>
    <mergeCell ref="N22:Q22"/>
    <mergeCell ref="N23:Q23"/>
    <mergeCell ref="J27:M27"/>
    <mergeCell ref="J28:M28"/>
    <mergeCell ref="J29:M29"/>
    <mergeCell ref="D28:I28"/>
    <mergeCell ref="D30:I30"/>
    <mergeCell ref="D31:I31"/>
    <mergeCell ref="D32:I32"/>
    <mergeCell ref="J24:M24"/>
    <mergeCell ref="A20:C20"/>
    <mergeCell ref="A21:C21"/>
    <mergeCell ref="A26:C26"/>
    <mergeCell ref="A22:C22"/>
    <mergeCell ref="AL24:AO24"/>
    <mergeCell ref="V15:Y15"/>
    <mergeCell ref="Z15:AC15"/>
    <mergeCell ref="AD15:AG15"/>
    <mergeCell ref="AH15:AK15"/>
    <mergeCell ref="AL15:AO15"/>
    <mergeCell ref="AP15:AS15"/>
    <mergeCell ref="AD18:AG18"/>
    <mergeCell ref="AH18:AK18"/>
    <mergeCell ref="AL18:AO18"/>
    <mergeCell ref="AP18:AS18"/>
    <mergeCell ref="Z18:AC18"/>
    <mergeCell ref="AP20:AS20"/>
    <mergeCell ref="AP22:AS22"/>
    <mergeCell ref="AP24:AS24"/>
    <mergeCell ref="N15:Q15"/>
    <mergeCell ref="N16:Q16"/>
    <mergeCell ref="N17:Q17"/>
    <mergeCell ref="N18:Q18"/>
    <mergeCell ref="N19:Q19"/>
    <mergeCell ref="D13:I13"/>
    <mergeCell ref="AT12:AW12"/>
    <mergeCell ref="J12:M12"/>
    <mergeCell ref="N12:Q12"/>
    <mergeCell ref="R12:U12"/>
    <mergeCell ref="V12:Y12"/>
    <mergeCell ref="J14:M14"/>
    <mergeCell ref="AP13:AS13"/>
    <mergeCell ref="AT13:AW13"/>
    <mergeCell ref="R13:U13"/>
    <mergeCell ref="N13:Q13"/>
    <mergeCell ref="AT15:AW15"/>
    <mergeCell ref="AT18:AW18"/>
    <mergeCell ref="J9:M11"/>
    <mergeCell ref="N9:AC9"/>
    <mergeCell ref="N10:Q11"/>
    <mergeCell ref="R10:U11"/>
    <mergeCell ref="AD12:AG12"/>
    <mergeCell ref="AH12:AK12"/>
    <mergeCell ref="AL12:AO12"/>
    <mergeCell ref="AP12:AS12"/>
    <mergeCell ref="Z12:AC12"/>
    <mergeCell ref="R24:U24"/>
    <mergeCell ref="V24:Y24"/>
    <mergeCell ref="J26:M26"/>
    <mergeCell ref="J19:M19"/>
    <mergeCell ref="J13:M13"/>
    <mergeCell ref="A1:BA1"/>
    <mergeCell ref="A2:BA2"/>
    <mergeCell ref="AD9:AG11"/>
    <mergeCell ref="AH10:AK11"/>
    <mergeCell ref="AL10:AO11"/>
    <mergeCell ref="AP10:AS11"/>
    <mergeCell ref="AT10:AW11"/>
    <mergeCell ref="AH9:AW9"/>
    <mergeCell ref="AX9:BA11"/>
    <mergeCell ref="V10:Y11"/>
    <mergeCell ref="Z10:AC11"/>
    <mergeCell ref="AX12:BA12"/>
    <mergeCell ref="D4:I4"/>
    <mergeCell ref="D9:I12"/>
    <mergeCell ref="A9:C12"/>
    <mergeCell ref="N4:R4"/>
    <mergeCell ref="S4:AE4"/>
    <mergeCell ref="E7:L7"/>
    <mergeCell ref="AI7:AJ7"/>
    <mergeCell ref="A13:C13"/>
    <mergeCell ref="A14:C14"/>
    <mergeCell ref="A15:C15"/>
    <mergeCell ref="A16:C16"/>
    <mergeCell ref="A17:C17"/>
    <mergeCell ref="A18:C18"/>
    <mergeCell ref="A19:C19"/>
    <mergeCell ref="Z24:AC24"/>
    <mergeCell ref="D21:I21"/>
    <mergeCell ref="D22:I22"/>
    <mergeCell ref="D23:I23"/>
    <mergeCell ref="D24:I24"/>
    <mergeCell ref="D14:I14"/>
    <mergeCell ref="D15:I15"/>
    <mergeCell ref="D16:I16"/>
    <mergeCell ref="D17:I17"/>
    <mergeCell ref="D18:I18"/>
    <mergeCell ref="D19:I19"/>
    <mergeCell ref="D20:I20"/>
    <mergeCell ref="R16:U16"/>
    <mergeCell ref="V16:Y16"/>
    <mergeCell ref="R18:U18"/>
    <mergeCell ref="R22:U22"/>
    <mergeCell ref="V22:Y22"/>
    <mergeCell ref="A23:C23"/>
    <mergeCell ref="A24:C24"/>
    <mergeCell ref="A25:C25"/>
    <mergeCell ref="D29:I29"/>
    <mergeCell ref="D27:I27"/>
    <mergeCell ref="A27:C27"/>
    <mergeCell ref="A28:C28"/>
    <mergeCell ref="A29:C29"/>
    <mergeCell ref="D25:I25"/>
    <mergeCell ref="D26:I26"/>
  </mergeCells>
  <pageMargins left="0.64" right="0.70866141732283472" top="0.74803149606299213" bottom="0.74803149606299213" header="0.31496062992125984" footer="0.31496062992125984"/>
  <pageSetup paperSize="9" scale="6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083A-672E-4296-932B-AEDB2604ABE7}">
  <sheetPr>
    <tabColor theme="0"/>
  </sheetPr>
  <dimension ref="A1:AR44"/>
  <sheetViews>
    <sheetView showGridLines="0" view="pageBreakPreview" topLeftCell="A12" zoomScaleNormal="100" zoomScaleSheetLayoutView="100" workbookViewId="0">
      <selection activeCell="A20" sqref="A20:D20"/>
    </sheetView>
  </sheetViews>
  <sheetFormatPr baseColWidth="10" defaultColWidth="3.44140625" defaultRowHeight="10.199999999999999" x14ac:dyDescent="0.3"/>
  <cols>
    <col min="1" max="2" width="3.44140625" style="1"/>
    <col min="3" max="3" width="1.5546875" style="1" customWidth="1"/>
    <col min="4" max="4" width="3.44140625" style="1" hidden="1" customWidth="1"/>
    <col min="5" max="12" width="3.44140625" style="1"/>
    <col min="13" max="13" width="7.21875" style="1" customWidth="1"/>
    <col min="14" max="14" width="3.44140625" style="1"/>
    <col min="15" max="15" width="17.21875" style="1" bestFit="1" customWidth="1"/>
    <col min="16" max="17" width="3.44140625" style="1"/>
    <col min="18" max="18" width="1" style="1" customWidth="1"/>
    <col min="19" max="37" width="3.44140625" style="1"/>
    <col min="38" max="38" width="3.44140625" style="1" customWidth="1"/>
    <col min="39" max="16384" width="3.44140625" style="1"/>
  </cols>
  <sheetData>
    <row r="1" spans="1:38" x14ac:dyDescent="0.3">
      <c r="A1" s="588" t="s">
        <v>610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90"/>
    </row>
    <row r="2" spans="1:38" ht="10.8" thickBot="1" x14ac:dyDescent="0.35">
      <c r="A2" s="583" t="s">
        <v>449</v>
      </c>
      <c r="B2" s="584"/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584"/>
      <c r="AE2" s="584"/>
      <c r="AF2" s="584"/>
      <c r="AG2" s="584"/>
      <c r="AH2" s="584"/>
      <c r="AI2" s="584"/>
      <c r="AJ2" s="584"/>
      <c r="AK2" s="584"/>
      <c r="AL2" s="585"/>
    </row>
    <row r="3" spans="1:38" x14ac:dyDescent="0.2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3"/>
    </row>
    <row r="4" spans="1:38" x14ac:dyDescent="0.2">
      <c r="A4" s="24"/>
      <c r="B4" s="25" t="s">
        <v>243</v>
      </c>
      <c r="C4" s="25"/>
      <c r="D4" s="155"/>
      <c r="E4" s="156"/>
      <c r="F4" s="156"/>
      <c r="G4" s="156"/>
      <c r="H4" s="156"/>
      <c r="I4" s="157"/>
      <c r="J4" s="25"/>
      <c r="K4" s="25"/>
      <c r="L4" s="25"/>
      <c r="M4" s="158" t="s">
        <v>477</v>
      </c>
      <c r="N4" s="158"/>
      <c r="O4" s="158"/>
      <c r="P4" s="158"/>
      <c r="Q4" s="16"/>
      <c r="R4" s="1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7"/>
      <c r="AE4" s="25"/>
      <c r="AF4" s="25"/>
      <c r="AG4" s="25"/>
      <c r="AH4" s="25"/>
      <c r="AI4" s="25"/>
      <c r="AJ4" s="25"/>
      <c r="AK4" s="25"/>
      <c r="AL4" s="26"/>
    </row>
    <row r="5" spans="1:38" x14ac:dyDescent="0.2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6"/>
    </row>
    <row r="6" spans="1:38" x14ac:dyDescent="0.2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6"/>
    </row>
    <row r="7" spans="1:38" x14ac:dyDescent="0.2">
      <c r="A7" s="24"/>
      <c r="B7" s="25"/>
      <c r="C7" s="25"/>
      <c r="D7" s="25"/>
      <c r="E7" s="27" t="s">
        <v>128</v>
      </c>
      <c r="F7" s="27" t="s">
        <v>128</v>
      </c>
      <c r="G7" s="27" t="s">
        <v>128</v>
      </c>
      <c r="H7" s="27" t="s">
        <v>128</v>
      </c>
      <c r="I7" s="27" t="s">
        <v>127</v>
      </c>
      <c r="J7" s="27" t="s">
        <v>127</v>
      </c>
      <c r="K7" s="27" t="s">
        <v>126</v>
      </c>
      <c r="L7" s="27" t="s">
        <v>126</v>
      </c>
      <c r="M7" s="25"/>
      <c r="N7" s="27"/>
      <c r="O7" s="25"/>
      <c r="P7" s="27"/>
      <c r="Q7" s="25"/>
      <c r="R7" s="25"/>
      <c r="S7" s="27" t="s">
        <v>255</v>
      </c>
      <c r="T7" s="27" t="s">
        <v>261</v>
      </c>
      <c r="U7" s="27"/>
      <c r="V7" s="25"/>
      <c r="W7" s="25"/>
      <c r="X7" s="25"/>
      <c r="Y7" s="25"/>
      <c r="Z7" s="25"/>
      <c r="AA7" s="25"/>
      <c r="AB7" s="27">
        <v>1</v>
      </c>
      <c r="AC7" s="27">
        <v>6</v>
      </c>
      <c r="AD7" s="25"/>
      <c r="AE7" s="25"/>
      <c r="AF7" s="25"/>
      <c r="AG7" s="25"/>
      <c r="AH7" s="25"/>
      <c r="AI7" s="25"/>
      <c r="AJ7" s="25"/>
      <c r="AK7" s="25"/>
      <c r="AL7" s="26"/>
    </row>
    <row r="8" spans="1:38" x14ac:dyDescent="0.2">
      <c r="A8" s="24"/>
      <c r="B8" s="25"/>
      <c r="C8" s="25"/>
      <c r="D8" s="25"/>
      <c r="E8" s="159" t="s">
        <v>129</v>
      </c>
      <c r="F8" s="159"/>
      <c r="G8" s="159"/>
      <c r="H8" s="159"/>
      <c r="I8" s="159"/>
      <c r="J8" s="159"/>
      <c r="K8" s="159"/>
      <c r="L8" s="159"/>
      <c r="M8" s="19"/>
      <c r="N8" s="25"/>
      <c r="O8" s="25"/>
      <c r="P8" s="25" t="s">
        <v>244</v>
      </c>
      <c r="Q8" s="25"/>
      <c r="R8" s="25"/>
      <c r="S8" s="25"/>
      <c r="T8" s="19" t="s">
        <v>245</v>
      </c>
      <c r="U8" s="25"/>
      <c r="V8" s="25"/>
      <c r="W8" s="25"/>
      <c r="X8" s="25"/>
      <c r="Y8" s="25"/>
      <c r="Z8" s="25"/>
      <c r="AA8" s="25"/>
      <c r="AB8" s="159" t="s">
        <v>131</v>
      </c>
      <c r="AC8" s="159"/>
      <c r="AD8" s="25"/>
      <c r="AE8" s="25"/>
      <c r="AF8" s="25"/>
      <c r="AG8" s="25"/>
      <c r="AH8" s="25"/>
      <c r="AI8" s="25"/>
      <c r="AJ8" s="25"/>
      <c r="AK8" s="25"/>
      <c r="AL8" s="26"/>
    </row>
    <row r="9" spans="1:38" ht="10.8" thickBo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5"/>
      <c r="AI9" s="25"/>
      <c r="AJ9" s="25"/>
      <c r="AK9" s="25"/>
      <c r="AL9" s="25"/>
    </row>
    <row r="10" spans="1:38" ht="15" customHeight="1" x14ac:dyDescent="0.3">
      <c r="A10" s="125" t="s">
        <v>761</v>
      </c>
      <c r="B10" s="126"/>
      <c r="C10" s="126"/>
      <c r="D10" s="127"/>
      <c r="E10" s="143" t="s">
        <v>466</v>
      </c>
      <c r="F10" s="144"/>
      <c r="G10" s="144"/>
      <c r="H10" s="144"/>
      <c r="I10" s="144"/>
      <c r="J10" s="144"/>
      <c r="K10" s="144"/>
      <c r="L10" s="144"/>
      <c r="M10" s="144"/>
      <c r="N10" s="143" t="s">
        <v>731</v>
      </c>
      <c r="O10" s="144"/>
      <c r="P10" s="144"/>
      <c r="Q10" s="144"/>
      <c r="R10" s="145"/>
      <c r="S10" s="143" t="s">
        <v>732</v>
      </c>
      <c r="T10" s="144"/>
      <c r="U10" s="144"/>
      <c r="V10" s="144"/>
      <c r="W10" s="145"/>
      <c r="X10" s="143" t="s">
        <v>734</v>
      </c>
      <c r="Y10" s="144"/>
      <c r="Z10" s="144"/>
      <c r="AA10" s="144"/>
      <c r="AB10" s="145"/>
      <c r="AC10" s="143" t="s">
        <v>733</v>
      </c>
      <c r="AD10" s="144"/>
      <c r="AE10" s="144"/>
      <c r="AF10" s="144"/>
      <c r="AG10" s="145"/>
      <c r="AH10" s="143" t="s">
        <v>1</v>
      </c>
      <c r="AI10" s="144"/>
      <c r="AJ10" s="144"/>
      <c r="AK10" s="144"/>
      <c r="AL10" s="145"/>
    </row>
    <row r="11" spans="1:38" ht="15" customHeight="1" thickBot="1" x14ac:dyDescent="0.35">
      <c r="A11" s="125"/>
      <c r="B11" s="126"/>
      <c r="C11" s="126"/>
      <c r="D11" s="127"/>
      <c r="E11" s="146"/>
      <c r="F11" s="147"/>
      <c r="G11" s="147"/>
      <c r="H11" s="147"/>
      <c r="I11" s="147"/>
      <c r="J11" s="147"/>
      <c r="K11" s="147"/>
      <c r="L11" s="147"/>
      <c r="M11" s="147"/>
      <c r="N11" s="146"/>
      <c r="O11" s="147"/>
      <c r="P11" s="147"/>
      <c r="Q11" s="147"/>
      <c r="R11" s="148"/>
      <c r="S11" s="146"/>
      <c r="T11" s="147"/>
      <c r="U11" s="147"/>
      <c r="V11" s="147"/>
      <c r="W11" s="148"/>
      <c r="X11" s="146"/>
      <c r="Y11" s="147"/>
      <c r="Z11" s="147"/>
      <c r="AA11" s="147"/>
      <c r="AB11" s="148"/>
      <c r="AC11" s="146"/>
      <c r="AD11" s="147"/>
      <c r="AE11" s="147"/>
      <c r="AF11" s="147"/>
      <c r="AG11" s="148"/>
      <c r="AH11" s="146"/>
      <c r="AI11" s="147"/>
      <c r="AJ11" s="147"/>
      <c r="AK11" s="147"/>
      <c r="AL11" s="148"/>
    </row>
    <row r="12" spans="1:38" ht="15.75" customHeight="1" thickBot="1" x14ac:dyDescent="0.35">
      <c r="A12" s="128"/>
      <c r="B12" s="129"/>
      <c r="C12" s="129"/>
      <c r="D12" s="130"/>
      <c r="E12" s="149"/>
      <c r="F12" s="150"/>
      <c r="G12" s="150"/>
      <c r="H12" s="150"/>
      <c r="I12" s="150"/>
      <c r="J12" s="150"/>
      <c r="K12" s="150"/>
      <c r="L12" s="150"/>
      <c r="M12" s="150"/>
      <c r="N12" s="152">
        <v>1</v>
      </c>
      <c r="O12" s="153"/>
      <c r="P12" s="153"/>
      <c r="Q12" s="153"/>
      <c r="R12" s="154"/>
      <c r="S12" s="152">
        <v>2</v>
      </c>
      <c r="T12" s="153"/>
      <c r="U12" s="153"/>
      <c r="V12" s="153"/>
      <c r="W12" s="154"/>
      <c r="X12" s="152">
        <v>3</v>
      </c>
      <c r="Y12" s="153"/>
      <c r="Z12" s="153"/>
      <c r="AA12" s="153"/>
      <c r="AB12" s="154"/>
      <c r="AC12" s="152">
        <v>4</v>
      </c>
      <c r="AD12" s="153"/>
      <c r="AE12" s="153"/>
      <c r="AF12" s="153"/>
      <c r="AG12" s="154"/>
      <c r="AH12" s="152">
        <v>5</v>
      </c>
      <c r="AI12" s="153"/>
      <c r="AJ12" s="153"/>
      <c r="AK12" s="153"/>
      <c r="AL12" s="154"/>
    </row>
    <row r="13" spans="1:38" ht="15" customHeight="1" thickBot="1" x14ac:dyDescent="0.35">
      <c r="A13" s="458" t="s">
        <v>383</v>
      </c>
      <c r="B13" s="459"/>
      <c r="C13" s="459"/>
      <c r="D13" s="498"/>
      <c r="E13" s="347" t="s">
        <v>594</v>
      </c>
      <c r="F13" s="296"/>
      <c r="G13" s="296"/>
      <c r="H13" s="296"/>
      <c r="I13" s="296"/>
      <c r="J13" s="296"/>
      <c r="K13" s="296"/>
      <c r="L13" s="296"/>
      <c r="M13" s="296"/>
      <c r="N13" s="203">
        <f>+N14+N15</f>
        <v>0</v>
      </c>
      <c r="O13" s="204"/>
      <c r="P13" s="204"/>
      <c r="Q13" s="204"/>
      <c r="R13" s="205"/>
      <c r="S13" s="203">
        <f t="shared" ref="S13" si="0">+S14+S15</f>
        <v>0</v>
      </c>
      <c r="T13" s="204"/>
      <c r="U13" s="204"/>
      <c r="V13" s="204"/>
      <c r="W13" s="205"/>
      <c r="X13" s="203">
        <f t="shared" ref="X13" si="1">+X14+X15</f>
        <v>0</v>
      </c>
      <c r="Y13" s="204"/>
      <c r="Z13" s="204"/>
      <c r="AA13" s="204"/>
      <c r="AB13" s="205"/>
      <c r="AC13" s="203">
        <f t="shared" ref="AC13" si="2">+AC14+AC15</f>
        <v>0</v>
      </c>
      <c r="AD13" s="204"/>
      <c r="AE13" s="204"/>
      <c r="AF13" s="204"/>
      <c r="AG13" s="205"/>
      <c r="AH13" s="203">
        <f t="shared" ref="AH13:AH21" si="3">+SUM(N13:AG13)</f>
        <v>0</v>
      </c>
      <c r="AI13" s="204"/>
      <c r="AJ13" s="204"/>
      <c r="AK13" s="204"/>
      <c r="AL13" s="205"/>
    </row>
    <row r="14" spans="1:38" ht="10.8" thickBot="1" x14ac:dyDescent="0.35">
      <c r="A14" s="300" t="s">
        <v>388</v>
      </c>
      <c r="B14" s="301"/>
      <c r="C14" s="301"/>
      <c r="D14" s="302"/>
      <c r="E14" s="385" t="s">
        <v>608</v>
      </c>
      <c r="F14" s="386"/>
      <c r="G14" s="386"/>
      <c r="H14" s="386"/>
      <c r="I14" s="386"/>
      <c r="J14" s="386"/>
      <c r="K14" s="386"/>
      <c r="L14" s="386"/>
      <c r="M14" s="386"/>
      <c r="N14" s="499"/>
      <c r="O14" s="500"/>
      <c r="P14" s="500"/>
      <c r="Q14" s="500"/>
      <c r="R14" s="501"/>
      <c r="S14" s="499"/>
      <c r="T14" s="500"/>
      <c r="U14" s="500"/>
      <c r="V14" s="500"/>
      <c r="W14" s="501"/>
      <c r="X14" s="69"/>
      <c r="Y14" s="70"/>
      <c r="Z14" s="70"/>
      <c r="AA14" s="70"/>
      <c r="AB14" s="71"/>
      <c r="AC14" s="69"/>
      <c r="AD14" s="70"/>
      <c r="AE14" s="70"/>
      <c r="AF14" s="70"/>
      <c r="AG14" s="71"/>
      <c r="AH14" s="203">
        <f t="shared" si="3"/>
        <v>0</v>
      </c>
      <c r="AI14" s="204"/>
      <c r="AJ14" s="204"/>
      <c r="AK14" s="204"/>
      <c r="AL14" s="205"/>
    </row>
    <row r="15" spans="1:38" ht="10.8" thickBot="1" x14ac:dyDescent="0.35">
      <c r="A15" s="300" t="s">
        <v>389</v>
      </c>
      <c r="B15" s="301"/>
      <c r="C15" s="301"/>
      <c r="D15" s="302"/>
      <c r="E15" s="385" t="s">
        <v>609</v>
      </c>
      <c r="F15" s="386"/>
      <c r="G15" s="386"/>
      <c r="H15" s="386"/>
      <c r="I15" s="386"/>
      <c r="J15" s="386"/>
      <c r="K15" s="386"/>
      <c r="L15" s="386"/>
      <c r="M15" s="386"/>
      <c r="N15" s="580"/>
      <c r="O15" s="581"/>
      <c r="P15" s="581"/>
      <c r="Q15" s="581"/>
      <c r="R15" s="582"/>
      <c r="S15" s="580"/>
      <c r="T15" s="581"/>
      <c r="U15" s="581"/>
      <c r="V15" s="581"/>
      <c r="W15" s="582"/>
      <c r="X15" s="580"/>
      <c r="Y15" s="581"/>
      <c r="Z15" s="581"/>
      <c r="AA15" s="581"/>
      <c r="AB15" s="582"/>
      <c r="AC15" s="580"/>
      <c r="AD15" s="581"/>
      <c r="AE15" s="581"/>
      <c r="AF15" s="581"/>
      <c r="AG15" s="582"/>
      <c r="AH15" s="203">
        <f t="shared" si="3"/>
        <v>0</v>
      </c>
      <c r="AI15" s="204"/>
      <c r="AJ15" s="204"/>
      <c r="AK15" s="204"/>
      <c r="AL15" s="205"/>
    </row>
    <row r="16" spans="1:38" ht="11.25" customHeight="1" thickBot="1" x14ac:dyDescent="0.35">
      <c r="A16" s="594" t="s">
        <v>817</v>
      </c>
      <c r="B16" s="595"/>
      <c r="C16" s="595"/>
      <c r="D16" s="43"/>
      <c r="E16" s="586" t="s">
        <v>543</v>
      </c>
      <c r="F16" s="587"/>
      <c r="G16" s="587"/>
      <c r="H16" s="587"/>
      <c r="I16" s="587"/>
      <c r="J16" s="587"/>
      <c r="K16" s="587"/>
      <c r="L16" s="587"/>
      <c r="M16" s="587"/>
      <c r="N16" s="160"/>
      <c r="O16" s="161"/>
      <c r="P16" s="161"/>
      <c r="Q16" s="161"/>
      <c r="R16" s="162"/>
      <c r="S16" s="72"/>
      <c r="T16" s="15"/>
      <c r="U16" s="15"/>
      <c r="V16" s="15"/>
      <c r="W16" s="73"/>
      <c r="X16" s="160"/>
      <c r="Y16" s="161"/>
      <c r="Z16" s="161"/>
      <c r="AA16" s="161"/>
      <c r="AB16" s="162"/>
      <c r="AC16" s="160"/>
      <c r="AD16" s="161"/>
      <c r="AE16" s="161"/>
      <c r="AF16" s="161"/>
      <c r="AG16" s="162"/>
      <c r="AH16" s="203">
        <f t="shared" si="3"/>
        <v>0</v>
      </c>
      <c r="AI16" s="204"/>
      <c r="AJ16" s="204"/>
      <c r="AK16" s="204"/>
      <c r="AL16" s="205"/>
    </row>
    <row r="17" spans="1:44" ht="10.8" thickBot="1" x14ac:dyDescent="0.35">
      <c r="A17" s="492" t="s">
        <v>170</v>
      </c>
      <c r="B17" s="493"/>
      <c r="C17" s="493"/>
      <c r="D17" s="493"/>
      <c r="E17" s="181" t="s">
        <v>587</v>
      </c>
      <c r="F17" s="182"/>
      <c r="G17" s="182"/>
      <c r="H17" s="182"/>
      <c r="I17" s="182"/>
      <c r="J17" s="182"/>
      <c r="K17" s="182"/>
      <c r="L17" s="182"/>
      <c r="M17" s="182"/>
      <c r="N17" s="160"/>
      <c r="O17" s="161"/>
      <c r="P17" s="161"/>
      <c r="Q17" s="161"/>
      <c r="R17" s="162"/>
      <c r="S17" s="160"/>
      <c r="T17" s="161"/>
      <c r="U17" s="161"/>
      <c r="V17" s="161"/>
      <c r="W17" s="162"/>
      <c r="X17" s="160"/>
      <c r="Y17" s="161"/>
      <c r="Z17" s="161"/>
      <c r="AA17" s="161"/>
      <c r="AB17" s="162"/>
      <c r="AC17" s="160"/>
      <c r="AD17" s="161"/>
      <c r="AE17" s="161"/>
      <c r="AF17" s="161"/>
      <c r="AG17" s="162"/>
      <c r="AH17" s="203">
        <f t="shared" si="3"/>
        <v>0</v>
      </c>
      <c r="AI17" s="204"/>
      <c r="AJ17" s="204"/>
      <c r="AK17" s="204"/>
      <c r="AL17" s="205"/>
    </row>
    <row r="18" spans="1:44" ht="10.8" thickBot="1" x14ac:dyDescent="0.35">
      <c r="A18" s="492" t="s">
        <v>171</v>
      </c>
      <c r="B18" s="493"/>
      <c r="C18" s="493"/>
      <c r="D18" s="493"/>
      <c r="E18" s="181" t="s">
        <v>617</v>
      </c>
      <c r="F18" s="182"/>
      <c r="G18" s="182"/>
      <c r="H18" s="182"/>
      <c r="I18" s="182"/>
      <c r="J18" s="182"/>
      <c r="K18" s="182"/>
      <c r="L18" s="182"/>
      <c r="M18" s="182"/>
      <c r="N18" s="160"/>
      <c r="O18" s="161"/>
      <c r="P18" s="161"/>
      <c r="Q18" s="161"/>
      <c r="R18" s="162"/>
      <c r="S18" s="160"/>
      <c r="T18" s="161"/>
      <c r="U18" s="161"/>
      <c r="V18" s="161"/>
      <c r="W18" s="162"/>
      <c r="X18" s="160"/>
      <c r="Y18" s="161"/>
      <c r="Z18" s="161"/>
      <c r="AA18" s="161"/>
      <c r="AB18" s="162"/>
      <c r="AC18" s="160"/>
      <c r="AD18" s="161"/>
      <c r="AE18" s="161"/>
      <c r="AF18" s="161"/>
      <c r="AG18" s="162"/>
      <c r="AH18" s="415">
        <f t="shared" si="3"/>
        <v>0</v>
      </c>
      <c r="AI18" s="416"/>
      <c r="AJ18" s="416"/>
      <c r="AK18" s="416"/>
      <c r="AL18" s="417"/>
    </row>
    <row r="19" spans="1:44" ht="10.8" thickBot="1" x14ac:dyDescent="0.35">
      <c r="A19" s="492" t="s">
        <v>402</v>
      </c>
      <c r="B19" s="493"/>
      <c r="C19" s="493"/>
      <c r="D19" s="493"/>
      <c r="E19" s="181" t="s">
        <v>586</v>
      </c>
      <c r="F19" s="182"/>
      <c r="G19" s="182"/>
      <c r="H19" s="182"/>
      <c r="I19" s="182"/>
      <c r="J19" s="182"/>
      <c r="K19" s="182"/>
      <c r="L19" s="182"/>
      <c r="M19" s="182"/>
      <c r="N19" s="160"/>
      <c r="O19" s="161"/>
      <c r="P19" s="161"/>
      <c r="Q19" s="161"/>
      <c r="R19" s="162"/>
      <c r="S19" s="160"/>
      <c r="T19" s="161"/>
      <c r="U19" s="161"/>
      <c r="V19" s="161"/>
      <c r="W19" s="162"/>
      <c r="X19" s="160"/>
      <c r="Y19" s="161"/>
      <c r="Z19" s="161"/>
      <c r="AA19" s="161"/>
      <c r="AB19" s="162"/>
      <c r="AC19" s="160"/>
      <c r="AD19" s="161"/>
      <c r="AE19" s="161"/>
      <c r="AF19" s="161"/>
      <c r="AG19" s="162"/>
      <c r="AH19" s="415">
        <f t="shared" si="3"/>
        <v>0</v>
      </c>
      <c r="AI19" s="416"/>
      <c r="AJ19" s="416"/>
      <c r="AK19" s="416"/>
      <c r="AL19" s="417"/>
    </row>
    <row r="20" spans="1:44" ht="10.8" thickBot="1" x14ac:dyDescent="0.35">
      <c r="A20" s="492" t="s">
        <v>172</v>
      </c>
      <c r="B20" s="493"/>
      <c r="C20" s="493"/>
      <c r="D20" s="493"/>
      <c r="E20" s="181" t="s">
        <v>589</v>
      </c>
      <c r="F20" s="182"/>
      <c r="G20" s="182"/>
      <c r="H20" s="182"/>
      <c r="I20" s="182"/>
      <c r="J20" s="182"/>
      <c r="K20" s="182"/>
      <c r="L20" s="182"/>
      <c r="M20" s="182"/>
      <c r="N20" s="499"/>
      <c r="O20" s="579"/>
      <c r="P20" s="579"/>
      <c r="Q20" s="579"/>
      <c r="R20" s="501"/>
      <c r="S20" s="499"/>
      <c r="T20" s="579"/>
      <c r="U20" s="579"/>
      <c r="V20" s="579"/>
      <c r="W20" s="501"/>
      <c r="X20" s="499"/>
      <c r="Y20" s="579"/>
      <c r="Z20" s="579"/>
      <c r="AA20" s="579"/>
      <c r="AB20" s="501"/>
      <c r="AC20" s="499"/>
      <c r="AD20" s="579"/>
      <c r="AE20" s="579"/>
      <c r="AF20" s="579"/>
      <c r="AG20" s="501"/>
      <c r="AH20" s="415">
        <f t="shared" si="3"/>
        <v>0</v>
      </c>
      <c r="AI20" s="416"/>
      <c r="AJ20" s="416"/>
      <c r="AK20" s="416"/>
      <c r="AL20" s="417"/>
    </row>
    <row r="21" spans="1:44" ht="10.8" thickBot="1" x14ac:dyDescent="0.35">
      <c r="A21" s="492" t="s">
        <v>362</v>
      </c>
      <c r="B21" s="493"/>
      <c r="C21" s="493"/>
      <c r="D21" s="493"/>
      <c r="E21" s="181" t="s">
        <v>590</v>
      </c>
      <c r="F21" s="182"/>
      <c r="G21" s="182"/>
      <c r="H21" s="182"/>
      <c r="I21" s="182"/>
      <c r="J21" s="182"/>
      <c r="K21" s="182"/>
      <c r="L21" s="182"/>
      <c r="M21" s="182"/>
      <c r="N21" s="160"/>
      <c r="O21" s="161"/>
      <c r="P21" s="161"/>
      <c r="Q21" s="161"/>
      <c r="R21" s="162"/>
      <c r="S21" s="160"/>
      <c r="T21" s="161"/>
      <c r="U21" s="161"/>
      <c r="V21" s="161"/>
      <c r="W21" s="161"/>
      <c r="X21" s="160"/>
      <c r="Y21" s="161"/>
      <c r="Z21" s="161"/>
      <c r="AA21" s="161"/>
      <c r="AB21" s="162"/>
      <c r="AC21" s="161"/>
      <c r="AD21" s="161"/>
      <c r="AE21" s="161"/>
      <c r="AF21" s="161"/>
      <c r="AG21" s="162"/>
      <c r="AH21" s="415">
        <f t="shared" si="3"/>
        <v>0</v>
      </c>
      <c r="AI21" s="416"/>
      <c r="AJ21" s="416"/>
      <c r="AK21" s="416"/>
      <c r="AL21" s="417"/>
    </row>
    <row r="22" spans="1:44" x14ac:dyDescent="0.3">
      <c r="A22" s="35"/>
      <c r="B22" s="35"/>
      <c r="C22" s="35"/>
      <c r="D22" s="35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</row>
    <row r="23" spans="1:44" ht="10.8" thickBot="1" x14ac:dyDescent="0.3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</row>
    <row r="24" spans="1:44" x14ac:dyDescent="0.3">
      <c r="A24" s="588" t="s">
        <v>611</v>
      </c>
      <c r="B24" s="589"/>
      <c r="C24" s="589"/>
      <c r="D24" s="589"/>
      <c r="E24" s="589"/>
      <c r="F24" s="589"/>
      <c r="G24" s="589"/>
      <c r="H24" s="589"/>
      <c r="I24" s="589"/>
      <c r="J24" s="589"/>
      <c r="K24" s="589"/>
      <c r="L24" s="589"/>
      <c r="M24" s="589"/>
      <c r="N24" s="589"/>
      <c r="O24" s="589"/>
      <c r="P24" s="589"/>
      <c r="Q24" s="589"/>
      <c r="R24" s="589"/>
      <c r="S24" s="589"/>
      <c r="T24" s="589"/>
      <c r="U24" s="589"/>
      <c r="V24" s="589"/>
      <c r="W24" s="589"/>
      <c r="X24" s="589"/>
      <c r="Y24" s="589"/>
      <c r="Z24" s="589"/>
      <c r="AA24" s="589"/>
      <c r="AB24" s="589"/>
      <c r="AC24" s="589"/>
      <c r="AD24" s="589"/>
      <c r="AE24" s="589"/>
      <c r="AF24" s="589"/>
      <c r="AG24" s="589"/>
      <c r="AH24" s="589"/>
      <c r="AI24" s="589"/>
      <c r="AJ24" s="589"/>
      <c r="AK24" s="589"/>
      <c r="AL24" s="590"/>
      <c r="AR24" s="8"/>
    </row>
    <row r="25" spans="1:44" ht="10.8" thickBot="1" x14ac:dyDescent="0.35">
      <c r="A25" s="583" t="s">
        <v>467</v>
      </c>
      <c r="B25" s="584"/>
      <c r="C25" s="584"/>
      <c r="D25" s="584"/>
      <c r="E25" s="584"/>
      <c r="F25" s="584"/>
      <c r="G25" s="584"/>
      <c r="H25" s="584"/>
      <c r="I25" s="584"/>
      <c r="J25" s="584"/>
      <c r="K25" s="584"/>
      <c r="L25" s="584"/>
      <c r="M25" s="584"/>
      <c r="N25" s="584"/>
      <c r="O25" s="584"/>
      <c r="P25" s="584"/>
      <c r="Q25" s="584"/>
      <c r="R25" s="584"/>
      <c r="S25" s="584"/>
      <c r="T25" s="584"/>
      <c r="U25" s="584"/>
      <c r="V25" s="584"/>
      <c r="W25" s="584"/>
      <c r="X25" s="584"/>
      <c r="Y25" s="584"/>
      <c r="Z25" s="584"/>
      <c r="AA25" s="584"/>
      <c r="AB25" s="584"/>
      <c r="AC25" s="584"/>
      <c r="AD25" s="584"/>
      <c r="AE25" s="584"/>
      <c r="AF25" s="584"/>
      <c r="AG25" s="584"/>
      <c r="AH25" s="584"/>
      <c r="AI25" s="584"/>
      <c r="AJ25" s="584"/>
      <c r="AK25" s="584"/>
      <c r="AL25" s="585"/>
    </row>
    <row r="26" spans="1:44" x14ac:dyDescent="0.2">
      <c r="A26" s="5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1"/>
    </row>
    <row r="27" spans="1:44" x14ac:dyDescent="0.2">
      <c r="A27" s="62"/>
      <c r="B27" s="63" t="s">
        <v>243</v>
      </c>
      <c r="C27" s="63"/>
      <c r="D27" s="155"/>
      <c r="E27" s="156"/>
      <c r="F27" s="156"/>
      <c r="G27" s="156"/>
      <c r="H27" s="156"/>
      <c r="I27" s="157"/>
      <c r="J27" s="63"/>
      <c r="K27" s="63"/>
      <c r="L27" s="63"/>
      <c r="M27" s="64"/>
      <c r="N27" s="591" t="s">
        <v>477</v>
      </c>
      <c r="O27" s="591"/>
      <c r="P27" s="591"/>
      <c r="Q27" s="591"/>
      <c r="R27" s="16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2"/>
      <c r="AD27" s="63"/>
      <c r="AE27" s="63"/>
      <c r="AF27" s="63"/>
      <c r="AG27" s="63"/>
      <c r="AH27" s="63"/>
      <c r="AI27" s="63"/>
      <c r="AJ27" s="63"/>
      <c r="AK27" s="63"/>
      <c r="AL27" s="65"/>
    </row>
    <row r="28" spans="1:44" x14ac:dyDescent="0.2">
      <c r="A28" s="6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5"/>
    </row>
    <row r="29" spans="1:44" x14ac:dyDescent="0.2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5"/>
    </row>
    <row r="30" spans="1:44" x14ac:dyDescent="0.2">
      <c r="A30" s="62"/>
      <c r="B30" s="63"/>
      <c r="C30" s="63"/>
      <c r="D30" s="63"/>
      <c r="E30" s="27" t="s">
        <v>128</v>
      </c>
      <c r="F30" s="27" t="s">
        <v>128</v>
      </c>
      <c r="G30" s="27" t="s">
        <v>128</v>
      </c>
      <c r="H30" s="27" t="s">
        <v>128</v>
      </c>
      <c r="I30" s="27" t="s">
        <v>127</v>
      </c>
      <c r="J30" s="27" t="s">
        <v>127</v>
      </c>
      <c r="K30" s="27" t="s">
        <v>126</v>
      </c>
      <c r="L30" s="27" t="s">
        <v>126</v>
      </c>
      <c r="M30" s="63"/>
      <c r="N30" s="27"/>
      <c r="O30" s="63"/>
      <c r="P30" s="27"/>
      <c r="Q30" s="63"/>
      <c r="R30" s="63"/>
      <c r="S30" s="27" t="s">
        <v>255</v>
      </c>
      <c r="T30" s="27" t="s">
        <v>261</v>
      </c>
      <c r="U30" s="27"/>
      <c r="V30" s="63"/>
      <c r="W30" s="63"/>
      <c r="X30" s="63"/>
      <c r="Y30" s="63" t="s">
        <v>458</v>
      </c>
      <c r="Z30" s="63"/>
      <c r="AA30" s="63"/>
      <c r="AB30" s="27">
        <v>1</v>
      </c>
      <c r="AC30" s="27">
        <v>6</v>
      </c>
      <c r="AD30" s="63"/>
      <c r="AE30" s="63"/>
      <c r="AF30" s="63"/>
      <c r="AG30" s="63"/>
      <c r="AH30" s="63"/>
      <c r="AI30" s="63"/>
      <c r="AJ30" s="63"/>
      <c r="AK30" s="63"/>
      <c r="AL30" s="65"/>
    </row>
    <row r="31" spans="1:44" x14ac:dyDescent="0.2">
      <c r="A31" s="62"/>
      <c r="B31" s="63"/>
      <c r="C31" s="63"/>
      <c r="D31" s="63"/>
      <c r="E31" s="596" t="s">
        <v>129</v>
      </c>
      <c r="F31" s="596"/>
      <c r="G31" s="596"/>
      <c r="H31" s="596"/>
      <c r="I31" s="596"/>
      <c r="J31" s="596"/>
      <c r="K31" s="596"/>
      <c r="L31" s="596"/>
      <c r="M31" s="64"/>
      <c r="N31" s="63"/>
      <c r="O31" s="63"/>
      <c r="P31" s="63" t="s">
        <v>244</v>
      </c>
      <c r="Q31" s="63"/>
      <c r="R31" s="63"/>
      <c r="S31" s="63"/>
      <c r="T31" s="64" t="s">
        <v>245</v>
      </c>
      <c r="U31" s="63"/>
      <c r="V31" s="63"/>
      <c r="W31" s="63"/>
      <c r="X31" s="63"/>
      <c r="Y31" s="63"/>
      <c r="Z31" s="63"/>
      <c r="AA31" s="63"/>
      <c r="AB31" s="596" t="s">
        <v>131</v>
      </c>
      <c r="AC31" s="596"/>
      <c r="AD31" s="63"/>
      <c r="AE31" s="63"/>
      <c r="AF31" s="63"/>
      <c r="AG31" s="63"/>
      <c r="AH31" s="63"/>
      <c r="AI31" s="63"/>
      <c r="AJ31" s="63"/>
      <c r="AK31" s="63"/>
      <c r="AL31" s="65"/>
    </row>
    <row r="32" spans="1:44" ht="10.8" thickBot="1" x14ac:dyDescent="0.25">
      <c r="A32" s="66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8"/>
    </row>
    <row r="33" spans="1:38" x14ac:dyDescent="0.3">
      <c r="A33" s="125" t="s">
        <v>761</v>
      </c>
      <c r="B33" s="126"/>
      <c r="C33" s="126"/>
      <c r="D33" s="127"/>
      <c r="E33" s="143" t="s">
        <v>465</v>
      </c>
      <c r="F33" s="144"/>
      <c r="G33" s="144"/>
      <c r="H33" s="144"/>
      <c r="I33" s="144"/>
      <c r="J33" s="144"/>
      <c r="K33" s="144"/>
      <c r="L33" s="144"/>
      <c r="M33" s="144"/>
      <c r="N33" s="143" t="s">
        <v>731</v>
      </c>
      <c r="O33" s="144"/>
      <c r="P33" s="144"/>
      <c r="Q33" s="144"/>
      <c r="R33" s="145"/>
      <c r="S33" s="143" t="s">
        <v>732</v>
      </c>
      <c r="T33" s="144"/>
      <c r="U33" s="144"/>
      <c r="V33" s="144"/>
      <c r="W33" s="145"/>
      <c r="X33" s="143" t="s">
        <v>734</v>
      </c>
      <c r="Y33" s="144"/>
      <c r="Z33" s="144"/>
      <c r="AA33" s="144"/>
      <c r="AB33" s="145"/>
      <c r="AC33" s="143" t="s">
        <v>733</v>
      </c>
      <c r="AD33" s="144"/>
      <c r="AE33" s="144"/>
      <c r="AF33" s="144"/>
      <c r="AG33" s="145"/>
      <c r="AH33" s="143" t="s">
        <v>1</v>
      </c>
      <c r="AI33" s="144"/>
      <c r="AJ33" s="144"/>
      <c r="AK33" s="144"/>
      <c r="AL33" s="145"/>
    </row>
    <row r="34" spans="1:38" ht="10.8" thickBot="1" x14ac:dyDescent="0.35">
      <c r="A34" s="125"/>
      <c r="B34" s="126"/>
      <c r="C34" s="126"/>
      <c r="D34" s="127"/>
      <c r="E34" s="146"/>
      <c r="F34" s="147"/>
      <c r="G34" s="147"/>
      <c r="H34" s="147"/>
      <c r="I34" s="147"/>
      <c r="J34" s="147"/>
      <c r="K34" s="147"/>
      <c r="L34" s="147"/>
      <c r="M34" s="147"/>
      <c r="N34" s="146"/>
      <c r="O34" s="147"/>
      <c r="P34" s="147"/>
      <c r="Q34" s="147"/>
      <c r="R34" s="148"/>
      <c r="S34" s="146"/>
      <c r="T34" s="147"/>
      <c r="U34" s="147"/>
      <c r="V34" s="147"/>
      <c r="W34" s="148"/>
      <c r="X34" s="146"/>
      <c r="Y34" s="147"/>
      <c r="Z34" s="147"/>
      <c r="AA34" s="147"/>
      <c r="AB34" s="148"/>
      <c r="AC34" s="146"/>
      <c r="AD34" s="147"/>
      <c r="AE34" s="147"/>
      <c r="AF34" s="147"/>
      <c r="AG34" s="148"/>
      <c r="AH34" s="146"/>
      <c r="AI34" s="147"/>
      <c r="AJ34" s="147"/>
      <c r="AK34" s="147"/>
      <c r="AL34" s="148"/>
    </row>
    <row r="35" spans="1:38" ht="10.8" thickBot="1" x14ac:dyDescent="0.35">
      <c r="A35" s="128"/>
      <c r="B35" s="129"/>
      <c r="C35" s="129"/>
      <c r="D35" s="130"/>
      <c r="E35" s="149"/>
      <c r="F35" s="150"/>
      <c r="G35" s="150"/>
      <c r="H35" s="150"/>
      <c r="I35" s="150"/>
      <c r="J35" s="150"/>
      <c r="K35" s="150"/>
      <c r="L35" s="150"/>
      <c r="M35" s="150"/>
      <c r="N35" s="152">
        <v>15</v>
      </c>
      <c r="O35" s="153"/>
      <c r="P35" s="153"/>
      <c r="Q35" s="153"/>
      <c r="R35" s="154"/>
      <c r="S35" s="152">
        <v>16</v>
      </c>
      <c r="T35" s="153"/>
      <c r="U35" s="153"/>
      <c r="V35" s="153"/>
      <c r="W35" s="154"/>
      <c r="X35" s="152">
        <v>17</v>
      </c>
      <c r="Y35" s="153"/>
      <c r="Z35" s="153"/>
      <c r="AA35" s="153"/>
      <c r="AB35" s="154"/>
      <c r="AC35" s="152">
        <v>18</v>
      </c>
      <c r="AD35" s="153"/>
      <c r="AE35" s="153"/>
      <c r="AF35" s="153"/>
      <c r="AG35" s="154"/>
      <c r="AH35" s="152">
        <v>21</v>
      </c>
      <c r="AI35" s="153"/>
      <c r="AJ35" s="153"/>
      <c r="AK35" s="153"/>
      <c r="AL35" s="154"/>
    </row>
    <row r="36" spans="1:38" ht="10.8" thickBot="1" x14ac:dyDescent="0.35">
      <c r="A36" s="458" t="s">
        <v>383</v>
      </c>
      <c r="B36" s="459"/>
      <c r="C36" s="459"/>
      <c r="D36" s="498"/>
      <c r="E36" s="597" t="s">
        <v>595</v>
      </c>
      <c r="F36" s="598"/>
      <c r="G36" s="598"/>
      <c r="H36" s="598"/>
      <c r="I36" s="598"/>
      <c r="J36" s="598"/>
      <c r="K36" s="598"/>
      <c r="L36" s="598"/>
      <c r="M36" s="598"/>
      <c r="N36" s="203">
        <f>+N37+N38</f>
        <v>0</v>
      </c>
      <c r="O36" s="204"/>
      <c r="P36" s="204"/>
      <c r="Q36" s="204"/>
      <c r="R36" s="205"/>
      <c r="S36" s="203">
        <f t="shared" ref="S36" si="4">+S37+S38</f>
        <v>0</v>
      </c>
      <c r="T36" s="204"/>
      <c r="U36" s="204"/>
      <c r="V36" s="204"/>
      <c r="W36" s="205"/>
      <c r="X36" s="203">
        <f t="shared" ref="X36" si="5">+X37+X38</f>
        <v>0</v>
      </c>
      <c r="Y36" s="204"/>
      <c r="Z36" s="204"/>
      <c r="AA36" s="204"/>
      <c r="AB36" s="205"/>
      <c r="AC36" s="203">
        <f t="shared" ref="AC36" si="6">+AC37+AC38</f>
        <v>0</v>
      </c>
      <c r="AD36" s="204"/>
      <c r="AE36" s="204"/>
      <c r="AF36" s="204"/>
      <c r="AG36" s="205"/>
      <c r="AH36" s="203">
        <f t="shared" ref="AH36:AH44" si="7">+SUM(N36:AG36)</f>
        <v>0</v>
      </c>
      <c r="AI36" s="204"/>
      <c r="AJ36" s="204"/>
      <c r="AK36" s="204"/>
      <c r="AL36" s="205"/>
    </row>
    <row r="37" spans="1:38" ht="10.8" thickBot="1" x14ac:dyDescent="0.35">
      <c r="A37" s="300" t="s">
        <v>388</v>
      </c>
      <c r="B37" s="301"/>
      <c r="C37" s="301"/>
      <c r="D37" s="302"/>
      <c r="E37" s="385" t="s">
        <v>608</v>
      </c>
      <c r="F37" s="386"/>
      <c r="G37" s="386"/>
      <c r="H37" s="386"/>
      <c r="I37" s="386"/>
      <c r="J37" s="386"/>
      <c r="K37" s="386"/>
      <c r="L37" s="386"/>
      <c r="M37" s="386"/>
      <c r="N37" s="499"/>
      <c r="O37" s="500"/>
      <c r="P37" s="500"/>
      <c r="Q37" s="500"/>
      <c r="R37" s="501"/>
      <c r="S37" s="499"/>
      <c r="T37" s="500"/>
      <c r="U37" s="500"/>
      <c r="V37" s="500"/>
      <c r="W37" s="501"/>
      <c r="X37" s="69"/>
      <c r="Y37" s="70"/>
      <c r="Z37" s="70"/>
      <c r="AA37" s="70"/>
      <c r="AB37" s="71"/>
      <c r="AC37" s="69"/>
      <c r="AD37" s="70"/>
      <c r="AE37" s="70"/>
      <c r="AF37" s="70"/>
      <c r="AG37" s="71"/>
      <c r="AH37" s="203">
        <f t="shared" si="7"/>
        <v>0</v>
      </c>
      <c r="AI37" s="204"/>
      <c r="AJ37" s="204"/>
      <c r="AK37" s="204"/>
      <c r="AL37" s="205"/>
    </row>
    <row r="38" spans="1:38" ht="10.8" thickBot="1" x14ac:dyDescent="0.35">
      <c r="A38" s="300" t="s">
        <v>389</v>
      </c>
      <c r="B38" s="301"/>
      <c r="C38" s="301"/>
      <c r="D38" s="302"/>
      <c r="E38" s="385" t="s">
        <v>609</v>
      </c>
      <c r="F38" s="386"/>
      <c r="G38" s="386"/>
      <c r="H38" s="386"/>
      <c r="I38" s="386"/>
      <c r="J38" s="386"/>
      <c r="K38" s="386"/>
      <c r="L38" s="386"/>
      <c r="M38" s="386"/>
      <c r="N38" s="580"/>
      <c r="O38" s="581"/>
      <c r="P38" s="581"/>
      <c r="Q38" s="581"/>
      <c r="R38" s="582"/>
      <c r="S38" s="580"/>
      <c r="T38" s="581"/>
      <c r="U38" s="581"/>
      <c r="V38" s="581"/>
      <c r="W38" s="582"/>
      <c r="X38" s="580"/>
      <c r="Y38" s="581"/>
      <c r="Z38" s="581"/>
      <c r="AA38" s="581"/>
      <c r="AB38" s="582"/>
      <c r="AC38" s="580"/>
      <c r="AD38" s="581"/>
      <c r="AE38" s="581"/>
      <c r="AF38" s="581"/>
      <c r="AG38" s="582"/>
      <c r="AH38" s="203">
        <f t="shared" si="7"/>
        <v>0</v>
      </c>
      <c r="AI38" s="204"/>
      <c r="AJ38" s="204"/>
      <c r="AK38" s="204"/>
      <c r="AL38" s="205"/>
    </row>
    <row r="39" spans="1:38" ht="12" customHeight="1" thickBot="1" x14ac:dyDescent="0.35">
      <c r="A39" s="594" t="s">
        <v>817</v>
      </c>
      <c r="B39" s="595"/>
      <c r="C39" s="595"/>
      <c r="D39" s="43"/>
      <c r="E39" s="586" t="s">
        <v>543</v>
      </c>
      <c r="F39" s="587"/>
      <c r="G39" s="587"/>
      <c r="H39" s="587"/>
      <c r="I39" s="587"/>
      <c r="J39" s="587"/>
      <c r="K39" s="587"/>
      <c r="L39" s="587"/>
      <c r="M39" s="587"/>
      <c r="N39" s="160"/>
      <c r="O39" s="161"/>
      <c r="P39" s="161"/>
      <c r="Q39" s="161"/>
      <c r="R39" s="162"/>
      <c r="S39" s="72"/>
      <c r="T39" s="15"/>
      <c r="U39" s="15"/>
      <c r="V39" s="15"/>
      <c r="W39" s="73"/>
      <c r="X39" s="72"/>
      <c r="Y39" s="15"/>
      <c r="Z39" s="15"/>
      <c r="AA39" s="15"/>
      <c r="AB39" s="73"/>
      <c r="AC39" s="72"/>
      <c r="AD39" s="15"/>
      <c r="AE39" s="15"/>
      <c r="AF39" s="15"/>
      <c r="AG39" s="73"/>
      <c r="AH39" s="203">
        <f t="shared" si="7"/>
        <v>0</v>
      </c>
      <c r="AI39" s="204"/>
      <c r="AJ39" s="204"/>
      <c r="AK39" s="204"/>
      <c r="AL39" s="205"/>
    </row>
    <row r="40" spans="1:38" ht="10.8" thickBot="1" x14ac:dyDescent="0.35">
      <c r="A40" s="492" t="s">
        <v>170</v>
      </c>
      <c r="B40" s="493"/>
      <c r="C40" s="493"/>
      <c r="D40" s="493"/>
      <c r="E40" s="181" t="s">
        <v>587</v>
      </c>
      <c r="F40" s="182"/>
      <c r="G40" s="182"/>
      <c r="H40" s="182"/>
      <c r="I40" s="182"/>
      <c r="J40" s="182"/>
      <c r="K40" s="182"/>
      <c r="L40" s="182"/>
      <c r="M40" s="182"/>
      <c r="N40" s="160"/>
      <c r="O40" s="161"/>
      <c r="P40" s="161"/>
      <c r="Q40" s="161"/>
      <c r="R40" s="162"/>
      <c r="S40" s="160"/>
      <c r="T40" s="161"/>
      <c r="U40" s="161"/>
      <c r="V40" s="161"/>
      <c r="W40" s="162"/>
      <c r="X40" s="160"/>
      <c r="Y40" s="161"/>
      <c r="Z40" s="161"/>
      <c r="AA40" s="161"/>
      <c r="AB40" s="162"/>
      <c r="AC40" s="160"/>
      <c r="AD40" s="161"/>
      <c r="AE40" s="161"/>
      <c r="AF40" s="161"/>
      <c r="AG40" s="162"/>
      <c r="AH40" s="203">
        <f t="shared" si="7"/>
        <v>0</v>
      </c>
      <c r="AI40" s="204"/>
      <c r="AJ40" s="204"/>
      <c r="AK40" s="204"/>
      <c r="AL40" s="205"/>
    </row>
    <row r="41" spans="1:38" ht="10.8" thickBot="1" x14ac:dyDescent="0.35">
      <c r="A41" s="492" t="s">
        <v>171</v>
      </c>
      <c r="B41" s="493"/>
      <c r="C41" s="493"/>
      <c r="D41" s="493"/>
      <c r="E41" s="181" t="s">
        <v>588</v>
      </c>
      <c r="F41" s="182"/>
      <c r="G41" s="182"/>
      <c r="H41" s="182"/>
      <c r="I41" s="182"/>
      <c r="J41" s="182"/>
      <c r="K41" s="182"/>
      <c r="L41" s="182"/>
      <c r="M41" s="182"/>
      <c r="N41" s="160"/>
      <c r="O41" s="161"/>
      <c r="P41" s="161"/>
      <c r="Q41" s="161"/>
      <c r="R41" s="162"/>
      <c r="S41" s="160"/>
      <c r="T41" s="161"/>
      <c r="U41" s="161"/>
      <c r="V41" s="161"/>
      <c r="W41" s="162"/>
      <c r="X41" s="160"/>
      <c r="Y41" s="161"/>
      <c r="Z41" s="161"/>
      <c r="AA41" s="161"/>
      <c r="AB41" s="162"/>
      <c r="AC41" s="160"/>
      <c r="AD41" s="161"/>
      <c r="AE41" s="161"/>
      <c r="AF41" s="161"/>
      <c r="AG41" s="162"/>
      <c r="AH41" s="415">
        <f t="shared" si="7"/>
        <v>0</v>
      </c>
      <c r="AI41" s="416"/>
      <c r="AJ41" s="416"/>
      <c r="AK41" s="416"/>
      <c r="AL41" s="417"/>
    </row>
    <row r="42" spans="1:38" ht="10.8" thickBot="1" x14ac:dyDescent="0.35">
      <c r="A42" s="300" t="s">
        <v>402</v>
      </c>
      <c r="B42" s="301"/>
      <c r="C42" s="301"/>
      <c r="D42" s="301"/>
      <c r="E42" s="181" t="s">
        <v>586</v>
      </c>
      <c r="F42" s="182"/>
      <c r="G42" s="182"/>
      <c r="H42" s="182"/>
      <c r="I42" s="182"/>
      <c r="J42" s="182"/>
      <c r="K42" s="182"/>
      <c r="L42" s="182"/>
      <c r="M42" s="182"/>
      <c r="N42" s="160"/>
      <c r="O42" s="161"/>
      <c r="P42" s="161"/>
      <c r="Q42" s="161"/>
      <c r="R42" s="162"/>
      <c r="S42" s="160"/>
      <c r="T42" s="161"/>
      <c r="U42" s="161"/>
      <c r="V42" s="161"/>
      <c r="W42" s="162"/>
      <c r="X42" s="160"/>
      <c r="Y42" s="161"/>
      <c r="Z42" s="161"/>
      <c r="AA42" s="161"/>
      <c r="AB42" s="162"/>
      <c r="AC42" s="160"/>
      <c r="AD42" s="161"/>
      <c r="AE42" s="161"/>
      <c r="AF42" s="161"/>
      <c r="AG42" s="162"/>
      <c r="AH42" s="415">
        <f t="shared" si="7"/>
        <v>0</v>
      </c>
      <c r="AI42" s="416"/>
      <c r="AJ42" s="416"/>
      <c r="AK42" s="416"/>
      <c r="AL42" s="417"/>
    </row>
    <row r="43" spans="1:38" ht="10.8" thickBot="1" x14ac:dyDescent="0.35">
      <c r="A43" s="300" t="s">
        <v>172</v>
      </c>
      <c r="B43" s="301"/>
      <c r="C43" s="301"/>
      <c r="D43" s="301"/>
      <c r="E43" s="181" t="s">
        <v>589</v>
      </c>
      <c r="F43" s="182"/>
      <c r="G43" s="182"/>
      <c r="H43" s="182"/>
      <c r="I43" s="182"/>
      <c r="J43" s="182"/>
      <c r="K43" s="182"/>
      <c r="L43" s="182"/>
      <c r="M43" s="182"/>
      <c r="N43" s="499"/>
      <c r="O43" s="579"/>
      <c r="P43" s="579"/>
      <c r="Q43" s="579"/>
      <c r="R43" s="501"/>
      <c r="S43" s="499"/>
      <c r="T43" s="579"/>
      <c r="U43" s="579"/>
      <c r="V43" s="579"/>
      <c r="W43" s="501"/>
      <c r="X43" s="499"/>
      <c r="Y43" s="579"/>
      <c r="Z43" s="579"/>
      <c r="AA43" s="579"/>
      <c r="AB43" s="501"/>
      <c r="AC43" s="499"/>
      <c r="AD43" s="579"/>
      <c r="AE43" s="579"/>
      <c r="AF43" s="579"/>
      <c r="AG43" s="501"/>
      <c r="AH43" s="415">
        <f t="shared" si="7"/>
        <v>0</v>
      </c>
      <c r="AI43" s="416"/>
      <c r="AJ43" s="416"/>
      <c r="AK43" s="416"/>
      <c r="AL43" s="417"/>
    </row>
    <row r="44" spans="1:38" ht="10.8" thickBot="1" x14ac:dyDescent="0.35">
      <c r="A44" s="592" t="s">
        <v>362</v>
      </c>
      <c r="B44" s="593"/>
      <c r="C44" s="593"/>
      <c r="D44" s="593"/>
      <c r="E44" s="181" t="s">
        <v>590</v>
      </c>
      <c r="F44" s="182"/>
      <c r="G44" s="182"/>
      <c r="H44" s="182"/>
      <c r="I44" s="182"/>
      <c r="J44" s="182"/>
      <c r="K44" s="182"/>
      <c r="L44" s="182"/>
      <c r="M44" s="182"/>
      <c r="N44" s="160"/>
      <c r="O44" s="161"/>
      <c r="P44" s="161"/>
      <c r="Q44" s="161"/>
      <c r="R44" s="162"/>
      <c r="S44" s="160"/>
      <c r="T44" s="161"/>
      <c r="U44" s="161"/>
      <c r="V44" s="161"/>
      <c r="W44" s="161"/>
      <c r="X44" s="160"/>
      <c r="Y44" s="161"/>
      <c r="Z44" s="161"/>
      <c r="AA44" s="161"/>
      <c r="AB44" s="162"/>
      <c r="AC44" s="161"/>
      <c r="AD44" s="161"/>
      <c r="AE44" s="161"/>
      <c r="AF44" s="161"/>
      <c r="AG44" s="162"/>
      <c r="AH44" s="415">
        <f t="shared" si="7"/>
        <v>0</v>
      </c>
      <c r="AI44" s="416"/>
      <c r="AJ44" s="416"/>
      <c r="AK44" s="416"/>
      <c r="AL44" s="417"/>
    </row>
  </sheetData>
  <mergeCells count="155">
    <mergeCell ref="A19:D19"/>
    <mergeCell ref="E19:M19"/>
    <mergeCell ref="N19:R19"/>
    <mergeCell ref="S19:W19"/>
    <mergeCell ref="X19:AB19"/>
    <mergeCell ref="AC19:AG19"/>
    <mergeCell ref="A17:D17"/>
    <mergeCell ref="E17:M17"/>
    <mergeCell ref="N17:R17"/>
    <mergeCell ref="S17:W17"/>
    <mergeCell ref="X17:AB17"/>
    <mergeCell ref="AC17:AG17"/>
    <mergeCell ref="AH44:AL44"/>
    <mergeCell ref="A16:C16"/>
    <mergeCell ref="A39:C39"/>
    <mergeCell ref="E39:M39"/>
    <mergeCell ref="A40:D40"/>
    <mergeCell ref="E40:M40"/>
    <mergeCell ref="E31:L31"/>
    <mergeCell ref="AB31:AC31"/>
    <mergeCell ref="A33:D35"/>
    <mergeCell ref="E33:M35"/>
    <mergeCell ref="N33:R34"/>
    <mergeCell ref="S33:W34"/>
    <mergeCell ref="X33:AB34"/>
    <mergeCell ref="AC33:AG34"/>
    <mergeCell ref="A24:AL24"/>
    <mergeCell ref="AH37:AL37"/>
    <mergeCell ref="N37:R37"/>
    <mergeCell ref="S37:W37"/>
    <mergeCell ref="A20:D20"/>
    <mergeCell ref="E20:M20"/>
    <mergeCell ref="E36:M36"/>
    <mergeCell ref="A37:D37"/>
    <mergeCell ref="E37:M37"/>
    <mergeCell ref="N36:R36"/>
    <mergeCell ref="A44:D44"/>
    <mergeCell ref="E44:M44"/>
    <mergeCell ref="N44:R44"/>
    <mergeCell ref="X36:AB36"/>
    <mergeCell ref="AC36:AG36"/>
    <mergeCell ref="A41:D41"/>
    <mergeCell ref="E41:M41"/>
    <mergeCell ref="A42:D42"/>
    <mergeCell ref="E42:M42"/>
    <mergeCell ref="A38:D38"/>
    <mergeCell ref="E38:M38"/>
    <mergeCell ref="N38:R38"/>
    <mergeCell ref="S38:W38"/>
    <mergeCell ref="A36:D36"/>
    <mergeCell ref="S44:W44"/>
    <mergeCell ref="X44:AB44"/>
    <mergeCell ref="S36:W36"/>
    <mergeCell ref="A43:D43"/>
    <mergeCell ref="E43:M43"/>
    <mergeCell ref="N39:R39"/>
    <mergeCell ref="N40:R40"/>
    <mergeCell ref="S40:W40"/>
    <mergeCell ref="N41:R41"/>
    <mergeCell ref="S41:W41"/>
    <mergeCell ref="N35:R35"/>
    <mergeCell ref="S35:W35"/>
    <mergeCell ref="X35:AB35"/>
    <mergeCell ref="AC35:AG35"/>
    <mergeCell ref="AH35:AL35"/>
    <mergeCell ref="AC18:AG18"/>
    <mergeCell ref="AH19:AL19"/>
    <mergeCell ref="N16:R16"/>
    <mergeCell ref="N20:R20"/>
    <mergeCell ref="S20:W20"/>
    <mergeCell ref="X20:AB20"/>
    <mergeCell ref="AC20:AG20"/>
    <mergeCell ref="AH20:AL20"/>
    <mergeCell ref="N21:R21"/>
    <mergeCell ref="S21:W21"/>
    <mergeCell ref="X21:AB21"/>
    <mergeCell ref="AC21:AG21"/>
    <mergeCell ref="N27:Q27"/>
    <mergeCell ref="X16:AB16"/>
    <mergeCell ref="AC16:AG16"/>
    <mergeCell ref="A1:AL1"/>
    <mergeCell ref="A2:AL2"/>
    <mergeCell ref="D4:I4"/>
    <mergeCell ref="E8:L8"/>
    <mergeCell ref="AB8:AC8"/>
    <mergeCell ref="A13:D13"/>
    <mergeCell ref="E13:M13"/>
    <mergeCell ref="N13:R13"/>
    <mergeCell ref="S13:W13"/>
    <mergeCell ref="AH10:AL11"/>
    <mergeCell ref="N12:R12"/>
    <mergeCell ref="S12:W12"/>
    <mergeCell ref="X12:AB12"/>
    <mergeCell ref="AC12:AG12"/>
    <mergeCell ref="AH12:AL12"/>
    <mergeCell ref="A10:D12"/>
    <mergeCell ref="E10:M12"/>
    <mergeCell ref="N10:R11"/>
    <mergeCell ref="M4:P4"/>
    <mergeCell ref="S4:AD4"/>
    <mergeCell ref="S10:W11"/>
    <mergeCell ref="X10:AB11"/>
    <mergeCell ref="X13:AB13"/>
    <mergeCell ref="AC13:AG13"/>
    <mergeCell ref="AC10:AG11"/>
    <mergeCell ref="A25:AL25"/>
    <mergeCell ref="D27:I27"/>
    <mergeCell ref="AH21:AL21"/>
    <mergeCell ref="AH18:AL18"/>
    <mergeCell ref="A18:D18"/>
    <mergeCell ref="E18:M18"/>
    <mergeCell ref="N18:R18"/>
    <mergeCell ref="S18:W18"/>
    <mergeCell ref="X18:AB18"/>
    <mergeCell ref="AH13:AL13"/>
    <mergeCell ref="AH14:AL14"/>
    <mergeCell ref="A14:D14"/>
    <mergeCell ref="E14:M14"/>
    <mergeCell ref="N14:R14"/>
    <mergeCell ref="S14:W14"/>
    <mergeCell ref="E16:M16"/>
    <mergeCell ref="AH16:AL16"/>
    <mergeCell ref="A21:D21"/>
    <mergeCell ref="E21:M21"/>
    <mergeCell ref="A15:D15"/>
    <mergeCell ref="E15:M15"/>
    <mergeCell ref="N15:R15"/>
    <mergeCell ref="S15:W15"/>
    <mergeCell ref="AH39:AL39"/>
    <mergeCell ref="AH40:AL40"/>
    <mergeCell ref="AH41:AL41"/>
    <mergeCell ref="AH42:AL42"/>
    <mergeCell ref="AH43:AL43"/>
    <mergeCell ref="X15:AB15"/>
    <mergeCell ref="AC15:AG15"/>
    <mergeCell ref="AH15:AL15"/>
    <mergeCell ref="AH17:AL17"/>
    <mergeCell ref="AH36:AL36"/>
    <mergeCell ref="X38:AB38"/>
    <mergeCell ref="AC38:AG38"/>
    <mergeCell ref="AH33:AL34"/>
    <mergeCell ref="AH38:AL38"/>
    <mergeCell ref="X40:AB40"/>
    <mergeCell ref="AC40:AG40"/>
    <mergeCell ref="X41:AB41"/>
    <mergeCell ref="AC41:AG41"/>
    <mergeCell ref="N42:R42"/>
    <mergeCell ref="S42:W42"/>
    <mergeCell ref="X42:AB42"/>
    <mergeCell ref="AC42:AG42"/>
    <mergeCell ref="N43:R43"/>
    <mergeCell ref="S43:W43"/>
    <mergeCell ref="X43:AB43"/>
    <mergeCell ref="AC43:AG43"/>
    <mergeCell ref="AC44:AG44"/>
  </mergeCells>
  <pageMargins left="0.52" right="0.62" top="0.74803149606299213" bottom="0.74803149606299213" header="0.31496062992125984" footer="0.31496062992125984"/>
  <pageSetup paperSize="9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6567-5520-46A6-B6AA-3AE006E1AC85}">
  <sheetPr>
    <tabColor rgb="FFFFC000"/>
  </sheetPr>
  <dimension ref="A1:P21"/>
  <sheetViews>
    <sheetView showGridLines="0" tabSelected="1" view="pageBreakPreview" zoomScale="110" zoomScaleNormal="110" zoomScaleSheetLayoutView="110" workbookViewId="0">
      <selection activeCell="C18" sqref="C18:D18"/>
    </sheetView>
  </sheetViews>
  <sheetFormatPr baseColWidth="10" defaultColWidth="3.44140625" defaultRowHeight="10.199999999999999" x14ac:dyDescent="0.3"/>
  <cols>
    <col min="1" max="1" width="10.109375" style="1" customWidth="1"/>
    <col min="2" max="2" width="7" style="1" customWidth="1"/>
    <col min="3" max="3" width="3.44140625" style="1"/>
    <col min="4" max="4" width="17.21875" style="1" customWidth="1"/>
    <col min="5" max="5" width="6.44140625" style="1" customWidth="1"/>
    <col min="6" max="6" width="1.77734375" style="1" customWidth="1"/>
    <col min="7" max="7" width="4.21875" style="1" customWidth="1"/>
    <col min="8" max="13" width="3.44140625" style="1"/>
    <col min="14" max="14" width="20.21875" style="1" customWidth="1"/>
    <col min="15" max="15" width="18.21875" style="1" customWidth="1"/>
    <col min="16" max="16" width="9.21875" style="1" customWidth="1"/>
    <col min="17" max="16384" width="3.44140625" style="1"/>
  </cols>
  <sheetData>
    <row r="1" spans="1:16" ht="15" customHeight="1" x14ac:dyDescent="0.3">
      <c r="A1" s="119" t="s">
        <v>762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325"/>
    </row>
    <row r="2" spans="1:16" ht="15.75" customHeight="1" x14ac:dyDescent="0.3">
      <c r="A2" s="119" t="s">
        <v>450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325"/>
    </row>
    <row r="3" spans="1:16" ht="15" customHeight="1" x14ac:dyDescent="0.3">
      <c r="A3" s="624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5"/>
    </row>
    <row r="4" spans="1:16" x14ac:dyDescent="0.2">
      <c r="C4" s="626" t="s">
        <v>630</v>
      </c>
      <c r="D4" s="627"/>
      <c r="E4" s="627"/>
      <c r="F4" s="627"/>
      <c r="G4" s="25"/>
      <c r="H4" s="155"/>
      <c r="I4" s="156"/>
      <c r="J4" s="156"/>
      <c r="K4" s="156"/>
      <c r="L4" s="156"/>
      <c r="M4" s="157"/>
      <c r="N4" s="108" t="s">
        <v>477</v>
      </c>
      <c r="O4" s="49"/>
      <c r="P4" s="108"/>
    </row>
    <row r="5" spans="1:16" x14ac:dyDescent="0.2"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6"/>
    </row>
    <row r="6" spans="1:16" x14ac:dyDescent="0.2">
      <c r="C6" s="24"/>
      <c r="D6" s="25"/>
      <c r="E6" s="25"/>
      <c r="F6" s="25"/>
      <c r="G6" s="25"/>
      <c r="H6" s="25"/>
      <c r="I6" s="27" t="s">
        <v>128</v>
      </c>
      <c r="J6" s="27" t="s">
        <v>128</v>
      </c>
      <c r="K6" s="27" t="s">
        <v>128</v>
      </c>
      <c r="L6" s="27" t="s">
        <v>128</v>
      </c>
      <c r="M6" s="27" t="s">
        <v>127</v>
      </c>
      <c r="N6" s="49"/>
      <c r="O6" s="49"/>
      <c r="P6" s="26"/>
    </row>
    <row r="7" spans="1:16" x14ac:dyDescent="0.2">
      <c r="C7" s="24"/>
      <c r="D7" s="25"/>
      <c r="E7" s="25"/>
      <c r="F7" s="25"/>
      <c r="G7" s="25"/>
      <c r="H7" s="25"/>
      <c r="I7" s="159" t="s">
        <v>129</v>
      </c>
      <c r="J7" s="159"/>
      <c r="K7" s="159"/>
      <c r="L7" s="159"/>
      <c r="M7" s="159"/>
      <c r="N7" s="19"/>
      <c r="O7" s="19"/>
      <c r="P7" s="26"/>
    </row>
    <row r="8" spans="1:16" ht="10.8" thickBot="1" x14ac:dyDescent="0.25"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"/>
    </row>
    <row r="9" spans="1:16" ht="13.5" customHeight="1" x14ac:dyDescent="0.3">
      <c r="A9" s="621" t="s">
        <v>761</v>
      </c>
      <c r="B9" s="631" t="s">
        <v>751</v>
      </c>
      <c r="C9" s="272" t="s">
        <v>235</v>
      </c>
      <c r="D9" s="274"/>
      <c r="E9" s="131" t="s">
        <v>749</v>
      </c>
      <c r="F9" s="132"/>
      <c r="G9" s="133"/>
      <c r="H9" s="143" t="s">
        <v>750</v>
      </c>
      <c r="I9" s="144"/>
      <c r="J9" s="144"/>
      <c r="K9" s="144"/>
      <c r="L9" s="144"/>
      <c r="M9" s="144"/>
      <c r="N9" s="628" t="s">
        <v>753</v>
      </c>
      <c r="O9" s="628" t="s">
        <v>752</v>
      </c>
      <c r="P9" s="628" t="s">
        <v>757</v>
      </c>
    </row>
    <row r="10" spans="1:16" ht="15.75" customHeight="1" x14ac:dyDescent="0.3">
      <c r="A10" s="622"/>
      <c r="B10" s="632"/>
      <c r="C10" s="275"/>
      <c r="D10" s="277"/>
      <c r="E10" s="134"/>
      <c r="F10" s="135"/>
      <c r="G10" s="136"/>
      <c r="H10" s="146"/>
      <c r="I10" s="147"/>
      <c r="J10" s="147"/>
      <c r="K10" s="147"/>
      <c r="L10" s="147"/>
      <c r="M10" s="147"/>
      <c r="N10" s="629"/>
      <c r="O10" s="629"/>
      <c r="P10" s="629"/>
    </row>
    <row r="11" spans="1:16" ht="15" customHeight="1" x14ac:dyDescent="0.3">
      <c r="A11" s="622"/>
      <c r="B11" s="632"/>
      <c r="C11" s="275"/>
      <c r="D11" s="277"/>
      <c r="E11" s="134"/>
      <c r="F11" s="135"/>
      <c r="G11" s="136"/>
      <c r="H11" s="146"/>
      <c r="I11" s="147"/>
      <c r="J11" s="147"/>
      <c r="K11" s="147"/>
      <c r="L11" s="147"/>
      <c r="M11" s="147"/>
      <c r="N11" s="629"/>
      <c r="O11" s="629"/>
      <c r="P11" s="629"/>
    </row>
    <row r="12" spans="1:16" ht="15" customHeight="1" x14ac:dyDescent="0.3">
      <c r="A12" s="622"/>
      <c r="B12" s="632"/>
      <c r="C12" s="275"/>
      <c r="D12" s="277"/>
      <c r="E12" s="134"/>
      <c r="F12" s="135"/>
      <c r="G12" s="136"/>
      <c r="H12" s="146"/>
      <c r="I12" s="147"/>
      <c r="J12" s="147"/>
      <c r="K12" s="147"/>
      <c r="L12" s="147"/>
      <c r="M12" s="147"/>
      <c r="N12" s="629"/>
      <c r="O12" s="629"/>
      <c r="P12" s="629"/>
    </row>
    <row r="13" spans="1:16" ht="15.75" customHeight="1" thickBot="1" x14ac:dyDescent="0.35">
      <c r="A13" s="623"/>
      <c r="B13" s="633"/>
      <c r="C13" s="278"/>
      <c r="D13" s="280"/>
      <c r="E13" s="134"/>
      <c r="F13" s="135"/>
      <c r="G13" s="136"/>
      <c r="H13" s="146"/>
      <c r="I13" s="147"/>
      <c r="J13" s="147"/>
      <c r="K13" s="147"/>
      <c r="L13" s="147"/>
      <c r="M13" s="147"/>
      <c r="N13" s="630"/>
      <c r="O13" s="630"/>
      <c r="P13" s="630"/>
    </row>
    <row r="14" spans="1:16" ht="11.55" customHeight="1" thickBot="1" x14ac:dyDescent="0.35">
      <c r="A14" s="87" t="s">
        <v>818</v>
      </c>
      <c r="B14" s="87">
        <v>1</v>
      </c>
      <c r="C14" s="611" t="s">
        <v>742</v>
      </c>
      <c r="D14" s="636"/>
      <c r="E14" s="599"/>
      <c r="F14" s="600"/>
      <c r="G14" s="601"/>
      <c r="H14" s="605"/>
      <c r="I14" s="606"/>
      <c r="J14" s="606"/>
      <c r="K14" s="606"/>
      <c r="L14" s="606"/>
      <c r="M14" s="606"/>
      <c r="N14" s="109" t="s">
        <v>759</v>
      </c>
      <c r="O14" s="97">
        <f>+D15+D16+D17+D18+D19+D20</f>
        <v>0</v>
      </c>
      <c r="P14" s="97" t="e">
        <f>+O14/H21</f>
        <v>#DIV/0!</v>
      </c>
    </row>
    <row r="15" spans="1:16" ht="15.75" customHeight="1" thickBot="1" x14ac:dyDescent="0.35">
      <c r="A15" s="87" t="s">
        <v>819</v>
      </c>
      <c r="B15" s="87">
        <v>2</v>
      </c>
      <c r="C15" s="609" t="s">
        <v>743</v>
      </c>
      <c r="D15" s="610"/>
      <c r="E15" s="602"/>
      <c r="F15" s="603"/>
      <c r="G15" s="604"/>
      <c r="H15" s="607"/>
      <c r="I15" s="608"/>
      <c r="J15" s="608"/>
      <c r="K15" s="608"/>
      <c r="L15" s="608"/>
      <c r="M15" s="608"/>
      <c r="N15" s="110"/>
      <c r="O15" s="98"/>
      <c r="P15" s="98"/>
    </row>
    <row r="16" spans="1:16" ht="15.75" customHeight="1" thickBot="1" x14ac:dyDescent="0.35">
      <c r="A16" s="87" t="s">
        <v>820</v>
      </c>
      <c r="B16" s="87">
        <v>3</v>
      </c>
      <c r="C16" s="609" t="s">
        <v>744</v>
      </c>
      <c r="D16" s="610"/>
      <c r="E16" s="602"/>
      <c r="F16" s="603"/>
      <c r="G16" s="604"/>
      <c r="H16" s="607"/>
      <c r="I16" s="608"/>
      <c r="J16" s="608"/>
      <c r="K16" s="608"/>
      <c r="L16" s="608"/>
      <c r="M16" s="608"/>
      <c r="N16" s="109" t="s">
        <v>758</v>
      </c>
      <c r="O16" s="98">
        <f>+D16+D17+D18+D19+D20</f>
        <v>0</v>
      </c>
      <c r="P16" s="98" t="e">
        <f>+O16/H21</f>
        <v>#DIV/0!</v>
      </c>
    </row>
    <row r="17" spans="1:16" ht="10.8" thickBot="1" x14ac:dyDescent="0.35">
      <c r="A17" s="87" t="s">
        <v>821</v>
      </c>
      <c r="B17" s="87">
        <v>4</v>
      </c>
      <c r="C17" s="609" t="s">
        <v>745</v>
      </c>
      <c r="D17" s="610"/>
      <c r="E17" s="607"/>
      <c r="F17" s="608"/>
      <c r="G17" s="608"/>
      <c r="H17" s="609"/>
      <c r="I17" s="610"/>
      <c r="J17" s="610"/>
      <c r="K17" s="610"/>
      <c r="L17" s="610"/>
      <c r="M17" s="610"/>
      <c r="N17" s="102"/>
      <c r="O17" s="98"/>
      <c r="P17" s="98"/>
    </row>
    <row r="18" spans="1:16" ht="10.8" thickBot="1" x14ac:dyDescent="0.35">
      <c r="A18" s="87" t="s">
        <v>822</v>
      </c>
      <c r="B18" s="87">
        <v>5</v>
      </c>
      <c r="C18" s="609" t="s">
        <v>746</v>
      </c>
      <c r="D18" s="610"/>
      <c r="E18" s="615"/>
      <c r="F18" s="616"/>
      <c r="G18" s="616"/>
      <c r="H18" s="609"/>
      <c r="I18" s="610"/>
      <c r="J18" s="610"/>
      <c r="K18" s="610"/>
      <c r="L18" s="610"/>
      <c r="M18" s="610"/>
      <c r="N18" s="107" t="s">
        <v>760</v>
      </c>
      <c r="O18" s="97">
        <f>+D17+D18+D19+D20</f>
        <v>0</v>
      </c>
      <c r="P18" s="97" t="e">
        <f>+O18/H21</f>
        <v>#DIV/0!</v>
      </c>
    </row>
    <row r="19" spans="1:16" x14ac:dyDescent="0.3">
      <c r="A19" s="87" t="s">
        <v>823</v>
      </c>
      <c r="B19" s="87">
        <v>6</v>
      </c>
      <c r="C19" s="609" t="s">
        <v>747</v>
      </c>
      <c r="D19" s="610"/>
      <c r="E19" s="615"/>
      <c r="F19" s="616"/>
      <c r="G19" s="616"/>
      <c r="H19" s="619"/>
      <c r="I19" s="620"/>
      <c r="J19" s="620"/>
      <c r="K19" s="620"/>
      <c r="L19" s="620"/>
      <c r="M19" s="620"/>
      <c r="N19" s="103"/>
      <c r="O19" s="99"/>
      <c r="P19" s="99"/>
    </row>
    <row r="20" spans="1:16" ht="11.25" customHeight="1" thickBot="1" x14ac:dyDescent="0.35">
      <c r="A20" s="87" t="s">
        <v>824</v>
      </c>
      <c r="B20" s="87">
        <v>7</v>
      </c>
      <c r="C20" s="609" t="s">
        <v>748</v>
      </c>
      <c r="D20" s="610"/>
      <c r="E20" s="615"/>
      <c r="F20" s="616"/>
      <c r="G20" s="616"/>
      <c r="H20" s="617"/>
      <c r="I20" s="618"/>
      <c r="J20" s="618"/>
      <c r="K20" s="618"/>
      <c r="L20" s="618"/>
      <c r="M20" s="618"/>
      <c r="N20" s="104"/>
      <c r="O20" s="100"/>
      <c r="P20" s="100"/>
    </row>
    <row r="21" spans="1:16" ht="15.75" customHeight="1" thickBot="1" x14ac:dyDescent="0.35">
      <c r="A21" s="637" t="s">
        <v>825</v>
      </c>
      <c r="B21" s="105">
        <v>8</v>
      </c>
      <c r="C21" s="612" t="s">
        <v>1</v>
      </c>
      <c r="D21" s="613"/>
      <c r="E21" s="113"/>
      <c r="F21" s="187"/>
      <c r="G21" s="114"/>
      <c r="H21" s="614"/>
      <c r="I21" s="614"/>
      <c r="J21" s="614"/>
      <c r="K21" s="614"/>
      <c r="L21" s="614"/>
      <c r="M21" s="614"/>
      <c r="N21" s="106"/>
      <c r="O21" s="106"/>
      <c r="P21" s="101"/>
    </row>
  </sheetData>
  <mergeCells count="38">
    <mergeCell ref="A9:A13"/>
    <mergeCell ref="A1:P1"/>
    <mergeCell ref="A2:P2"/>
    <mergeCell ref="A3:P3"/>
    <mergeCell ref="I7:M7"/>
    <mergeCell ref="C9:D13"/>
    <mergeCell ref="E9:G13"/>
    <mergeCell ref="H9:M13"/>
    <mergeCell ref="C4:F4"/>
    <mergeCell ref="H4:M4"/>
    <mergeCell ref="P9:P13"/>
    <mergeCell ref="N9:N13"/>
    <mergeCell ref="B9:B13"/>
    <mergeCell ref="O9:O13"/>
    <mergeCell ref="E19:G19"/>
    <mergeCell ref="H19:M19"/>
    <mergeCell ref="E18:G18"/>
    <mergeCell ref="H18:M18"/>
    <mergeCell ref="E17:G17"/>
    <mergeCell ref="H17:M17"/>
    <mergeCell ref="C21:D21"/>
    <mergeCell ref="H21:M21"/>
    <mergeCell ref="E21:G21"/>
    <mergeCell ref="E20:G20"/>
    <mergeCell ref="H20:M20"/>
    <mergeCell ref="C18:D18"/>
    <mergeCell ref="C19:D19"/>
    <mergeCell ref="C20:D20"/>
    <mergeCell ref="C14:D14"/>
    <mergeCell ref="C15:D15"/>
    <mergeCell ref="C17:D17"/>
    <mergeCell ref="C16:D16"/>
    <mergeCell ref="E14:G14"/>
    <mergeCell ref="E15:G15"/>
    <mergeCell ref="E16:G16"/>
    <mergeCell ref="H14:M14"/>
    <mergeCell ref="H15:M15"/>
    <mergeCell ref="H16:M16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165E357AC9A45B79EE6D53315CA7F" ma:contentTypeVersion="11" ma:contentTypeDescription="Create a new document." ma:contentTypeScope="" ma:versionID="7f79c83fbdfee357c4ff5a9173b210ad">
  <xsd:schema xmlns:xsd="http://www.w3.org/2001/XMLSchema" xmlns:xs="http://www.w3.org/2001/XMLSchema" xmlns:p="http://schemas.microsoft.com/office/2006/metadata/properties" xmlns:ns3="ddd0a20b-8101-408a-8c0c-beb9a664646c" xmlns:ns4="d0b339f9-1560-44f7-8259-7924f4afdb6d" targetNamespace="http://schemas.microsoft.com/office/2006/metadata/properties" ma:root="true" ma:fieldsID="b90a21f251551085249a4a61de990394" ns3:_="" ns4:_="">
    <xsd:import namespace="ddd0a20b-8101-408a-8c0c-beb9a664646c"/>
    <xsd:import namespace="d0b339f9-1560-44f7-8259-7924f4afdb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0a20b-8101-408a-8c0c-beb9a66464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339f9-1560-44f7-8259-7924f4afdb6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d0a20b-8101-408a-8c0c-beb9a664646c" xsi:nil="true"/>
  </documentManagement>
</p:properties>
</file>

<file path=customXml/itemProps1.xml><?xml version="1.0" encoding="utf-8"?>
<ds:datastoreItem xmlns:ds="http://schemas.openxmlformats.org/officeDocument/2006/customXml" ds:itemID="{3BA6FC3E-529D-4311-9280-E708E25D74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A90B84-845B-472C-93CF-35CD66AF2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0a20b-8101-408a-8c0c-beb9a664646c"/>
    <ds:schemaRef ds:uri="d0b339f9-1560-44f7-8259-7924f4afdb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4123AD-6FCC-4F5E-8A01-37CEC51D988F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ddd0a20b-8101-408a-8c0c-beb9a664646c"/>
    <ds:schemaRef ds:uri="http://purl.org/dc/terms/"/>
    <ds:schemaRef ds:uri="http://schemas.microsoft.com/office/infopath/2007/PartnerControls"/>
    <ds:schemaRef ds:uri="d0b339f9-1560-44f7-8259-7924f4afdb6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14</vt:i4>
      </vt:variant>
    </vt:vector>
  </HeadingPairs>
  <TitlesOfParts>
    <vt:vector size="31" baseType="lpstr">
      <vt:lpstr>FINS_01</vt:lpstr>
      <vt:lpstr>FINS_02</vt:lpstr>
      <vt:lpstr>FINS_03</vt:lpstr>
      <vt:lpstr>FINS_04</vt:lpstr>
      <vt:lpstr>FINS_05</vt:lpstr>
      <vt:lpstr>FINS_06</vt:lpstr>
      <vt:lpstr>FINS_07_GNF</vt:lpstr>
      <vt:lpstr>FINS_08_GNF</vt:lpstr>
      <vt:lpstr>FINS_09</vt:lpstr>
      <vt:lpstr>FINS_10</vt:lpstr>
      <vt:lpstr>FINS_11</vt:lpstr>
      <vt:lpstr>FINS_12</vt:lpstr>
      <vt:lpstr>FINS_13</vt:lpstr>
      <vt:lpstr>FINS_14</vt:lpstr>
      <vt:lpstr>FINS_15</vt:lpstr>
      <vt:lpstr>FINS_16</vt:lpstr>
      <vt:lpstr>FINS_17</vt:lpstr>
      <vt:lpstr>FINS_01!Zone_d_impression</vt:lpstr>
      <vt:lpstr>FINS_03!Zone_d_impression</vt:lpstr>
      <vt:lpstr>FINS_04!Zone_d_impression</vt:lpstr>
      <vt:lpstr>FINS_05!Zone_d_impression</vt:lpstr>
      <vt:lpstr>FINS_06!Zone_d_impression</vt:lpstr>
      <vt:lpstr>FINS_07_GNF!Zone_d_impression</vt:lpstr>
      <vt:lpstr>FINS_08_GNF!Zone_d_impression</vt:lpstr>
      <vt:lpstr>FINS_09!Zone_d_impression</vt:lpstr>
      <vt:lpstr>FINS_10!Zone_d_impression</vt:lpstr>
      <vt:lpstr>FINS_12!Zone_d_impression</vt:lpstr>
      <vt:lpstr>FINS_13!Zone_d_impression</vt:lpstr>
      <vt:lpstr>FINS_14!Zone_d_impression</vt:lpstr>
      <vt:lpstr>FINS_15!Zone_d_impression</vt:lpstr>
      <vt:lpstr>FINS_16!Zone_d_impression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0x010100385165E357AC9A45B79EE6D53315CA7F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2025-08-20T19:14:05Z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41e645b9-4646-4f20-8d78-b4f3def4dece</vt:lpwstr>
  </property>
  <property fmtid="{D5CDD505-2E9C-101B-9397-08002B2CF9AE}" pid="8" name="MSIP_Label_defa4170-0d19-0005-0004-bc88714345d2_ActionId">
    <vt:lpwstr>bac2d89c-5cf7-47d0-9395-3f269ea0d014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