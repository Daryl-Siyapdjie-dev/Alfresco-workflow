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486FC4D-40FF-4636-9883-40F993B07D26}" xr6:coauthVersionLast="47" xr6:coauthVersionMax="47" xr10:uidLastSave="{00000000-0000-0000-0000-000000000000}"/>
  <bookViews>
    <workbookView xWindow="-45" yWindow="-16320" windowWidth="29040" windowHeight="15720" activeTab="3" xr2:uid="{00000000-000D-0000-FFFF-FFFF00000000}"/>
  </bookViews>
  <sheets>
    <sheet name="Liste-Situ-Annexes" sheetId="40" r:id="rId1"/>
    <sheet name="SITU_01" sheetId="49" r:id="rId2"/>
    <sheet name="SITU_02" sheetId="50" r:id="rId3"/>
    <sheet name="SITU_03" sheetId="48" r:id="rId4"/>
  </sheets>
  <definedNames>
    <definedName name="_xlnm.Print_Area" localSheetId="0">'Liste-Situ-Annexes'!$A$1:$J$59</definedName>
    <definedName name="_xlnm.Print_Area" localSheetId="1">SITU_01!$A$1:$AO$63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2" i="50" l="1"/>
  <c r="AD61" i="50"/>
  <c r="AD60" i="50"/>
  <c r="AD59" i="50"/>
  <c r="AD58" i="50"/>
  <c r="AD57" i="50"/>
  <c r="AD56" i="50"/>
  <c r="AD55" i="50"/>
  <c r="AD54" i="50"/>
  <c r="AD53" i="50"/>
  <c r="AD51" i="50"/>
  <c r="AD50" i="50"/>
  <c r="AD49" i="50"/>
  <c r="AD32" i="50"/>
  <c r="AD31" i="50"/>
  <c r="AD29" i="50"/>
  <c r="AD28" i="50"/>
  <c r="AD27" i="50"/>
  <c r="AD26" i="50"/>
  <c r="AD25" i="50"/>
  <c r="AD24" i="50"/>
  <c r="Y30" i="50"/>
  <c r="Y22" i="50" s="1"/>
  <c r="AD21" i="50"/>
  <c r="AD20" i="50"/>
  <c r="AD19" i="50"/>
  <c r="AD18" i="50"/>
  <c r="AD16" i="50"/>
  <c r="AD15" i="50"/>
  <c r="AD14" i="50"/>
  <c r="AA20" i="49" l="1"/>
  <c r="AF20" i="49"/>
  <c r="V20" i="49"/>
  <c r="AA17" i="49"/>
  <c r="AF17" i="49"/>
  <c r="V17" i="49"/>
  <c r="AK17" i="49" s="1"/>
  <c r="AA14" i="49"/>
  <c r="AF14" i="49"/>
  <c r="V14" i="49"/>
  <c r="AA36" i="49"/>
  <c r="AF36" i="49"/>
  <c r="AK37" i="49"/>
  <c r="AK38" i="49"/>
  <c r="AK39" i="49"/>
  <c r="AK40" i="49"/>
  <c r="AK32" i="49"/>
  <c r="AK33" i="49"/>
  <c r="AK34" i="49"/>
  <c r="AK35" i="49"/>
  <c r="AA31" i="49"/>
  <c r="AF31" i="49"/>
  <c r="V31" i="49"/>
  <c r="V36" i="49"/>
  <c r="V30" i="49" s="1"/>
  <c r="AA13" i="49"/>
  <c r="AA12" i="49" s="1"/>
  <c r="AF13" i="48"/>
  <c r="AF16" i="48"/>
  <c r="AF21" i="48"/>
  <c r="AF24" i="48"/>
  <c r="AF12" i="48" l="1"/>
  <c r="V13" i="49"/>
  <c r="V12" i="49" s="1"/>
  <c r="AF30" i="49"/>
  <c r="AF20" i="48"/>
  <c r="T23" i="50"/>
  <c r="AD23" i="50" s="1"/>
  <c r="T30" i="50"/>
  <c r="AD30" i="50" s="1"/>
  <c r="T22" i="50" l="1"/>
  <c r="AD22" i="50" s="1"/>
  <c r="AK14" i="48"/>
  <c r="AK15" i="48"/>
  <c r="AK22" i="48"/>
  <c r="AK23" i="48"/>
  <c r="AK25" i="48"/>
  <c r="AK26" i="48"/>
  <c r="AK27" i="48"/>
  <c r="AA24" i="48"/>
  <c r="AK24" i="48" s="1"/>
  <c r="AA21" i="48"/>
  <c r="AK17" i="48"/>
  <c r="AK18" i="48"/>
  <c r="AK19" i="48"/>
  <c r="AA16" i="48"/>
  <c r="AK16" i="48" s="1"/>
  <c r="AA13" i="48"/>
  <c r="AK21" i="48" l="1"/>
  <c r="AK13" i="48"/>
  <c r="AA20" i="48"/>
  <c r="AA12" i="48"/>
  <c r="Y52" i="50"/>
  <c r="Y48" i="50"/>
  <c r="T52" i="50"/>
  <c r="AD52" i="50" s="1"/>
  <c r="Y17" i="50"/>
  <c r="Y13" i="50"/>
  <c r="T17" i="50"/>
  <c r="AD17" i="50" s="1"/>
  <c r="T13" i="50"/>
  <c r="AD13" i="50" s="1"/>
  <c r="AK62" i="49"/>
  <c r="AK60" i="49"/>
  <c r="AK61" i="49"/>
  <c r="AK59" i="49"/>
  <c r="AK58" i="49"/>
  <c r="AF57" i="49"/>
  <c r="AA57" i="49"/>
  <c r="V57" i="49"/>
  <c r="AF52" i="49"/>
  <c r="V52" i="49"/>
  <c r="AK55" i="49"/>
  <c r="AK53" i="49"/>
  <c r="AK24" i="49"/>
  <c r="AK25" i="49"/>
  <c r="AK26" i="49"/>
  <c r="AK27" i="49"/>
  <c r="AK28" i="49"/>
  <c r="AK29" i="49"/>
  <c r="T12" i="50" l="1"/>
  <c r="AK20" i="48"/>
  <c r="AK12" i="48"/>
  <c r="Y12" i="50"/>
  <c r="Y63" i="50" s="1"/>
  <c r="AK57" i="49"/>
  <c r="AK54" i="49"/>
  <c r="AF13" i="49"/>
  <c r="AF12" i="49" s="1"/>
  <c r="AF63" i="49" s="1"/>
  <c r="AD12" i="50" l="1"/>
  <c r="AK14" i="49"/>
  <c r="AK20" i="49"/>
  <c r="AK12" i="49" l="1"/>
  <c r="AK13" i="49"/>
  <c r="V63" i="49"/>
  <c r="T48" i="50" l="1"/>
  <c r="AD48" i="50" s="1"/>
  <c r="AA52" i="49"/>
  <c r="AK52" i="49" s="1"/>
  <c r="AK31" i="49"/>
  <c r="AK36" i="49" l="1"/>
  <c r="AA30" i="49"/>
  <c r="AA63" i="49" s="1"/>
  <c r="AK56" i="49"/>
  <c r="AK30" i="49" l="1"/>
  <c r="AK63" i="49"/>
  <c r="AD63" i="50"/>
  <c r="T63" i="50"/>
</calcChain>
</file>

<file path=xl/sharedStrings.xml><?xml version="1.0" encoding="utf-8"?>
<sst xmlns="http://schemas.openxmlformats.org/spreadsheetml/2006/main" count="439" uniqueCount="291">
  <si>
    <t>PROVISIONS ET AMORTISSEMTS</t>
  </si>
  <si>
    <t>GNF</t>
  </si>
  <si>
    <t>TOTAL</t>
  </si>
  <si>
    <t>RESIDENTS</t>
  </si>
  <si>
    <t>SITU_02</t>
  </si>
  <si>
    <t>SITU_01</t>
  </si>
  <si>
    <t>SITU_03</t>
  </si>
  <si>
    <t>HORS BILAN (1)</t>
  </si>
  <si>
    <t>ACTIF (2)</t>
  </si>
  <si>
    <t>PASSIF (2)</t>
  </si>
  <si>
    <t>PASSIF (1)</t>
  </si>
  <si>
    <t>I. SITUATIONS COMPTABLES</t>
  </si>
  <si>
    <t>Actif</t>
  </si>
  <si>
    <t>Passif</t>
  </si>
  <si>
    <t>Hors bilan</t>
  </si>
  <si>
    <t>II. ETATS DES INFORMATIONS FINANCIERES ET STATISTIQUES</t>
  </si>
  <si>
    <t xml:space="preserve">Ventilation des concours à l'économie par agents économiques </t>
  </si>
  <si>
    <t>Ventilation par agents économiques des ressources collectées auprès de la clientèle</t>
  </si>
  <si>
    <t>Encours en souffrance et provisionnement</t>
  </si>
  <si>
    <t>Situation des comptes de provisionnement</t>
  </si>
  <si>
    <t>Compte de résultats</t>
  </si>
  <si>
    <t>III. ETATS DES INFORMATIONS GENERALES ET COMPLEMENTAIRES</t>
  </si>
  <si>
    <t>Composition de la direction générale</t>
  </si>
  <si>
    <t>Composition du conseil d'administration</t>
  </si>
  <si>
    <t>Informations sur les commissaires aux comptes</t>
  </si>
  <si>
    <t>IV. ETATS PRUDENTIELS</t>
  </si>
  <si>
    <t>A</t>
  </si>
  <si>
    <t>FINS_01</t>
  </si>
  <si>
    <t>FINS_02</t>
  </si>
  <si>
    <t>FINS_03</t>
  </si>
  <si>
    <t>FINS_04</t>
  </si>
  <si>
    <t>FINS_05</t>
  </si>
  <si>
    <t>FINS_06</t>
  </si>
  <si>
    <t>FINS_07</t>
  </si>
  <si>
    <t>FINS_08</t>
  </si>
  <si>
    <t>FINS_09</t>
  </si>
  <si>
    <t>FINS_10</t>
  </si>
  <si>
    <t>FINS_11</t>
  </si>
  <si>
    <t>FINS_12</t>
  </si>
  <si>
    <t>IGEC_01</t>
  </si>
  <si>
    <t>IGEC_02</t>
  </si>
  <si>
    <t>IGEC_03</t>
  </si>
  <si>
    <t>IGEC_05</t>
  </si>
  <si>
    <t>IGEC_06</t>
  </si>
  <si>
    <t>IGEC_07</t>
  </si>
  <si>
    <t>IGEC_08</t>
  </si>
  <si>
    <t>IGEC_09</t>
  </si>
  <si>
    <t>IGEC_10</t>
  </si>
  <si>
    <t>LISTE NOMINATIVE DES SITUATIONS COMPTABLES, ETATS ANNEXES ET PRUDENTIELS</t>
  </si>
  <si>
    <t>PRUD_03</t>
  </si>
  <si>
    <t>PRUD_05</t>
  </si>
  <si>
    <t>PRUD_06</t>
  </si>
  <si>
    <t>Comptes de régularisation et transitoires</t>
  </si>
  <si>
    <t>J</t>
  </si>
  <si>
    <t>F</t>
  </si>
  <si>
    <t>M</t>
  </si>
  <si>
    <t>Liste des 50 principales expositions</t>
  </si>
  <si>
    <t>Liste des 50 principaux déposants</t>
  </si>
  <si>
    <t>D</t>
  </si>
  <si>
    <t>NON-RESIDENTS</t>
  </si>
  <si>
    <t>Date d'arrêté</t>
  </si>
  <si>
    <t>CIB</t>
  </si>
  <si>
    <t>ACTIF (1)</t>
  </si>
  <si>
    <t>RESIDENT</t>
  </si>
  <si>
    <t>NON-RESIDENT</t>
  </si>
  <si>
    <t>2. OPERATIONS AVEC LA CLIENTELLE</t>
  </si>
  <si>
    <t xml:space="preserve">PAYS: </t>
  </si>
  <si>
    <t>LC</t>
  </si>
  <si>
    <t>SITUATION - ACTIF</t>
  </si>
  <si>
    <t>SITUATION - PASSIF</t>
  </si>
  <si>
    <t>SITUATION - HORS BILAN</t>
  </si>
  <si>
    <t>Dénomination simplifiée</t>
  </si>
  <si>
    <t>N°</t>
  </si>
  <si>
    <t>Codes des états</t>
  </si>
  <si>
    <t xml:space="preserve">Périodicité </t>
  </si>
  <si>
    <t>T</t>
  </si>
  <si>
    <t>S</t>
  </si>
  <si>
    <t xml:space="preserve">Débiteurs divers et Créditeurs divers </t>
  </si>
  <si>
    <t>Répartition des charges de personnel, nombre d'employés</t>
  </si>
  <si>
    <t>Composition du capital</t>
  </si>
  <si>
    <t>FINS_13</t>
  </si>
  <si>
    <t>FINS_14</t>
  </si>
  <si>
    <t>FINS_15</t>
  </si>
  <si>
    <t>AA</t>
  </si>
  <si>
    <t>BB</t>
  </si>
  <si>
    <t>Intitulé des états</t>
  </si>
  <si>
    <t>RA</t>
  </si>
  <si>
    <t>BA</t>
  </si>
  <si>
    <t>BC</t>
  </si>
  <si>
    <t>BD</t>
  </si>
  <si>
    <t>BE</t>
  </si>
  <si>
    <t>BF</t>
  </si>
  <si>
    <t>PF</t>
  </si>
  <si>
    <t>BG</t>
  </si>
  <si>
    <t>BH</t>
  </si>
  <si>
    <t>BJ</t>
  </si>
  <si>
    <t>BK</t>
  </si>
  <si>
    <t>BL</t>
  </si>
  <si>
    <t>BM</t>
  </si>
  <si>
    <t>BN</t>
  </si>
  <si>
    <t>BP</t>
  </si>
  <si>
    <t>BR</t>
  </si>
  <si>
    <t>GA</t>
  </si>
  <si>
    <t>GC</t>
  </si>
  <si>
    <t>GE</t>
  </si>
  <si>
    <t>GB</t>
  </si>
  <si>
    <t>GF</t>
  </si>
  <si>
    <t>GH</t>
  </si>
  <si>
    <t>GJ</t>
  </si>
  <si>
    <t>GK</t>
  </si>
  <si>
    <t>GL</t>
  </si>
  <si>
    <t>PC</t>
  </si>
  <si>
    <t>PE</t>
  </si>
  <si>
    <t>PG</t>
  </si>
  <si>
    <t>PH</t>
  </si>
  <si>
    <t>x</t>
  </si>
  <si>
    <t>3. OPERATIONS SUR TITRES ET OPERATIONS DIVERSES</t>
  </si>
  <si>
    <t>4.3. Immobilisations incorporelles</t>
  </si>
  <si>
    <t>4.4. Immobilisation corporelles</t>
  </si>
  <si>
    <t>4. CAPITAUX PROPRES ET PROVISIONS</t>
  </si>
  <si>
    <t xml:space="preserve">4.3. Report à nouveau </t>
  </si>
  <si>
    <t>Règle de remise</t>
  </si>
  <si>
    <t>Etablissement remettant</t>
  </si>
  <si>
    <t>Monnaie</t>
  </si>
  <si>
    <t>SITU_00</t>
  </si>
  <si>
    <t>FINS_00</t>
  </si>
  <si>
    <t>IGEC_00</t>
  </si>
  <si>
    <t>PRUD_00</t>
  </si>
  <si>
    <t>Ventilations des titres detenus par l'établissement assujetti</t>
  </si>
  <si>
    <t>Ventilation par type de detenteurs des titres émis par l'établissement assujetti</t>
  </si>
  <si>
    <t>Ventillation sectorielle des credits en souffrance</t>
  </si>
  <si>
    <t>Ventillation sectorielle des credits</t>
  </si>
  <si>
    <t>Liste des dix creanciers les plus importants hors secteur régulé</t>
  </si>
  <si>
    <t>3.6. Comptes de régularisations-passif</t>
  </si>
  <si>
    <t>IGEC_11</t>
  </si>
  <si>
    <t>IGEC_12</t>
  </si>
  <si>
    <t>IGEC_13</t>
  </si>
  <si>
    <t>IGEC_14</t>
  </si>
  <si>
    <t>Indicateurs d'activité</t>
  </si>
  <si>
    <t>IGEC_15</t>
  </si>
  <si>
    <t>IGEC_16</t>
  </si>
  <si>
    <t>IGEC_17</t>
  </si>
  <si>
    <t>Etat des comptes</t>
  </si>
  <si>
    <t>Etat des engagments aux salariés</t>
  </si>
  <si>
    <t>Etat des engagments aux actionnaires, administrateurs et mandataires sociaux</t>
  </si>
  <si>
    <t xml:space="preserve">Liste des crédits rééchélonnés ou réstructurés </t>
  </si>
  <si>
    <t>Liste des dix beneficiaires par signature les plus importants</t>
  </si>
  <si>
    <t>INSTITUTION :</t>
  </si>
  <si>
    <t>Concours consentis aux actionnaires, administrateurs, dirigéants, salariés et apparentés</t>
  </si>
  <si>
    <t>Etat de calcul du ratio de solvabilité</t>
  </si>
  <si>
    <t>Autres normes prudentielles</t>
  </si>
  <si>
    <t>Couverture des emplois stables par les ressources stables de plus d'1 an des IFI</t>
  </si>
  <si>
    <t>Etat de conformité des normes prudentielles</t>
  </si>
  <si>
    <t>ECNP</t>
  </si>
  <si>
    <t>FPN</t>
  </si>
  <si>
    <t>ANR</t>
  </si>
  <si>
    <t>N° compte</t>
  </si>
  <si>
    <t>1.1. Encaisses et comptes ordinaires</t>
  </si>
  <si>
    <t>1.1.1. Valeurs en caisse et monnaie électronique</t>
  </si>
  <si>
    <t xml:space="preserve">1.1.2. Banque Centrale </t>
  </si>
  <si>
    <t>1.1.4. Autres Comptes de disponibilités</t>
  </si>
  <si>
    <t>1.1.5. Chèques et effets à l'encaissement</t>
  </si>
  <si>
    <t>1.1.6. Organe Faitier/Caisse  Centrale de réseau</t>
  </si>
  <si>
    <t>1.1.7. Créances rattachées</t>
  </si>
  <si>
    <t>2.1. Crédits sains à la clientèle</t>
  </si>
  <si>
    <t>N° Compte</t>
  </si>
  <si>
    <t>3.1. Comptes de stocks et emplois divers</t>
  </si>
  <si>
    <t>3.2. Titres à Court terme (réalisation)</t>
  </si>
  <si>
    <t>3.3. Débiteurs divers</t>
  </si>
  <si>
    <t xml:space="preserve">3.4. Comptes de régularisation-actif </t>
  </si>
  <si>
    <t xml:space="preserve">4.1. Immobilisations financières </t>
  </si>
  <si>
    <t>4.2. Dépôts et cautionnements (long terme)</t>
  </si>
  <si>
    <t>4.6. Immobilisations en cours</t>
  </si>
  <si>
    <t>1.1. Emprunts à court terme</t>
  </si>
  <si>
    <t>1.1.1. Banque centrale</t>
  </si>
  <si>
    <t xml:space="preserve">1.1.2. Banques et Institutions Financières </t>
  </si>
  <si>
    <t>1.2. Emprunts à moyen et long terme</t>
  </si>
  <si>
    <t>1.2.1. Banques et Institutions Financières</t>
  </si>
  <si>
    <t>1.2.3. Dettes rattachées</t>
  </si>
  <si>
    <t>1.1.3. Dettes rattachées</t>
  </si>
  <si>
    <t>1.3. Ressources affectées</t>
  </si>
  <si>
    <t>2.1. Dépôts de la clientèle</t>
  </si>
  <si>
    <t>2.1.1. Dépôts à vue</t>
  </si>
  <si>
    <t>2.1.3. Dépôts de garantie reçus</t>
  </si>
  <si>
    <t>2.1.5. Dettes rattachées</t>
  </si>
  <si>
    <t>2.2. Compte de monnaie électronique</t>
  </si>
  <si>
    <t>2.2.1. Comptes de Monnaie électronique (à vue)</t>
  </si>
  <si>
    <t>2.2.2. Dettes rattachées</t>
  </si>
  <si>
    <t>3.1. Comptes d'associés</t>
  </si>
  <si>
    <t>3.2. Créditeurs Divers</t>
  </si>
  <si>
    <t xml:space="preserve">4.1. Provisions du passif (fonds pour risques bancaires généraux) </t>
  </si>
  <si>
    <t xml:space="preserve">4.2. Subventions d'investissement </t>
  </si>
  <si>
    <t>4.4. Dettes subordonnées &amp; assimilées éligibles aux FP</t>
  </si>
  <si>
    <t>4.5. Réserves facultatives</t>
  </si>
  <si>
    <t>4.6. Réserve générale</t>
  </si>
  <si>
    <t xml:space="preserve">4.7. Fonds de dotation impartageable, à caractère de réserve </t>
  </si>
  <si>
    <t>4.8. Capital social</t>
  </si>
  <si>
    <t>1. Engagement Donnés</t>
  </si>
  <si>
    <t>1.1. Engagements de financement</t>
  </si>
  <si>
    <t>1.2. Engagement de garantie</t>
  </si>
  <si>
    <t>1.3. Autres Engagements donnés</t>
  </si>
  <si>
    <t>2. Engagements Reçus</t>
  </si>
  <si>
    <t>1.1.1. Engagements de financement données en faveur des établissements de crédit et assimilés.</t>
  </si>
  <si>
    <t>1.1.2. Engagements de financements donnés en faveur de la clientèle</t>
  </si>
  <si>
    <t>1.2.1. Engagements de garantie d'ordre d'établissements de crédit et assimilés</t>
  </si>
  <si>
    <t>1.2.2. Engagements de garanties d'ordre de la clientèle</t>
  </si>
  <si>
    <t>2.1. Engagements de financement</t>
  </si>
  <si>
    <t>2.1.1. Engagements de financement reçus des établissements de crédit et assimilés.</t>
  </si>
  <si>
    <t>2.1.2. Engagements de financements reçus de la clientèle</t>
  </si>
  <si>
    <t>2.2. Engagement de garantie</t>
  </si>
  <si>
    <t>2.2.1. Engagements de garantie reçus d'établissements de crédit et assimilés</t>
  </si>
  <si>
    <t>2.2.2. Engagements de garanties reçus de la clientèle</t>
  </si>
  <si>
    <t>2.3. Autres Engagements reçus</t>
  </si>
  <si>
    <t xml:space="preserve">2.2. Créances en souffrance </t>
  </si>
  <si>
    <t>1.2. Prêts et titres à Court terme (0-1 an)</t>
  </si>
  <si>
    <t>1.3. Prêts et titres à Moyen &amp; Long terme (+1 an et plus)</t>
  </si>
  <si>
    <t>1.1.3. Banques et Institutions Financières</t>
  </si>
  <si>
    <t>1. OPERATIONS AVEC LES INSTITUTIONS FINANCIERES</t>
  </si>
  <si>
    <t>4. MMOBILISATIONS</t>
  </si>
  <si>
    <t>2.1.2. Produits d'Epargne reglementée</t>
  </si>
  <si>
    <t>2.1.4. Dépôts à terme souscrits par la clientèle</t>
  </si>
  <si>
    <t>2.1.5. Autres dépôts</t>
  </si>
  <si>
    <t>ACTIF NET</t>
  </si>
  <si>
    <t>ACTIF BRUT</t>
  </si>
  <si>
    <t xml:space="preserve"> ACTIF NET</t>
  </si>
  <si>
    <t>1.2.2. Autres secteurs financiers</t>
  </si>
  <si>
    <t>2.1.1. Crédits court terme</t>
  </si>
  <si>
    <t>2.1.2. Crédits moyen terme</t>
  </si>
  <si>
    <t>2.1.3. Crédits long terme</t>
  </si>
  <si>
    <t>2.1.4 Créances rattachées</t>
  </si>
  <si>
    <t>2.2.1. Créances impayés</t>
  </si>
  <si>
    <t>2.2.2. Créances restructurées ou rééchelonnées</t>
  </si>
  <si>
    <t>2.2.3. Autres créances en souffrance</t>
  </si>
  <si>
    <t>2.2.4. Intérêts échus, non payés</t>
  </si>
  <si>
    <t>1.1.1.1. Billets et pièces de monnaie</t>
  </si>
  <si>
    <t>1.1.1.2. Monnaie électronique</t>
  </si>
  <si>
    <t>1.1.2.1. Comptes ordinaires</t>
  </si>
  <si>
    <t>1.1.2.2. Comptes bloqués</t>
  </si>
  <si>
    <t>1.1.3.1. Comptes ordinaires à Vue</t>
  </si>
  <si>
    <t>1.1.3.2. Comptes de placements ( DAT, Compte et plan épargne)</t>
  </si>
  <si>
    <t>1.1.3.2. Autres Comptes ordinaires</t>
  </si>
  <si>
    <t>Ancienété des encours en souffrance et calcul des provisions exigées par la BCRG</t>
  </si>
  <si>
    <t>Immobilisations et amortissements</t>
  </si>
  <si>
    <t>Durée résiduelle des ressources du bilan</t>
  </si>
  <si>
    <t>CN°290</t>
  </si>
  <si>
    <t>CN°291</t>
  </si>
  <si>
    <t>CN°292</t>
  </si>
  <si>
    <t>CN°293</t>
  </si>
  <si>
    <t>N° compte 190</t>
  </si>
  <si>
    <t>N° compte 191</t>
  </si>
  <si>
    <t>N°C 390</t>
  </si>
  <si>
    <t>N°C 391</t>
  </si>
  <si>
    <t>N°C 392</t>
  </si>
  <si>
    <t>N°C 393</t>
  </si>
  <si>
    <t>N°C481+N°C429</t>
  </si>
  <si>
    <t>N°482+N°C439</t>
  </si>
  <si>
    <t>N°C449</t>
  </si>
  <si>
    <t>N°C419</t>
  </si>
  <si>
    <t>N°C409</t>
  </si>
  <si>
    <t>Compte de résultats par marge bénéficiaire</t>
  </si>
  <si>
    <t>INSTITUTION</t>
  </si>
  <si>
    <t>4.9. Fonds de solidarité financière des réseaux</t>
  </si>
  <si>
    <t xml:space="preserve">5.0. Excédent ou déficit </t>
  </si>
  <si>
    <t>5. TOTAL ACTIF</t>
  </si>
  <si>
    <t>5.1. TOTAL PASSIF</t>
  </si>
  <si>
    <t>Liste des implantations des IMF</t>
  </si>
  <si>
    <t>Repartition de l'encours des credits par secteur d'activité</t>
  </si>
  <si>
    <t>Repartition des crédits deboursés par secteur d'activite au cours de l'année</t>
  </si>
  <si>
    <t>4= (2+3)-1</t>
  </si>
  <si>
    <t>3=(1+2)</t>
  </si>
  <si>
    <t>N°CODE</t>
  </si>
  <si>
    <t>FINS_16</t>
  </si>
  <si>
    <t>Balance agée du portefeuille des IMF</t>
  </si>
  <si>
    <t>FINS_17</t>
  </si>
  <si>
    <t>IGEC_18</t>
  </si>
  <si>
    <t>Informations complémentaires au calcul des Fonds Propres Nets</t>
  </si>
  <si>
    <t xml:space="preserve">En GNF </t>
  </si>
  <si>
    <t>X</t>
  </si>
  <si>
    <t>FPNC</t>
  </si>
  <si>
    <t xml:space="preserve">Détermination des Fonds propres nets </t>
  </si>
  <si>
    <t>Calcul des Fonds propres nets corrigés</t>
  </si>
  <si>
    <t>Détermination Actif pondéré des risques</t>
  </si>
  <si>
    <t>PRUD_01</t>
  </si>
  <si>
    <t>PRUD_02</t>
  </si>
  <si>
    <t>PRUD_04</t>
  </si>
  <si>
    <t>IMAO_ICD</t>
  </si>
  <si>
    <t>IMAO_INCD</t>
  </si>
  <si>
    <t>Indicateurs IMAO relatifs aux IMF non collectrices de dépôts</t>
  </si>
  <si>
    <t>Indicateurs IMAO relatifs aux IMF collectrices de dépôts</t>
  </si>
  <si>
    <t>Ratio de liquidité Immédiate</t>
  </si>
  <si>
    <t>Division des risques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</si>
</sst>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[$-40C]dddd\ d\ mmmm\ yyyy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theme="6" tint="0.39997558519241921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8"/>
      <color rgb="FF7030A0"/>
      <name val="Calibri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8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8" fillId="0" borderId="11" xfId="0" applyFont="1" applyBorder="1"/>
    <xf numFmtId="0" fontId="8" fillId="0" borderId="4" xfId="0" applyFont="1" applyBorder="1"/>
    <xf numFmtId="0" fontId="8" fillId="0" borderId="10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3" borderId="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8" fillId="4" borderId="0" xfId="9" applyNumberFormat="1" applyFont="1" applyFill="1" applyBorder="1" applyAlignment="1">
      <alignment horizontal="center"/>
    </xf>
    <xf numFmtId="166" fontId="8" fillId="4" borderId="6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166" fontId="7" fillId="4" borderId="6" xfId="9" applyNumberFormat="1" applyFont="1" applyFill="1" applyBorder="1" applyAlignment="1">
      <alignment horizontal="center"/>
    </xf>
    <xf numFmtId="166" fontId="7" fillId="4" borderId="0" xfId="9" applyNumberFormat="1" applyFont="1" applyFill="1" applyBorder="1" applyAlignment="1">
      <alignment horizontal="center"/>
    </xf>
    <xf numFmtId="166" fontId="7" fillId="4" borderId="1" xfId="9" applyNumberFormat="1" applyFont="1" applyFill="1" applyBorder="1" applyAlignment="1">
      <alignment horizontal="center"/>
    </xf>
    <xf numFmtId="166" fontId="7" fillId="4" borderId="6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6" fontId="8" fillId="4" borderId="6" xfId="9" applyNumberFormat="1" applyFont="1" applyFill="1" applyBorder="1" applyAlignment="1">
      <alignment horizontal="center"/>
    </xf>
    <xf numFmtId="166" fontId="8" fillId="4" borderId="1" xfId="9" applyNumberFormat="1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66" fontId="8" fillId="4" borderId="12" xfId="9" applyNumberFormat="1" applyFont="1" applyFill="1" applyBorder="1" applyAlignment="1">
      <alignment horizontal="center"/>
    </xf>
    <xf numFmtId="166" fontId="8" fillId="4" borderId="13" xfId="9" applyNumberFormat="1" applyFont="1" applyFill="1" applyBorder="1" applyAlignment="1">
      <alignment horizontal="center"/>
    </xf>
    <xf numFmtId="166" fontId="8" fillId="4" borderId="14" xfId="9" applyNumberFormat="1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 indent="1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indent="1"/>
    </xf>
    <xf numFmtId="0" fontId="8" fillId="0" borderId="19" xfId="0" applyFont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 indent="1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indent="1"/>
    </xf>
    <xf numFmtId="0" fontId="10" fillId="0" borderId="1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2" fillId="0" borderId="20" xfId="0" applyFont="1" applyBorder="1" applyAlignment="1">
      <alignment horizontal="left" indent="1"/>
    </xf>
    <xf numFmtId="0" fontId="14" fillId="0" borderId="0" xfId="0" applyFont="1"/>
    <xf numFmtId="0" fontId="16" fillId="0" borderId="17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8" fillId="0" borderId="21" xfId="0" applyFont="1" applyBorder="1"/>
    <xf numFmtId="0" fontId="10" fillId="2" borderId="0" xfId="0" applyFont="1" applyFill="1" applyAlignment="1">
      <alignment vertical="center"/>
    </xf>
    <xf numFmtId="0" fontId="7" fillId="2" borderId="18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left" indent="1"/>
    </xf>
    <xf numFmtId="0" fontId="8" fillId="0" borderId="18" xfId="0" applyFont="1" applyBorder="1"/>
    <xf numFmtId="0" fontId="8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19" xfId="0" applyFont="1" applyBorder="1"/>
    <xf numFmtId="0" fontId="9" fillId="0" borderId="1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9" xfId="0" applyFont="1" applyBorder="1"/>
    <xf numFmtId="0" fontId="14" fillId="0" borderId="19" xfId="0" applyFont="1" applyBorder="1"/>
    <xf numFmtId="0" fontId="16" fillId="0" borderId="1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left" indent="1"/>
    </xf>
    <xf numFmtId="0" fontId="7" fillId="4" borderId="19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3" fillId="0" borderId="19" xfId="0" applyFont="1" applyBorder="1"/>
    <xf numFmtId="0" fontId="7" fillId="0" borderId="6" xfId="0" applyFont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20" xfId="0" applyFont="1" applyBorder="1"/>
    <xf numFmtId="0" fontId="8" fillId="2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left" vertical="center" indent="1"/>
    </xf>
    <xf numFmtId="0" fontId="7" fillId="4" borderId="18" xfId="0" applyFont="1" applyFill="1" applyBorder="1" applyAlignment="1">
      <alignment vertical="center"/>
    </xf>
    <xf numFmtId="0" fontId="12" fillId="4" borderId="19" xfId="0" applyFont="1" applyFill="1" applyBorder="1" applyAlignment="1">
      <alignment horizontal="left" vertical="center" indent="1"/>
    </xf>
    <xf numFmtId="0" fontId="12" fillId="4" borderId="19" xfId="0" applyFont="1" applyFill="1" applyBorder="1" applyAlignment="1">
      <alignment horizontal="left" indent="1"/>
    </xf>
    <xf numFmtId="0" fontId="3" fillId="0" borderId="12" xfId="0" applyFont="1" applyBorder="1"/>
    <xf numFmtId="0" fontId="9" fillId="4" borderId="1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1" fillId="4" borderId="11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11" fillId="4" borderId="1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19" xfId="0" applyFont="1" applyBorder="1" applyAlignment="1">
      <alignment horizontal="left"/>
    </xf>
    <xf numFmtId="0" fontId="12" fillId="4" borderId="19" xfId="0" applyFont="1" applyFill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7" fillId="0" borderId="12" xfId="0" applyFont="1" applyBorder="1" applyAlignment="1">
      <alignment horizontal="center"/>
    </xf>
    <xf numFmtId="0" fontId="12" fillId="4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8" fillId="0" borderId="6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indent="2"/>
    </xf>
    <xf numFmtId="0" fontId="12" fillId="0" borderId="0" xfId="0" applyFont="1" applyAlignment="1">
      <alignment horizontal="left" indent="2"/>
    </xf>
    <xf numFmtId="0" fontId="11" fillId="0" borderId="6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1" xfId="0" applyFont="1" applyBorder="1" applyAlignment="1">
      <alignment horizontal="right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indent="2"/>
    </xf>
    <xf numFmtId="0" fontId="8" fillId="0" borderId="0" xfId="0" applyFont="1" applyAlignment="1">
      <alignment horizontal="left" indent="2"/>
    </xf>
    <xf numFmtId="0" fontId="8" fillId="4" borderId="6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166" fontId="8" fillId="4" borderId="0" xfId="0" applyNumberFormat="1" applyFont="1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6" fontId="8" fillId="0" borderId="11" xfId="9" applyNumberFormat="1" applyFont="1" applyBorder="1" applyAlignment="1">
      <alignment horizontal="center"/>
    </xf>
    <xf numFmtId="166" fontId="8" fillId="0" borderId="4" xfId="9" applyNumberFormat="1" applyFont="1" applyBorder="1" applyAlignment="1">
      <alignment horizontal="center"/>
    </xf>
    <xf numFmtId="166" fontId="8" fillId="0" borderId="10" xfId="9" applyNumberFormat="1" applyFont="1" applyBorder="1" applyAlignment="1">
      <alignment horizontal="center"/>
    </xf>
    <xf numFmtId="166" fontId="8" fillId="0" borderId="6" xfId="9" applyNumberFormat="1" applyFont="1" applyBorder="1" applyAlignment="1">
      <alignment horizontal="center"/>
    </xf>
    <xf numFmtId="166" fontId="8" fillId="0" borderId="0" xfId="9" applyNumberFormat="1" applyFont="1" applyBorder="1" applyAlignment="1">
      <alignment horizontal="center"/>
    </xf>
    <xf numFmtId="166" fontId="8" fillId="0" borderId="1" xfId="9" applyNumberFormat="1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12" fillId="0" borderId="13" xfId="0" applyFont="1" applyBorder="1" applyAlignment="1">
      <alignment horizontal="left" indent="2"/>
    </xf>
    <xf numFmtId="0" fontId="13" fillId="0" borderId="13" xfId="0" applyFont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166" fontId="7" fillId="0" borderId="11" xfId="9" applyNumberFormat="1" applyFont="1" applyBorder="1" applyAlignment="1">
      <alignment horizontal="center"/>
    </xf>
    <xf numFmtId="166" fontId="7" fillId="0" borderId="4" xfId="9" applyNumberFormat="1" applyFont="1" applyBorder="1" applyAlignment="1">
      <alignment horizontal="center"/>
    </xf>
    <xf numFmtId="0" fontId="7" fillId="0" borderId="6" xfId="0" applyFont="1" applyBorder="1" applyAlignment="1">
      <alignment horizontal="left" indent="1"/>
    </xf>
    <xf numFmtId="0" fontId="7" fillId="0" borderId="0" xfId="0" applyFont="1" applyAlignment="1">
      <alignment horizontal="left" indent="1"/>
    </xf>
    <xf numFmtId="0" fontId="8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right"/>
    </xf>
    <xf numFmtId="166" fontId="8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166" fontId="8" fillId="0" borderId="12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10" fillId="0" borderId="6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66" fontId="8" fillId="0" borderId="12" xfId="9" applyNumberFormat="1" applyFont="1" applyBorder="1" applyAlignment="1">
      <alignment horizontal="center"/>
    </xf>
    <xf numFmtId="166" fontId="8" fillId="0" borderId="13" xfId="9" applyNumberFormat="1" applyFont="1" applyBorder="1" applyAlignment="1">
      <alignment horizontal="center"/>
    </xf>
    <xf numFmtId="166" fontId="8" fillId="0" borderId="14" xfId="9" applyNumberFormat="1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0" fillId="0" borderId="6" xfId="0" applyFont="1" applyBorder="1" applyAlignment="1">
      <alignment horizontal="left" indent="1"/>
    </xf>
    <xf numFmtId="0" fontId="10" fillId="0" borderId="0" xfId="0" applyFont="1" applyAlignment="1">
      <alignment horizontal="left" indent="1"/>
    </xf>
    <xf numFmtId="0" fontId="7" fillId="0" borderId="11" xfId="0" applyFont="1" applyBorder="1"/>
    <xf numFmtId="0" fontId="7" fillId="0" borderId="4" xfId="0" applyFont="1" applyBorder="1"/>
    <xf numFmtId="0" fontId="7" fillId="0" borderId="10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166" fontId="8" fillId="0" borderId="0" xfId="9" applyNumberFormat="1" applyFont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0" fillId="0" borderId="11" xfId="0" applyFont="1" applyBorder="1"/>
    <xf numFmtId="0" fontId="10" fillId="0" borderId="4" xfId="0" applyFont="1" applyBorder="1"/>
    <xf numFmtId="0" fontId="10" fillId="0" borderId="10" xfId="0" applyFont="1" applyBorder="1"/>
    <xf numFmtId="0" fontId="7" fillId="0" borderId="11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166" fontId="8" fillId="4" borderId="6" xfId="9" applyNumberFormat="1" applyFont="1" applyFill="1" applyBorder="1" applyAlignment="1">
      <alignment horizontal="center"/>
    </xf>
    <xf numFmtId="166" fontId="8" fillId="4" borderId="0" xfId="9" applyNumberFormat="1" applyFont="1" applyFill="1" applyBorder="1" applyAlignment="1">
      <alignment horizontal="center"/>
    </xf>
    <xf numFmtId="166" fontId="8" fillId="4" borderId="1" xfId="9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 indent="1"/>
    </xf>
    <xf numFmtId="0" fontId="8" fillId="0" borderId="6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7" fillId="0" borderId="6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5" xfId="0" applyFont="1" applyBorder="1"/>
    <xf numFmtId="0" fontId="10" fillId="0" borderId="3" xfId="0" applyFont="1" applyBorder="1"/>
    <xf numFmtId="0" fontId="10" fillId="0" borderId="2" xfId="0" applyFont="1" applyBorder="1"/>
    <xf numFmtId="0" fontId="7" fillId="0" borderId="5" xfId="0" applyFont="1" applyBorder="1"/>
    <xf numFmtId="0" fontId="7" fillId="0" borderId="3" xfId="0" applyFont="1" applyBorder="1"/>
    <xf numFmtId="0" fontId="7" fillId="0" borderId="2" xfId="0" applyFont="1" applyBorder="1"/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66" fontId="7" fillId="2" borderId="5" xfId="9" applyNumberFormat="1" applyFont="1" applyFill="1" applyBorder="1" applyAlignment="1">
      <alignment horizontal="center" vertical="center" wrapText="1"/>
    </xf>
    <xf numFmtId="166" fontId="7" fillId="2" borderId="3" xfId="9" applyNumberFormat="1" applyFont="1" applyFill="1" applyBorder="1" applyAlignment="1">
      <alignment horizontal="center" vertical="center" wrapText="1"/>
    </xf>
    <xf numFmtId="166" fontId="7" fillId="2" borderId="2" xfId="9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indent="1"/>
    </xf>
    <xf numFmtId="0" fontId="12" fillId="0" borderId="0" xfId="0" applyFont="1" applyAlignment="1">
      <alignment horizontal="left" indent="1"/>
    </xf>
    <xf numFmtId="166" fontId="12" fillId="0" borderId="6" xfId="9" applyNumberFormat="1" applyFont="1" applyBorder="1" applyAlignment="1">
      <alignment horizontal="center"/>
    </xf>
    <xf numFmtId="166" fontId="12" fillId="0" borderId="0" xfId="9" applyNumberFormat="1" applyFont="1" applyAlignment="1">
      <alignment horizontal="center"/>
    </xf>
    <xf numFmtId="166" fontId="12" fillId="0" borderId="1" xfId="9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8" fillId="0" borderId="11" xfId="9" applyNumberFormat="1" applyFont="1" applyBorder="1" applyAlignment="1">
      <alignment horizontal="right"/>
    </xf>
    <xf numFmtId="166" fontId="8" fillId="0" borderId="4" xfId="9" applyNumberFormat="1" applyFont="1" applyBorder="1" applyAlignment="1">
      <alignment horizontal="right"/>
    </xf>
    <xf numFmtId="166" fontId="8" fillId="0" borderId="10" xfId="9" applyNumberFormat="1" applyFont="1" applyBorder="1" applyAlignment="1">
      <alignment horizontal="right"/>
    </xf>
    <xf numFmtId="166" fontId="8" fillId="0" borderId="6" xfId="9" applyNumberFormat="1" applyFont="1" applyBorder="1" applyAlignment="1">
      <alignment horizontal="right"/>
    </xf>
    <xf numFmtId="166" fontId="8" fillId="0" borderId="0" xfId="9" applyNumberFormat="1" applyFont="1" applyBorder="1" applyAlignment="1">
      <alignment horizontal="right"/>
    </xf>
    <xf numFmtId="166" fontId="8" fillId="0" borderId="1" xfId="9" applyNumberFormat="1" applyFont="1" applyBorder="1" applyAlignment="1">
      <alignment horizontal="right"/>
    </xf>
    <xf numFmtId="0" fontId="8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6" fontId="7" fillId="0" borderId="12" xfId="9" applyNumberFormat="1" applyFont="1" applyBorder="1" applyAlignment="1">
      <alignment horizontal="center"/>
    </xf>
    <xf numFmtId="166" fontId="7" fillId="0" borderId="13" xfId="9" applyNumberFormat="1" applyFont="1" applyBorder="1" applyAlignment="1">
      <alignment horizontal="center"/>
    </xf>
    <xf numFmtId="166" fontId="7" fillId="0" borderId="12" xfId="9" applyNumberFormat="1" applyFont="1" applyBorder="1" applyAlignment="1">
      <alignment horizontal="right"/>
    </xf>
    <xf numFmtId="166" fontId="7" fillId="0" borderId="13" xfId="9" applyNumberFormat="1" applyFont="1" applyBorder="1" applyAlignment="1">
      <alignment horizontal="right"/>
    </xf>
    <xf numFmtId="166" fontId="7" fillId="0" borderId="14" xfId="9" applyNumberFormat="1" applyFont="1" applyBorder="1" applyAlignment="1">
      <alignment horizontal="right"/>
    </xf>
    <xf numFmtId="0" fontId="14" fillId="0" borderId="6" xfId="0" applyFont="1" applyBorder="1" applyAlignment="1">
      <alignment horizontal="left"/>
    </xf>
    <xf numFmtId="0" fontId="14" fillId="0" borderId="0" xfId="0" applyFont="1" applyAlignment="1">
      <alignment horizontal="left"/>
    </xf>
    <xf numFmtId="166" fontId="7" fillId="0" borderId="14" xfId="9" applyNumberFormat="1" applyFont="1" applyBorder="1" applyAlignment="1">
      <alignment horizontal="center"/>
    </xf>
    <xf numFmtId="166" fontId="7" fillId="0" borderId="12" xfId="0" applyNumberFormat="1" applyFont="1" applyBorder="1" applyAlignment="1">
      <alignment horizontal="center"/>
    </xf>
    <xf numFmtId="166" fontId="7" fillId="0" borderId="6" xfId="9" applyNumberFormat="1" applyFont="1" applyBorder="1" applyAlignment="1">
      <alignment horizontal="center"/>
    </xf>
    <xf numFmtId="166" fontId="7" fillId="0" borderId="0" xfId="9" applyNumberFormat="1" applyFont="1" applyBorder="1" applyAlignment="1">
      <alignment horizontal="center"/>
    </xf>
  </cellXfs>
  <cellStyles count="13">
    <cellStyle name="Milliers" xfId="9" builtinId="3"/>
    <cellStyle name="Milliers 2" xfId="8" xr:uid="{00000000-0005-0000-0000-000000000000}"/>
    <cellStyle name="Milliers 3" xfId="7" xr:uid="{00000000-0005-0000-0000-000001000000}"/>
    <cellStyle name="Milliers 30" xfId="2" xr:uid="{00000000-0005-0000-0000-000002000000}"/>
    <cellStyle name="Milliers 30 2" xfId="11" xr:uid="{DEC9FAEB-F955-442A-BFFE-786ABA5BA0E2}"/>
    <cellStyle name="Milliers 31" xfId="3" xr:uid="{00000000-0005-0000-0000-000003000000}"/>
    <cellStyle name="Milliers 32" xfId="5" xr:uid="{00000000-0005-0000-0000-000004000000}"/>
    <cellStyle name="Milliers 33" xfId="6" xr:uid="{00000000-0005-0000-0000-000005000000}"/>
    <cellStyle name="Milliers 4" xfId="12" xr:uid="{435B076C-1A45-4780-8FA0-F4451B0B7020}"/>
    <cellStyle name="Normal" xfId="0" builtinId="0"/>
    <cellStyle name="Normal 2" xfId="1" xr:uid="{00000000-0005-0000-0000-000007000000}"/>
    <cellStyle name="Normal 3" xfId="10" xr:uid="{AF070B9B-C2E8-47DE-9324-45D491C8CBFB}"/>
    <cellStyle name="Pourcentage 2" xfId="4" xr:uid="{00000000-0005-0000-0000-000008000000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2" defaultTableStyle="TableStyleMedium2" defaultPivotStyle="PivotStyleLight16">
    <tableStyle name="free" pivot="0" count="1" xr9:uid="{00000000-0011-0000-FFFF-FFFF00000000}">
      <tableStyleElement type="wholeTable" dxfId="1"/>
    </tableStyle>
    <tableStyle name="Style de tableau 1" pivot="0" count="1" xr9:uid="{00000000-0011-0000-FFFF-FFFF01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59"/>
  <sheetViews>
    <sheetView showGridLines="0" topLeftCell="A36" zoomScale="130" zoomScaleNormal="130" zoomScaleSheetLayoutView="124" zoomScalePageLayoutView="98" workbookViewId="0">
      <selection activeCell="L32" sqref="L32"/>
    </sheetView>
  </sheetViews>
  <sheetFormatPr baseColWidth="10" defaultColWidth="11.453125" defaultRowHeight="10" x14ac:dyDescent="0.2"/>
  <cols>
    <col min="1" max="1" width="3.453125" style="3" bestFit="1" customWidth="1"/>
    <col min="2" max="2" width="65.54296875" style="3" customWidth="1"/>
    <col min="3" max="3" width="15.453125" style="3" customWidth="1"/>
    <col min="4" max="4" width="11.7265625" style="3" customWidth="1"/>
    <col min="5" max="5" width="14.453125" style="3" customWidth="1"/>
    <col min="6" max="6" width="15.453125" style="3" customWidth="1"/>
    <col min="7" max="10" width="5.26953125" style="3" customWidth="1"/>
    <col min="11" max="16384" width="11.453125" style="3"/>
  </cols>
  <sheetData>
    <row r="1" spans="1:10" ht="10.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0.5" x14ac:dyDescent="0.25">
      <c r="A2" s="136" t="s">
        <v>48</v>
      </c>
      <c r="B2" s="136"/>
      <c r="C2" s="136"/>
      <c r="D2" s="136"/>
      <c r="E2" s="136"/>
      <c r="F2" s="136"/>
      <c r="G2" s="136"/>
      <c r="H2" s="136"/>
      <c r="I2" s="136"/>
      <c r="J2" s="136"/>
    </row>
    <row r="3" spans="1:10" ht="11" thickBot="1" x14ac:dyDescent="0.3">
      <c r="A3" s="52"/>
      <c r="B3" s="52"/>
      <c r="C3" s="11"/>
      <c r="D3" s="11"/>
      <c r="E3" s="11"/>
      <c r="F3" s="11"/>
      <c r="G3" s="11"/>
      <c r="H3" s="11"/>
      <c r="I3" s="11"/>
      <c r="J3" s="11"/>
    </row>
    <row r="4" spans="1:10" ht="15.75" customHeight="1" thickBot="1" x14ac:dyDescent="0.25">
      <c r="A4" s="231" t="s">
        <v>72</v>
      </c>
      <c r="B4" s="231" t="s">
        <v>85</v>
      </c>
      <c r="C4" s="228" t="s">
        <v>71</v>
      </c>
      <c r="D4" s="228" t="s">
        <v>73</v>
      </c>
      <c r="E4" s="228" t="s">
        <v>123</v>
      </c>
      <c r="F4" s="234" t="s">
        <v>121</v>
      </c>
      <c r="G4" s="235"/>
      <c r="H4" s="235"/>
      <c r="I4" s="235"/>
      <c r="J4" s="236"/>
    </row>
    <row r="5" spans="1:10" ht="15.75" customHeight="1" thickBot="1" x14ac:dyDescent="0.25">
      <c r="A5" s="232"/>
      <c r="B5" s="232"/>
      <c r="C5" s="229"/>
      <c r="D5" s="229"/>
      <c r="E5" s="229"/>
      <c r="F5" s="228" t="s">
        <v>122</v>
      </c>
      <c r="G5" s="169" t="s">
        <v>74</v>
      </c>
      <c r="H5" s="170"/>
      <c r="I5" s="170"/>
      <c r="J5" s="171"/>
    </row>
    <row r="6" spans="1:10" ht="15.75" customHeight="1" thickBot="1" x14ac:dyDescent="0.3">
      <c r="A6" s="233"/>
      <c r="B6" s="233"/>
      <c r="C6" s="230"/>
      <c r="D6" s="230"/>
      <c r="E6" s="230"/>
      <c r="F6" s="230"/>
      <c r="G6" s="53" t="s">
        <v>55</v>
      </c>
      <c r="H6" s="53" t="s">
        <v>75</v>
      </c>
      <c r="I6" s="53" t="s">
        <v>76</v>
      </c>
      <c r="J6" s="53" t="s">
        <v>26</v>
      </c>
    </row>
    <row r="7" spans="1:10" ht="15.75" customHeight="1" thickBot="1" x14ac:dyDescent="0.3">
      <c r="A7" s="54"/>
      <c r="B7" s="55" t="s">
        <v>11</v>
      </c>
      <c r="C7" s="56" t="s">
        <v>124</v>
      </c>
      <c r="D7" s="57"/>
      <c r="E7" s="57"/>
      <c r="F7" s="57"/>
      <c r="G7" s="53"/>
      <c r="H7" s="53"/>
      <c r="I7" s="53"/>
      <c r="J7" s="53"/>
    </row>
    <row r="8" spans="1:10" s="4" customFormat="1" ht="10.5" x14ac:dyDescent="0.35">
      <c r="A8" s="58">
        <v>1</v>
      </c>
      <c r="B8" s="59" t="s">
        <v>12</v>
      </c>
      <c r="C8" s="60" t="s">
        <v>5</v>
      </c>
      <c r="D8" s="58" t="s">
        <v>83</v>
      </c>
      <c r="E8" s="223" t="s">
        <v>276</v>
      </c>
      <c r="F8" s="58"/>
      <c r="G8" s="61" t="s">
        <v>115</v>
      </c>
      <c r="H8" s="58"/>
      <c r="I8" s="58"/>
      <c r="J8" s="58"/>
    </row>
    <row r="9" spans="1:10" s="4" customFormat="1" ht="10.5" x14ac:dyDescent="0.35">
      <c r="A9" s="58">
        <v>2</v>
      </c>
      <c r="B9" s="59" t="s">
        <v>13</v>
      </c>
      <c r="C9" s="60" t="s">
        <v>4</v>
      </c>
      <c r="D9" s="58" t="s">
        <v>83</v>
      </c>
      <c r="E9" s="224"/>
      <c r="F9" s="58"/>
      <c r="G9" s="61" t="s">
        <v>115</v>
      </c>
      <c r="H9" s="58"/>
      <c r="I9" s="58"/>
      <c r="J9" s="58"/>
    </row>
    <row r="10" spans="1:10" s="4" customFormat="1" ht="11" thickBot="1" x14ac:dyDescent="0.4">
      <c r="A10" s="58">
        <v>3</v>
      </c>
      <c r="B10" s="59" t="s">
        <v>14</v>
      </c>
      <c r="C10" s="60" t="s">
        <v>6</v>
      </c>
      <c r="D10" s="58" t="s">
        <v>83</v>
      </c>
      <c r="E10" s="225"/>
      <c r="F10" s="58"/>
      <c r="G10" s="61" t="s">
        <v>115</v>
      </c>
      <c r="H10" s="58"/>
      <c r="I10" s="58"/>
      <c r="J10" s="58"/>
    </row>
    <row r="11" spans="1:10" s="4" customFormat="1" ht="11" thickBot="1" x14ac:dyDescent="0.4">
      <c r="A11" s="20"/>
      <c r="B11" s="62" t="s">
        <v>15</v>
      </c>
      <c r="C11" s="63" t="s">
        <v>125</v>
      </c>
      <c r="D11" s="64"/>
      <c r="E11" s="65"/>
      <c r="F11" s="65"/>
      <c r="G11" s="66"/>
      <c r="H11" s="66"/>
      <c r="I11" s="67"/>
      <c r="J11" s="66"/>
    </row>
    <row r="12" spans="1:10" ht="10.5" x14ac:dyDescent="0.25">
      <c r="A12" s="21">
        <v>4</v>
      </c>
      <c r="B12" s="68" t="s">
        <v>17</v>
      </c>
      <c r="C12" s="11" t="s">
        <v>27</v>
      </c>
      <c r="D12" s="69" t="s">
        <v>87</v>
      </c>
      <c r="E12" s="226" t="s">
        <v>276</v>
      </c>
      <c r="F12" s="70"/>
      <c r="G12" s="61"/>
      <c r="H12" s="61" t="s">
        <v>115</v>
      </c>
      <c r="I12" s="58"/>
      <c r="J12" s="71"/>
    </row>
    <row r="13" spans="1:10" ht="10.5" x14ac:dyDescent="0.25">
      <c r="A13" s="21">
        <v>5</v>
      </c>
      <c r="B13" s="72" t="s">
        <v>16</v>
      </c>
      <c r="C13" s="11" t="s">
        <v>28</v>
      </c>
      <c r="D13" s="70" t="s">
        <v>84</v>
      </c>
      <c r="E13" s="227"/>
      <c r="F13" s="70"/>
      <c r="G13" s="11"/>
      <c r="H13" s="61" t="s">
        <v>115</v>
      </c>
      <c r="I13" s="58"/>
      <c r="J13" s="58"/>
    </row>
    <row r="14" spans="1:10" ht="10.5" x14ac:dyDescent="0.25">
      <c r="A14" s="21">
        <v>6</v>
      </c>
      <c r="B14" s="72" t="s">
        <v>131</v>
      </c>
      <c r="C14" s="11" t="s">
        <v>29</v>
      </c>
      <c r="D14" s="70" t="s">
        <v>88</v>
      </c>
      <c r="E14" s="227"/>
      <c r="F14" s="70"/>
      <c r="G14" s="73"/>
      <c r="H14" s="61" t="s">
        <v>115</v>
      </c>
      <c r="I14" s="58"/>
      <c r="J14" s="58"/>
    </row>
    <row r="15" spans="1:10" ht="10.5" x14ac:dyDescent="0.25">
      <c r="A15" s="21">
        <v>7</v>
      </c>
      <c r="B15" s="72" t="s">
        <v>130</v>
      </c>
      <c r="C15" s="11" t="s">
        <v>30</v>
      </c>
      <c r="D15" s="70" t="s">
        <v>89</v>
      </c>
      <c r="E15" s="227"/>
      <c r="F15" s="70"/>
      <c r="G15" s="11"/>
      <c r="H15" s="61" t="s">
        <v>115</v>
      </c>
      <c r="I15" s="58"/>
      <c r="J15" s="58"/>
    </row>
    <row r="16" spans="1:10" ht="10.5" x14ac:dyDescent="0.25">
      <c r="A16" s="21">
        <v>8</v>
      </c>
      <c r="B16" s="72" t="s">
        <v>77</v>
      </c>
      <c r="C16" s="11" t="s">
        <v>31</v>
      </c>
      <c r="D16" s="70" t="s">
        <v>90</v>
      </c>
      <c r="E16" s="227"/>
      <c r="F16" s="70"/>
      <c r="G16" s="61" t="s">
        <v>115</v>
      </c>
      <c r="H16" s="61"/>
      <c r="I16" s="58"/>
      <c r="J16" s="58"/>
    </row>
    <row r="17" spans="1:10" ht="10.5" x14ac:dyDescent="0.25">
      <c r="A17" s="21">
        <v>9</v>
      </c>
      <c r="B17" s="72" t="s">
        <v>52</v>
      </c>
      <c r="C17" s="11" t="s">
        <v>32</v>
      </c>
      <c r="D17" s="70" t="s">
        <v>91</v>
      </c>
      <c r="E17" s="227"/>
      <c r="F17" s="70"/>
      <c r="G17" s="61" t="s">
        <v>115</v>
      </c>
      <c r="H17" s="61"/>
      <c r="I17" s="58"/>
      <c r="J17" s="58"/>
    </row>
    <row r="18" spans="1:10" ht="10.5" x14ac:dyDescent="0.25">
      <c r="A18" s="21">
        <v>10</v>
      </c>
      <c r="B18" s="72" t="s">
        <v>128</v>
      </c>
      <c r="C18" s="11" t="s">
        <v>33</v>
      </c>
      <c r="D18" s="70" t="s">
        <v>93</v>
      </c>
      <c r="E18" s="227"/>
      <c r="F18" s="70"/>
      <c r="G18" s="61"/>
      <c r="H18" s="58"/>
      <c r="I18" s="3" t="s">
        <v>115</v>
      </c>
      <c r="J18" s="58"/>
    </row>
    <row r="19" spans="1:10" ht="10.5" x14ac:dyDescent="0.25">
      <c r="A19" s="21">
        <v>11</v>
      </c>
      <c r="B19" s="72" t="s">
        <v>129</v>
      </c>
      <c r="C19" s="11" t="s">
        <v>34</v>
      </c>
      <c r="D19" s="70" t="s">
        <v>94</v>
      </c>
      <c r="E19" s="227"/>
      <c r="F19" s="70"/>
      <c r="G19" s="61"/>
      <c r="H19" s="58"/>
      <c r="I19" s="3" t="s">
        <v>115</v>
      </c>
      <c r="J19" s="58"/>
    </row>
    <row r="20" spans="1:10" ht="10.5" x14ac:dyDescent="0.25">
      <c r="A20" s="21">
        <v>12</v>
      </c>
      <c r="B20" s="72" t="s">
        <v>20</v>
      </c>
      <c r="C20" s="11" t="s">
        <v>35</v>
      </c>
      <c r="D20" s="70" t="s">
        <v>95</v>
      </c>
      <c r="E20" s="227"/>
      <c r="F20" s="70"/>
      <c r="G20" s="61" t="s">
        <v>115</v>
      </c>
      <c r="H20" s="61"/>
      <c r="I20" s="58"/>
      <c r="J20" s="58"/>
    </row>
    <row r="21" spans="1:10" ht="10.5" x14ac:dyDescent="0.25">
      <c r="A21" s="21">
        <v>13</v>
      </c>
      <c r="B21" s="72" t="s">
        <v>259</v>
      </c>
      <c r="C21" s="11" t="s">
        <v>36</v>
      </c>
      <c r="D21" s="70" t="s">
        <v>86</v>
      </c>
      <c r="E21" s="227"/>
      <c r="F21" s="70"/>
      <c r="G21" s="61" t="s">
        <v>115</v>
      </c>
      <c r="H21" s="61"/>
      <c r="I21" s="58"/>
      <c r="J21" s="58"/>
    </row>
    <row r="22" spans="1:10" ht="10.5" x14ac:dyDescent="0.25">
      <c r="A22" s="21">
        <v>14</v>
      </c>
      <c r="B22" s="72" t="s">
        <v>18</v>
      </c>
      <c r="C22" s="11" t="s">
        <v>37</v>
      </c>
      <c r="D22" s="70" t="s">
        <v>96</v>
      </c>
      <c r="E22" s="227"/>
      <c r="F22" s="70"/>
      <c r="G22" s="58"/>
      <c r="H22" s="61" t="s">
        <v>115</v>
      </c>
      <c r="I22" s="58"/>
      <c r="J22" s="58"/>
    </row>
    <row r="23" spans="1:10" ht="10.5" x14ac:dyDescent="0.25">
      <c r="A23" s="21">
        <v>15</v>
      </c>
      <c r="B23" s="72" t="s">
        <v>241</v>
      </c>
      <c r="C23" s="11" t="s">
        <v>38</v>
      </c>
      <c r="D23" s="70" t="s">
        <v>97</v>
      </c>
      <c r="E23" s="227"/>
      <c r="F23" s="70"/>
      <c r="G23" s="58" t="s">
        <v>115</v>
      </c>
      <c r="H23" s="61"/>
      <c r="I23" s="58"/>
      <c r="J23" s="58"/>
    </row>
    <row r="24" spans="1:10" ht="10.5" x14ac:dyDescent="0.25">
      <c r="A24" s="21">
        <v>16</v>
      </c>
      <c r="B24" s="72" t="s">
        <v>19</v>
      </c>
      <c r="C24" s="11" t="s">
        <v>80</v>
      </c>
      <c r="D24" s="70" t="s">
        <v>98</v>
      </c>
      <c r="E24" s="227"/>
      <c r="F24" s="70"/>
      <c r="G24" s="58"/>
      <c r="H24" s="61" t="s">
        <v>115</v>
      </c>
      <c r="I24" s="58"/>
      <c r="J24" s="58"/>
    </row>
    <row r="25" spans="1:10" ht="10.5" x14ac:dyDescent="0.25">
      <c r="A25" s="21">
        <v>17</v>
      </c>
      <c r="B25" s="72" t="s">
        <v>78</v>
      </c>
      <c r="C25" s="11" t="s">
        <v>81</v>
      </c>
      <c r="D25" s="70" t="s">
        <v>99</v>
      </c>
      <c r="E25" s="227"/>
      <c r="F25" s="70"/>
      <c r="G25" s="58"/>
      <c r="H25" s="58"/>
      <c r="I25" s="58"/>
      <c r="J25" s="61" t="s">
        <v>115</v>
      </c>
    </row>
    <row r="26" spans="1:10" ht="11" thickBot="1" x14ac:dyDescent="0.3">
      <c r="A26" s="21">
        <v>18</v>
      </c>
      <c r="B26" s="72" t="s">
        <v>242</v>
      </c>
      <c r="C26" s="11" t="s">
        <v>82</v>
      </c>
      <c r="D26" s="70" t="s">
        <v>100</v>
      </c>
      <c r="E26" s="227"/>
      <c r="F26" s="70"/>
      <c r="G26" s="58"/>
      <c r="H26" s="58"/>
      <c r="I26" s="58"/>
      <c r="J26" s="61" t="s">
        <v>115</v>
      </c>
    </row>
    <row r="27" spans="1:10" ht="12" customHeight="1" thickBot="1" x14ac:dyDescent="0.3">
      <c r="A27" s="77">
        <v>19</v>
      </c>
      <c r="B27" s="72" t="s">
        <v>243</v>
      </c>
      <c r="C27" s="79" t="s">
        <v>271</v>
      </c>
      <c r="D27" s="80" t="s">
        <v>101</v>
      </c>
      <c r="E27" s="81"/>
      <c r="F27" s="82"/>
      <c r="G27" s="83"/>
      <c r="H27" s="84" t="s">
        <v>115</v>
      </c>
      <c r="I27" s="83"/>
      <c r="J27" s="85"/>
    </row>
    <row r="28" spans="1:10" ht="13.5" customHeight="1" thickBot="1" x14ac:dyDescent="0.3">
      <c r="A28" s="77">
        <v>20</v>
      </c>
      <c r="B28" s="78" t="s">
        <v>272</v>
      </c>
      <c r="C28" s="79" t="s">
        <v>273</v>
      </c>
      <c r="D28" s="80" t="s">
        <v>101</v>
      </c>
      <c r="E28" s="81"/>
      <c r="F28" s="82"/>
      <c r="G28" s="83" t="s">
        <v>115</v>
      </c>
      <c r="H28" s="84"/>
      <c r="I28" s="83"/>
      <c r="J28" s="85"/>
    </row>
    <row r="29" spans="1:10" s="4" customFormat="1" ht="14.25" customHeight="1" thickBot="1" x14ac:dyDescent="0.4">
      <c r="A29" s="54"/>
      <c r="B29" s="86" t="s">
        <v>21</v>
      </c>
      <c r="C29" s="87" t="s">
        <v>126</v>
      </c>
      <c r="D29" s="88"/>
      <c r="E29" s="88"/>
      <c r="F29" s="88"/>
      <c r="G29" s="89"/>
      <c r="H29" s="89"/>
      <c r="I29" s="89"/>
      <c r="J29" s="89"/>
    </row>
    <row r="30" spans="1:10" ht="11.25" customHeight="1" x14ac:dyDescent="0.25">
      <c r="A30" s="35">
        <v>21</v>
      </c>
      <c r="B30" s="90" t="s">
        <v>265</v>
      </c>
      <c r="C30" s="91" t="s">
        <v>39</v>
      </c>
      <c r="D30" s="36" t="s">
        <v>102</v>
      </c>
      <c r="E30" s="223" t="s">
        <v>276</v>
      </c>
      <c r="F30" s="69"/>
      <c r="G30" s="92"/>
      <c r="H30" s="93"/>
      <c r="I30" s="94" t="s">
        <v>277</v>
      </c>
      <c r="J30" s="92"/>
    </row>
    <row r="31" spans="1:10" s="6" customFormat="1" ht="11" customHeight="1" x14ac:dyDescent="0.25">
      <c r="A31" s="74">
        <v>22</v>
      </c>
      <c r="B31" s="50" t="s">
        <v>56</v>
      </c>
      <c r="C31" s="95" t="s">
        <v>40</v>
      </c>
      <c r="D31" s="96" t="s">
        <v>105</v>
      </c>
      <c r="E31" s="224"/>
      <c r="F31" s="75"/>
      <c r="G31" s="97" t="s">
        <v>115</v>
      </c>
      <c r="H31" s="76"/>
      <c r="I31" s="98"/>
      <c r="J31" s="97"/>
    </row>
    <row r="32" spans="1:10" ht="10.5" customHeight="1" x14ac:dyDescent="0.25">
      <c r="A32" s="21">
        <v>23</v>
      </c>
      <c r="B32" s="50" t="s">
        <v>57</v>
      </c>
      <c r="C32" s="99" t="s">
        <v>41</v>
      </c>
      <c r="D32" s="22" t="s">
        <v>103</v>
      </c>
      <c r="E32" s="224"/>
      <c r="F32" s="70"/>
      <c r="G32" s="58" t="s">
        <v>115</v>
      </c>
      <c r="H32" s="61"/>
      <c r="I32" s="11"/>
      <c r="J32" s="58"/>
    </row>
    <row r="33" spans="1:10" ht="12.5" customHeight="1" x14ac:dyDescent="0.25">
      <c r="A33" s="21">
        <v>24</v>
      </c>
      <c r="B33" s="50" t="s">
        <v>22</v>
      </c>
      <c r="C33" s="99" t="s">
        <v>42</v>
      </c>
      <c r="D33" s="22" t="s">
        <v>104</v>
      </c>
      <c r="E33" s="224"/>
      <c r="F33" s="70"/>
      <c r="G33" s="58"/>
      <c r="H33" s="58"/>
      <c r="I33" s="47"/>
      <c r="J33" s="58" t="s">
        <v>115</v>
      </c>
    </row>
    <row r="34" spans="1:10" ht="12" customHeight="1" x14ac:dyDescent="0.25">
      <c r="A34" s="21">
        <v>25</v>
      </c>
      <c r="B34" s="50" t="s">
        <v>23</v>
      </c>
      <c r="C34" s="99" t="s">
        <v>43</v>
      </c>
      <c r="D34" s="22" t="s">
        <v>106</v>
      </c>
      <c r="E34" s="224"/>
      <c r="F34" s="70"/>
      <c r="G34" s="58"/>
      <c r="H34" s="58"/>
      <c r="I34" s="47"/>
      <c r="J34" s="58" t="s">
        <v>115</v>
      </c>
    </row>
    <row r="35" spans="1:10" ht="9" customHeight="1" x14ac:dyDescent="0.25">
      <c r="A35" s="21">
        <v>26</v>
      </c>
      <c r="B35" s="50" t="s">
        <v>79</v>
      </c>
      <c r="C35" s="99" t="s">
        <v>44</v>
      </c>
      <c r="D35" s="22" t="s">
        <v>107</v>
      </c>
      <c r="E35" s="224"/>
      <c r="F35" s="70"/>
      <c r="G35" s="58"/>
      <c r="H35" s="58"/>
      <c r="I35" s="47"/>
      <c r="J35" s="58" t="s">
        <v>115</v>
      </c>
    </row>
    <row r="36" spans="1:10" ht="9.5" customHeight="1" x14ac:dyDescent="0.25">
      <c r="A36" s="21">
        <v>27</v>
      </c>
      <c r="B36" s="50" t="s">
        <v>24</v>
      </c>
      <c r="C36" s="99" t="s">
        <v>45</v>
      </c>
      <c r="D36" s="22" t="s">
        <v>108</v>
      </c>
      <c r="E36" s="224"/>
      <c r="F36" s="70"/>
      <c r="G36" s="58"/>
      <c r="H36" s="58"/>
      <c r="I36" s="47"/>
      <c r="J36" s="58" t="s">
        <v>115</v>
      </c>
    </row>
    <row r="37" spans="1:10" ht="12" customHeight="1" x14ac:dyDescent="0.25">
      <c r="A37" s="21">
        <v>28</v>
      </c>
      <c r="B37" s="50" t="s">
        <v>132</v>
      </c>
      <c r="C37" s="99" t="s">
        <v>46</v>
      </c>
      <c r="D37" s="22" t="s">
        <v>110</v>
      </c>
      <c r="E37" s="224"/>
      <c r="F37" s="70"/>
      <c r="G37" s="58"/>
      <c r="H37" s="61" t="s">
        <v>115</v>
      </c>
      <c r="I37" s="47"/>
      <c r="J37" s="58"/>
    </row>
    <row r="38" spans="1:10" ht="8" customHeight="1" x14ac:dyDescent="0.25">
      <c r="A38" s="21">
        <v>29</v>
      </c>
      <c r="B38" s="50" t="s">
        <v>146</v>
      </c>
      <c r="C38" s="100" t="s">
        <v>47</v>
      </c>
      <c r="D38" s="101"/>
      <c r="E38" s="224"/>
      <c r="F38" s="70"/>
      <c r="G38" s="58"/>
      <c r="H38" s="102" t="s">
        <v>115</v>
      </c>
      <c r="I38" s="47"/>
      <c r="J38" s="58"/>
    </row>
    <row r="39" spans="1:10" ht="9.5" customHeight="1" x14ac:dyDescent="0.25">
      <c r="A39" s="21">
        <v>30</v>
      </c>
      <c r="B39" s="50" t="s">
        <v>145</v>
      </c>
      <c r="C39" s="100" t="s">
        <v>134</v>
      </c>
      <c r="D39" s="101"/>
      <c r="E39" s="224"/>
      <c r="F39" s="70"/>
      <c r="G39" s="58"/>
      <c r="H39" s="102" t="s">
        <v>115</v>
      </c>
      <c r="I39" s="103"/>
      <c r="J39" s="102"/>
    </row>
    <row r="40" spans="1:10" ht="11" customHeight="1" x14ac:dyDescent="0.25">
      <c r="A40" s="21">
        <v>31</v>
      </c>
      <c r="B40" s="50" t="s">
        <v>266</v>
      </c>
      <c r="C40" s="100" t="s">
        <v>135</v>
      </c>
      <c r="D40" s="101" t="s">
        <v>109</v>
      </c>
      <c r="E40" s="224"/>
      <c r="F40" s="70"/>
      <c r="G40" s="58"/>
      <c r="H40" s="102"/>
      <c r="I40" s="102" t="s">
        <v>277</v>
      </c>
      <c r="J40" s="102"/>
    </row>
    <row r="41" spans="1:10" ht="11" customHeight="1" x14ac:dyDescent="0.25">
      <c r="A41" s="21">
        <v>32</v>
      </c>
      <c r="B41" s="50" t="s">
        <v>267</v>
      </c>
      <c r="C41" s="100" t="s">
        <v>136</v>
      </c>
      <c r="D41" s="101" t="s">
        <v>110</v>
      </c>
      <c r="E41" s="224"/>
      <c r="F41" s="70"/>
      <c r="G41" s="58"/>
      <c r="H41" s="102"/>
      <c r="I41" s="102" t="s">
        <v>277</v>
      </c>
      <c r="J41" s="102"/>
    </row>
    <row r="42" spans="1:10" ht="12.5" customHeight="1" x14ac:dyDescent="0.25">
      <c r="A42" s="21">
        <v>33</v>
      </c>
      <c r="B42" s="50" t="s">
        <v>138</v>
      </c>
      <c r="C42" s="100" t="s">
        <v>137</v>
      </c>
      <c r="D42" s="22"/>
      <c r="E42" s="224"/>
      <c r="F42" s="70"/>
      <c r="G42" s="58"/>
      <c r="H42" s="99"/>
      <c r="I42" s="102" t="s">
        <v>277</v>
      </c>
      <c r="J42" s="102"/>
    </row>
    <row r="43" spans="1:10" ht="12" customHeight="1" x14ac:dyDescent="0.25">
      <c r="A43" s="21">
        <v>34</v>
      </c>
      <c r="B43" s="50" t="s">
        <v>142</v>
      </c>
      <c r="C43" s="99" t="s">
        <v>139</v>
      </c>
      <c r="D43" s="22"/>
      <c r="E43" s="224"/>
      <c r="F43" s="70"/>
      <c r="G43" s="102"/>
      <c r="H43" s="102"/>
      <c r="I43" s="102" t="s">
        <v>277</v>
      </c>
      <c r="J43" s="110"/>
    </row>
    <row r="44" spans="1:10" ht="12" customHeight="1" x14ac:dyDescent="0.25">
      <c r="A44" s="21">
        <v>35</v>
      </c>
      <c r="B44" s="50" t="s">
        <v>143</v>
      </c>
      <c r="C44" s="100" t="s">
        <v>140</v>
      </c>
      <c r="D44" s="22"/>
      <c r="E44" s="224"/>
      <c r="F44" s="70"/>
      <c r="G44" s="102" t="s">
        <v>277</v>
      </c>
      <c r="H44" s="102"/>
      <c r="I44" s="103"/>
      <c r="J44" s="102"/>
    </row>
    <row r="45" spans="1:10" ht="11.5" customHeight="1" x14ac:dyDescent="0.25">
      <c r="A45" s="21">
        <v>36</v>
      </c>
      <c r="B45" s="50" t="s">
        <v>144</v>
      </c>
      <c r="C45" s="100" t="s">
        <v>141</v>
      </c>
      <c r="D45" s="22"/>
      <c r="E45" s="224"/>
      <c r="F45" s="70"/>
      <c r="G45" s="102" t="s">
        <v>277</v>
      </c>
      <c r="H45" s="107"/>
      <c r="I45" s="103"/>
      <c r="J45" s="102"/>
    </row>
    <row r="46" spans="1:10" ht="9" customHeight="1" thickBot="1" x14ac:dyDescent="0.3">
      <c r="A46" s="21">
        <v>37</v>
      </c>
      <c r="B46" s="104" t="s">
        <v>275</v>
      </c>
      <c r="C46" s="100" t="s">
        <v>274</v>
      </c>
      <c r="D46" s="22"/>
      <c r="E46" s="224"/>
      <c r="F46" s="70"/>
      <c r="G46" s="102"/>
      <c r="H46" s="108"/>
      <c r="I46" s="103"/>
      <c r="J46" s="109" t="s">
        <v>277</v>
      </c>
    </row>
    <row r="47" spans="1:10" s="4" customFormat="1" ht="15.75" customHeight="1" thickBot="1" x14ac:dyDescent="0.4">
      <c r="A47" s="19"/>
      <c r="B47" s="62" t="s">
        <v>25</v>
      </c>
      <c r="C47" s="87" t="s">
        <v>127</v>
      </c>
      <c r="D47" s="64"/>
      <c r="E47" s="64"/>
      <c r="F47" s="64"/>
      <c r="G47" s="115"/>
      <c r="H47" s="115"/>
      <c r="I47" s="115"/>
      <c r="J47" s="115"/>
    </row>
    <row r="48" spans="1:10" s="113" customFormat="1" ht="11.25" customHeight="1" x14ac:dyDescent="0.35">
      <c r="A48" s="121">
        <v>38</v>
      </c>
      <c r="B48" s="116" t="s">
        <v>152</v>
      </c>
      <c r="C48" s="117" t="s">
        <v>153</v>
      </c>
      <c r="D48" s="125"/>
      <c r="E48" s="221" t="s">
        <v>276</v>
      </c>
      <c r="F48" s="125"/>
      <c r="G48" s="134" t="s">
        <v>115</v>
      </c>
      <c r="H48" s="127"/>
      <c r="I48" s="127"/>
      <c r="J48" s="112"/>
    </row>
    <row r="49" spans="1:10" s="4" customFormat="1" ht="11.25" customHeight="1" x14ac:dyDescent="0.35">
      <c r="A49" s="122">
        <v>39</v>
      </c>
      <c r="B49" s="118" t="s">
        <v>279</v>
      </c>
      <c r="C49" s="105" t="s">
        <v>154</v>
      </c>
      <c r="D49" s="126"/>
      <c r="E49" s="222"/>
      <c r="F49" s="126"/>
      <c r="G49" s="122" t="s">
        <v>115</v>
      </c>
      <c r="H49" s="128"/>
      <c r="I49" s="128"/>
      <c r="J49" s="106"/>
    </row>
    <row r="50" spans="1:10" s="4" customFormat="1" ht="13.5" customHeight="1" x14ac:dyDescent="0.35">
      <c r="A50" s="122">
        <v>40</v>
      </c>
      <c r="B50" s="118" t="s">
        <v>280</v>
      </c>
      <c r="C50" s="105" t="s">
        <v>278</v>
      </c>
      <c r="D50" s="126"/>
      <c r="E50" s="222"/>
      <c r="F50" s="126"/>
      <c r="G50" s="122" t="s">
        <v>115</v>
      </c>
      <c r="H50" s="128"/>
      <c r="I50" s="128"/>
      <c r="J50" s="106"/>
    </row>
    <row r="51" spans="1:10" s="4" customFormat="1" ht="13.5" customHeight="1" x14ac:dyDescent="0.35">
      <c r="A51" s="122">
        <v>41</v>
      </c>
      <c r="B51" s="118" t="s">
        <v>281</v>
      </c>
      <c r="C51" s="105" t="s">
        <v>155</v>
      </c>
      <c r="D51" s="126"/>
      <c r="E51" s="222"/>
      <c r="F51" s="126"/>
      <c r="G51" s="122" t="s">
        <v>115</v>
      </c>
      <c r="H51" s="128"/>
      <c r="I51" s="128"/>
      <c r="J51" s="106"/>
    </row>
    <row r="52" spans="1:10" s="4" customFormat="1" ht="10.5" customHeight="1" x14ac:dyDescent="0.25">
      <c r="A52" s="21">
        <v>42</v>
      </c>
      <c r="B52" s="72" t="s">
        <v>149</v>
      </c>
      <c r="C52" s="99" t="s">
        <v>282</v>
      </c>
      <c r="D52" s="126"/>
      <c r="E52" s="222"/>
      <c r="F52" s="126"/>
      <c r="G52" s="122" t="s">
        <v>115</v>
      </c>
      <c r="H52" s="128"/>
      <c r="I52" s="128"/>
      <c r="J52" s="106"/>
    </row>
    <row r="53" spans="1:10" s="4" customFormat="1" ht="12" customHeight="1" x14ac:dyDescent="0.25">
      <c r="A53" s="21">
        <v>43</v>
      </c>
      <c r="B53" s="72" t="s">
        <v>289</v>
      </c>
      <c r="C53" s="99" t="s">
        <v>283</v>
      </c>
      <c r="D53" s="21" t="s">
        <v>112</v>
      </c>
      <c r="E53" s="222"/>
      <c r="F53" s="126"/>
      <c r="G53" s="122" t="s">
        <v>115</v>
      </c>
      <c r="H53" s="111"/>
      <c r="I53" s="128"/>
      <c r="J53" s="106"/>
    </row>
    <row r="54" spans="1:10" s="4" customFormat="1" ht="11.15" customHeight="1" x14ac:dyDescent="0.25">
      <c r="A54" s="21">
        <v>44</v>
      </c>
      <c r="B54" s="119" t="s">
        <v>151</v>
      </c>
      <c r="C54" s="99" t="s">
        <v>49</v>
      </c>
      <c r="D54" s="21" t="s">
        <v>111</v>
      </c>
      <c r="E54" s="222"/>
      <c r="F54" s="126"/>
      <c r="G54" s="111"/>
      <c r="H54" s="111" t="s">
        <v>115</v>
      </c>
      <c r="I54" s="128"/>
      <c r="J54" s="106"/>
    </row>
    <row r="55" spans="1:10" s="4" customFormat="1" ht="9.5" customHeight="1" x14ac:dyDescent="0.25">
      <c r="A55" s="74">
        <v>45</v>
      </c>
      <c r="B55" s="72" t="s">
        <v>290</v>
      </c>
      <c r="C55" s="95" t="s">
        <v>284</v>
      </c>
      <c r="D55" s="21" t="s">
        <v>113</v>
      </c>
      <c r="E55" s="222"/>
      <c r="F55" s="126"/>
      <c r="G55" s="111" t="s">
        <v>115</v>
      </c>
      <c r="H55" s="111"/>
      <c r="I55" s="128"/>
      <c r="J55" s="106"/>
    </row>
    <row r="56" spans="1:10" s="4" customFormat="1" ht="10.5" customHeight="1" x14ac:dyDescent="0.25">
      <c r="A56" s="21">
        <v>46</v>
      </c>
      <c r="B56" s="72" t="s">
        <v>148</v>
      </c>
      <c r="C56" s="99" t="s">
        <v>50</v>
      </c>
      <c r="D56" s="74" t="s">
        <v>92</v>
      </c>
      <c r="E56" s="222"/>
      <c r="F56" s="126"/>
      <c r="G56" s="111" t="s">
        <v>115</v>
      </c>
      <c r="H56" s="129"/>
      <c r="I56" s="128"/>
      <c r="J56" s="106"/>
    </row>
    <row r="57" spans="1:10" s="4" customFormat="1" ht="10.5" customHeight="1" x14ac:dyDescent="0.25">
      <c r="A57" s="123">
        <v>47</v>
      </c>
      <c r="B57" s="72" t="s">
        <v>150</v>
      </c>
      <c r="C57" s="130" t="s">
        <v>51</v>
      </c>
      <c r="D57" s="21" t="s">
        <v>114</v>
      </c>
      <c r="E57" s="222"/>
      <c r="F57" s="126"/>
      <c r="G57" s="111" t="s">
        <v>115</v>
      </c>
      <c r="H57" s="111"/>
      <c r="I57" s="128"/>
      <c r="J57" s="106"/>
    </row>
    <row r="58" spans="1:10" s="4" customFormat="1" ht="9.65" customHeight="1" x14ac:dyDescent="0.25">
      <c r="A58" s="123">
        <v>48</v>
      </c>
      <c r="B58" s="119" t="s">
        <v>288</v>
      </c>
      <c r="C58" s="131" t="s">
        <v>285</v>
      </c>
      <c r="D58" s="21"/>
      <c r="E58" s="222"/>
      <c r="F58" s="126"/>
      <c r="G58" s="111"/>
      <c r="H58" s="111" t="s">
        <v>115</v>
      </c>
      <c r="I58" s="128"/>
      <c r="J58" s="106"/>
    </row>
    <row r="59" spans="1:10" ht="11" thickBot="1" x14ac:dyDescent="0.3">
      <c r="A59" s="124">
        <v>49</v>
      </c>
      <c r="B59" s="78" t="s">
        <v>287</v>
      </c>
      <c r="C59" s="132" t="s">
        <v>286</v>
      </c>
      <c r="D59" s="120"/>
      <c r="E59" s="120"/>
      <c r="F59" s="120"/>
      <c r="G59" s="124"/>
      <c r="H59" s="133" t="s">
        <v>115</v>
      </c>
      <c r="I59" s="120"/>
      <c r="J59" s="114"/>
    </row>
  </sheetData>
  <mergeCells count="13">
    <mergeCell ref="E48:E58"/>
    <mergeCell ref="E8:E10"/>
    <mergeCell ref="E12:E26"/>
    <mergeCell ref="A2:J2"/>
    <mergeCell ref="C4:C6"/>
    <mergeCell ref="D4:D6"/>
    <mergeCell ref="B4:B6"/>
    <mergeCell ref="A4:A6"/>
    <mergeCell ref="G5:J5"/>
    <mergeCell ref="F4:J4"/>
    <mergeCell ref="F5:F6"/>
    <mergeCell ref="E4:E6"/>
    <mergeCell ref="E30:E46"/>
  </mergeCells>
  <pageMargins left="0.69" right="0.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3B58-DFED-4A41-8175-853E6DB868B7}">
  <sheetPr>
    <tabColor rgb="FFC00000"/>
  </sheetPr>
  <dimension ref="A1:AO64"/>
  <sheetViews>
    <sheetView showGridLines="0" view="pageBreakPreview" topLeftCell="A6" zoomScaleNormal="100" zoomScaleSheetLayoutView="100" workbookViewId="0">
      <selection activeCell="AA27" sqref="AA27:AE27"/>
    </sheetView>
  </sheetViews>
  <sheetFormatPr baseColWidth="10" defaultColWidth="3.54296875" defaultRowHeight="12.5" x14ac:dyDescent="0.25"/>
  <cols>
    <col min="1" max="1" width="3.54296875" style="1"/>
    <col min="2" max="2" width="2.7265625" style="1" customWidth="1"/>
    <col min="3" max="3" width="3.54296875" style="1"/>
    <col min="4" max="4" width="2" style="1" customWidth="1"/>
    <col min="5" max="5" width="0.6328125" style="1" customWidth="1"/>
    <col min="6" max="17" width="3.54296875" style="1"/>
    <col min="18" max="18" width="1.6328125" style="1" customWidth="1"/>
    <col min="19" max="19" width="2.54296875" style="1" hidden="1" customWidth="1"/>
    <col min="20" max="21" width="3.54296875" style="1" hidden="1" customWidth="1"/>
    <col min="22" max="30" width="3.54296875" style="1"/>
    <col min="31" max="31" width="1.6328125" style="1" customWidth="1"/>
    <col min="32" max="35" width="3.54296875" style="1"/>
    <col min="36" max="36" width="0.453125" style="1" customWidth="1"/>
    <col min="37" max="40" width="3.54296875" style="1"/>
    <col min="41" max="41" width="0.54296875" style="1" customWidth="1"/>
    <col min="42" max="16384" width="3.54296875" style="1"/>
  </cols>
  <sheetData>
    <row r="1" spans="1:41" ht="15" customHeight="1" x14ac:dyDescent="0.25">
      <c r="A1" s="153" t="s">
        <v>68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</row>
    <row r="2" spans="1:41" ht="15.75" customHeight="1" thickBot="1" x14ac:dyDescent="0.3">
      <c r="A2" s="156" t="s">
        <v>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</row>
    <row r="3" spans="1:4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9"/>
    </row>
    <row r="4" spans="1:41" x14ac:dyDescent="0.25">
      <c r="A4" s="10"/>
      <c r="B4" s="11" t="s">
        <v>66</v>
      </c>
      <c r="C4" s="160"/>
      <c r="D4" s="160"/>
      <c r="E4" s="160"/>
      <c r="F4" s="160"/>
      <c r="G4" s="160"/>
      <c r="H4" s="160"/>
      <c r="I4" s="160"/>
      <c r="J4" s="161"/>
      <c r="K4" s="11"/>
      <c r="L4" s="11"/>
      <c r="M4" s="11"/>
      <c r="N4" s="11"/>
      <c r="O4" s="139" t="s">
        <v>260</v>
      </c>
      <c r="P4" s="139"/>
      <c r="Q4" s="139"/>
      <c r="R4" s="139"/>
      <c r="S4" s="139"/>
      <c r="T4" s="159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1"/>
      <c r="AG4" s="11"/>
      <c r="AH4" s="11"/>
      <c r="AI4" s="11"/>
      <c r="AJ4" s="11"/>
      <c r="AK4" s="11"/>
      <c r="AL4" s="11"/>
      <c r="AM4" s="11"/>
      <c r="AN4" s="11"/>
      <c r="AO4" s="12"/>
    </row>
    <row r="5" spans="1:41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2"/>
    </row>
    <row r="6" spans="1:41" x14ac:dyDescent="0.25">
      <c r="A6" s="10"/>
      <c r="B6" s="11"/>
      <c r="C6" s="11"/>
      <c r="D6" s="11"/>
      <c r="E6" s="11"/>
      <c r="F6" s="13"/>
      <c r="G6" s="13"/>
      <c r="H6" s="13"/>
      <c r="I6" s="13"/>
      <c r="J6" s="13"/>
      <c r="K6" s="13"/>
      <c r="L6" s="13"/>
      <c r="M6" s="13"/>
      <c r="N6" s="11"/>
      <c r="O6" s="11"/>
      <c r="P6" s="11"/>
      <c r="Q6" s="11"/>
      <c r="R6" s="13"/>
      <c r="S6" s="13"/>
      <c r="T6" s="13"/>
      <c r="U6" s="13"/>
      <c r="V6" s="13"/>
      <c r="W6" s="11"/>
      <c r="X6" s="13"/>
      <c r="Y6" s="11"/>
      <c r="Z6" s="11"/>
      <c r="AA6" s="13" t="s">
        <v>26</v>
      </c>
      <c r="AB6" s="13" t="s">
        <v>26</v>
      </c>
      <c r="AC6" s="13"/>
      <c r="AD6" s="11"/>
      <c r="AE6" s="11"/>
      <c r="AF6" s="11"/>
      <c r="AG6" s="11"/>
      <c r="AH6" s="11"/>
      <c r="AI6" s="11"/>
      <c r="AJ6" s="305">
        <v>0</v>
      </c>
      <c r="AK6" s="306"/>
      <c r="AL6" s="11"/>
      <c r="AM6" s="11"/>
      <c r="AN6" s="11"/>
      <c r="AO6" s="12"/>
    </row>
    <row r="7" spans="1:41" x14ac:dyDescent="0.25">
      <c r="A7" s="10"/>
      <c r="B7" s="11"/>
      <c r="C7" s="11"/>
      <c r="D7" s="11"/>
      <c r="E7" s="11"/>
      <c r="F7" s="168" t="s">
        <v>60</v>
      </c>
      <c r="G7" s="168"/>
      <c r="H7" s="168"/>
      <c r="I7" s="168"/>
      <c r="J7" s="168"/>
      <c r="K7" s="168"/>
      <c r="L7" s="168"/>
      <c r="M7" s="168"/>
      <c r="N7" s="14"/>
      <c r="O7" s="11"/>
      <c r="P7" s="11"/>
      <c r="Q7" s="11"/>
      <c r="R7" s="11"/>
      <c r="S7" s="11"/>
      <c r="T7" s="15" t="s">
        <v>61</v>
      </c>
      <c r="U7" s="15"/>
      <c r="V7" s="11"/>
      <c r="W7" s="11"/>
      <c r="X7" s="11" t="s">
        <v>67</v>
      </c>
      <c r="Y7" s="11"/>
      <c r="Z7" s="11"/>
      <c r="AA7" s="11"/>
      <c r="AB7" s="14" t="s">
        <v>58</v>
      </c>
      <c r="AC7" s="11"/>
      <c r="AD7" s="11"/>
      <c r="AE7" s="11"/>
      <c r="AF7" s="11"/>
      <c r="AG7" s="11"/>
      <c r="AH7" s="11"/>
      <c r="AI7" s="11"/>
      <c r="AJ7" s="15" t="s">
        <v>54</v>
      </c>
      <c r="AK7" s="11"/>
      <c r="AL7" s="11"/>
      <c r="AM7" s="11"/>
      <c r="AN7" s="11"/>
      <c r="AO7" s="12"/>
    </row>
    <row r="8" spans="1:41" ht="13" thickBo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8"/>
    </row>
    <row r="9" spans="1:41" ht="15" customHeight="1" thickBot="1" x14ac:dyDescent="0.3">
      <c r="A9" s="172" t="s">
        <v>270</v>
      </c>
      <c r="B9" s="173"/>
      <c r="C9" s="162" t="s">
        <v>156</v>
      </c>
      <c r="D9" s="163"/>
      <c r="E9" s="164"/>
      <c r="F9" s="162" t="s">
        <v>62</v>
      </c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297" t="s">
        <v>0</v>
      </c>
      <c r="W9" s="298"/>
      <c r="X9" s="298"/>
      <c r="Y9" s="298"/>
      <c r="Z9" s="299"/>
      <c r="AA9" s="234" t="s">
        <v>223</v>
      </c>
      <c r="AB9" s="235"/>
      <c r="AC9" s="235"/>
      <c r="AD9" s="235"/>
      <c r="AE9" s="235"/>
      <c r="AF9" s="235"/>
      <c r="AG9" s="235"/>
      <c r="AH9" s="235"/>
      <c r="AI9" s="235"/>
      <c r="AJ9" s="236"/>
      <c r="AK9" s="162" t="s">
        <v>222</v>
      </c>
      <c r="AL9" s="163"/>
      <c r="AM9" s="163"/>
      <c r="AN9" s="163"/>
      <c r="AO9" s="164"/>
    </row>
    <row r="10" spans="1:41" ht="15.75" customHeight="1" thickBot="1" x14ac:dyDescent="0.3">
      <c r="A10" s="174"/>
      <c r="B10" s="175"/>
      <c r="C10" s="169"/>
      <c r="D10" s="170"/>
      <c r="E10" s="171"/>
      <c r="F10" s="169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302"/>
      <c r="W10" s="303"/>
      <c r="X10" s="303"/>
      <c r="Y10" s="303"/>
      <c r="Z10" s="304"/>
      <c r="AA10" s="234" t="s">
        <v>3</v>
      </c>
      <c r="AB10" s="235"/>
      <c r="AC10" s="235"/>
      <c r="AD10" s="235"/>
      <c r="AE10" s="236"/>
      <c r="AF10" s="234" t="s">
        <v>59</v>
      </c>
      <c r="AG10" s="235"/>
      <c r="AH10" s="235"/>
      <c r="AI10" s="235"/>
      <c r="AJ10" s="236"/>
      <c r="AK10" s="165"/>
      <c r="AL10" s="166"/>
      <c r="AM10" s="166"/>
      <c r="AN10" s="166"/>
      <c r="AO10" s="167"/>
    </row>
    <row r="11" spans="1:41" ht="15.75" customHeight="1" thickBot="1" x14ac:dyDescent="0.3">
      <c r="A11" s="176"/>
      <c r="B11" s="177"/>
      <c r="C11" s="165"/>
      <c r="D11" s="166"/>
      <c r="E11" s="167"/>
      <c r="F11" s="165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254">
        <v>1</v>
      </c>
      <c r="W11" s="255"/>
      <c r="X11" s="255"/>
      <c r="Y11" s="255"/>
      <c r="Z11" s="256"/>
      <c r="AA11" s="254">
        <v>2</v>
      </c>
      <c r="AB11" s="255"/>
      <c r="AC11" s="255"/>
      <c r="AD11" s="255"/>
      <c r="AE11" s="256"/>
      <c r="AF11" s="254">
        <v>3</v>
      </c>
      <c r="AG11" s="255"/>
      <c r="AH11" s="255"/>
      <c r="AI11" s="255"/>
      <c r="AJ11" s="256"/>
      <c r="AK11" s="254" t="s">
        <v>268</v>
      </c>
      <c r="AL11" s="255"/>
      <c r="AM11" s="255"/>
      <c r="AN11" s="255"/>
      <c r="AO11" s="256"/>
    </row>
    <row r="12" spans="1:41" ht="15.75" customHeight="1" thickBot="1" x14ac:dyDescent="0.3">
      <c r="A12" s="203"/>
      <c r="B12" s="204"/>
      <c r="C12" s="216">
        <v>1</v>
      </c>
      <c r="D12" s="217"/>
      <c r="E12" s="218"/>
      <c r="F12" s="190" t="s">
        <v>217</v>
      </c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254" t="e">
        <f>V13+V28+V29</f>
        <v>#VALUE!</v>
      </c>
      <c r="W12" s="255"/>
      <c r="X12" s="255"/>
      <c r="Y12" s="255"/>
      <c r="Z12" s="256"/>
      <c r="AA12" s="254">
        <f>AA13+AA28+AA29</f>
        <v>0</v>
      </c>
      <c r="AB12" s="255"/>
      <c r="AC12" s="255"/>
      <c r="AD12" s="255"/>
      <c r="AE12" s="256"/>
      <c r="AF12" s="254">
        <f>AF13+AF28+AF29</f>
        <v>0</v>
      </c>
      <c r="AG12" s="255"/>
      <c r="AH12" s="255"/>
      <c r="AI12" s="255"/>
      <c r="AJ12" s="256"/>
      <c r="AK12" s="254" t="e">
        <f t="shared" ref="AK12:AK17" si="0">+AA12+AF12-V12</f>
        <v>#VALUE!</v>
      </c>
      <c r="AL12" s="255"/>
      <c r="AM12" s="255"/>
      <c r="AN12" s="255"/>
      <c r="AO12" s="256"/>
    </row>
    <row r="13" spans="1:41" ht="15.75" customHeight="1" x14ac:dyDescent="0.25">
      <c r="A13" s="307"/>
      <c r="B13" s="308"/>
      <c r="C13" s="284">
        <v>10</v>
      </c>
      <c r="D13" s="285"/>
      <c r="E13" s="286"/>
      <c r="F13" s="205" t="s">
        <v>157</v>
      </c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42">
        <f>V14+V17+V20+V24+V25+V26+V27</f>
        <v>0</v>
      </c>
      <c r="W13" s="243"/>
      <c r="X13" s="243"/>
      <c r="Y13" s="243"/>
      <c r="Z13" s="244"/>
      <c r="AA13" s="297">
        <f>AA14+AA17+AA20+AA24+AA25+AA26+AA27</f>
        <v>0</v>
      </c>
      <c r="AB13" s="298"/>
      <c r="AC13" s="298"/>
      <c r="AD13" s="298"/>
      <c r="AE13" s="299"/>
      <c r="AF13" s="243">
        <f>AF14+AF17+AF20+AF24+AF25+AF26+AF27</f>
        <v>0</v>
      </c>
      <c r="AG13" s="243"/>
      <c r="AH13" s="243"/>
      <c r="AI13" s="243"/>
      <c r="AJ13" s="243"/>
      <c r="AK13" s="297">
        <f t="shared" si="0"/>
        <v>0</v>
      </c>
      <c r="AL13" s="298"/>
      <c r="AM13" s="298"/>
      <c r="AN13" s="298"/>
      <c r="AO13" s="299"/>
    </row>
    <row r="14" spans="1:41" ht="15.75" customHeight="1" x14ac:dyDescent="0.25">
      <c r="A14" s="270"/>
      <c r="B14" s="269"/>
      <c r="C14" s="280">
        <v>101</v>
      </c>
      <c r="D14" s="281"/>
      <c r="E14" s="282"/>
      <c r="F14" s="278" t="s">
        <v>158</v>
      </c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42">
        <f>V15+V16</f>
        <v>0</v>
      </c>
      <c r="W14" s="243"/>
      <c r="X14" s="243"/>
      <c r="Y14" s="243"/>
      <c r="Z14" s="244"/>
      <c r="AA14" s="242">
        <f>AA15+AA16</f>
        <v>0</v>
      </c>
      <c r="AB14" s="243"/>
      <c r="AC14" s="243"/>
      <c r="AD14" s="243"/>
      <c r="AE14" s="244"/>
      <c r="AF14" s="243">
        <f>AF15+AF16</f>
        <v>0</v>
      </c>
      <c r="AG14" s="243"/>
      <c r="AH14" s="243"/>
      <c r="AI14" s="243"/>
      <c r="AJ14" s="243"/>
      <c r="AK14" s="242">
        <f t="shared" si="0"/>
        <v>0</v>
      </c>
      <c r="AL14" s="243"/>
      <c r="AM14" s="243"/>
      <c r="AN14" s="243"/>
      <c r="AO14" s="244"/>
    </row>
    <row r="15" spans="1:41" ht="15.75" customHeight="1" x14ac:dyDescent="0.25">
      <c r="A15" s="187"/>
      <c r="B15" s="188"/>
      <c r="C15" s="239">
        <v>1010</v>
      </c>
      <c r="D15" s="240"/>
      <c r="E15" s="241"/>
      <c r="F15" s="245" t="s">
        <v>234</v>
      </c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2"/>
      <c r="W15" s="243"/>
      <c r="X15" s="243"/>
      <c r="Y15" s="243"/>
      <c r="Z15" s="244"/>
      <c r="AA15" s="326"/>
      <c r="AB15" s="327"/>
      <c r="AC15" s="327"/>
      <c r="AD15" s="327"/>
      <c r="AE15" s="328"/>
      <c r="AF15" s="23"/>
      <c r="AG15" s="23"/>
      <c r="AH15" s="23"/>
      <c r="AI15" s="23"/>
      <c r="AJ15" s="23"/>
      <c r="AK15" s="24"/>
      <c r="AL15" s="25"/>
      <c r="AM15" s="25"/>
      <c r="AN15" s="25"/>
      <c r="AO15" s="26"/>
    </row>
    <row r="16" spans="1:41" ht="15.75" customHeight="1" x14ac:dyDescent="0.25">
      <c r="A16" s="187"/>
      <c r="B16" s="188"/>
      <c r="C16" s="239">
        <v>1011</v>
      </c>
      <c r="D16" s="240"/>
      <c r="E16" s="241"/>
      <c r="F16" s="245" t="s">
        <v>235</v>
      </c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2"/>
      <c r="W16" s="243"/>
      <c r="X16" s="243"/>
      <c r="Y16" s="243"/>
      <c r="Z16" s="244"/>
      <c r="AA16" s="326"/>
      <c r="AB16" s="327"/>
      <c r="AC16" s="327"/>
      <c r="AD16" s="327"/>
      <c r="AE16" s="328"/>
      <c r="AF16" s="23"/>
      <c r="AG16" s="23"/>
      <c r="AH16" s="23"/>
      <c r="AI16" s="23"/>
      <c r="AJ16" s="23"/>
      <c r="AK16" s="24"/>
      <c r="AL16" s="25"/>
      <c r="AM16" s="25"/>
      <c r="AN16" s="25"/>
      <c r="AO16" s="26"/>
    </row>
    <row r="17" spans="1:41" ht="15.75" customHeight="1" x14ac:dyDescent="0.25">
      <c r="A17" s="270"/>
      <c r="B17" s="269"/>
      <c r="C17" s="280">
        <v>102</v>
      </c>
      <c r="D17" s="281"/>
      <c r="E17" s="282"/>
      <c r="F17" s="278" t="s">
        <v>159</v>
      </c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42">
        <f>V18+V19</f>
        <v>0</v>
      </c>
      <c r="W17" s="243"/>
      <c r="X17" s="243"/>
      <c r="Y17" s="243"/>
      <c r="Z17" s="244"/>
      <c r="AA17" s="242">
        <f>AA18+AA19</f>
        <v>0</v>
      </c>
      <c r="AB17" s="243"/>
      <c r="AC17" s="243"/>
      <c r="AD17" s="243"/>
      <c r="AE17" s="244"/>
      <c r="AF17" s="243">
        <f>AF18+AF19</f>
        <v>0</v>
      </c>
      <c r="AG17" s="243"/>
      <c r="AH17" s="243"/>
      <c r="AI17" s="243"/>
      <c r="AJ17" s="243"/>
      <c r="AK17" s="242">
        <f t="shared" si="0"/>
        <v>0</v>
      </c>
      <c r="AL17" s="243"/>
      <c r="AM17" s="243"/>
      <c r="AN17" s="243"/>
      <c r="AO17" s="244"/>
    </row>
    <row r="18" spans="1:41" ht="15.75" customHeight="1" x14ac:dyDescent="0.25">
      <c r="A18" s="187"/>
      <c r="B18" s="188"/>
      <c r="C18" s="239">
        <v>1020</v>
      </c>
      <c r="D18" s="240"/>
      <c r="E18" s="241"/>
      <c r="F18" s="245" t="s">
        <v>236</v>
      </c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2"/>
      <c r="W18" s="243"/>
      <c r="X18" s="243"/>
      <c r="Y18" s="243"/>
      <c r="Z18" s="244"/>
      <c r="AA18" s="27"/>
      <c r="AB18" s="28"/>
      <c r="AC18" s="28"/>
      <c r="AD18" s="28"/>
      <c r="AE18" s="29"/>
      <c r="AF18" s="28"/>
      <c r="AG18" s="28"/>
      <c r="AH18" s="28"/>
      <c r="AI18" s="28"/>
      <c r="AJ18" s="28"/>
      <c r="AK18" s="30"/>
      <c r="AL18" s="31"/>
      <c r="AM18" s="31"/>
      <c r="AN18" s="31"/>
      <c r="AO18" s="32"/>
    </row>
    <row r="19" spans="1:41" ht="15.75" customHeight="1" x14ac:dyDescent="0.25">
      <c r="A19" s="187"/>
      <c r="B19" s="188"/>
      <c r="C19" s="239">
        <v>1021</v>
      </c>
      <c r="D19" s="240"/>
      <c r="E19" s="241"/>
      <c r="F19" s="245" t="s">
        <v>237</v>
      </c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2"/>
      <c r="W19" s="243"/>
      <c r="X19" s="243"/>
      <c r="Y19" s="243"/>
      <c r="Z19" s="244"/>
      <c r="AA19" s="27"/>
      <c r="AB19" s="28"/>
      <c r="AC19" s="28"/>
      <c r="AD19" s="28"/>
      <c r="AE19" s="29"/>
      <c r="AF19" s="28"/>
      <c r="AG19" s="28"/>
      <c r="AH19" s="28"/>
      <c r="AI19" s="28"/>
      <c r="AJ19" s="28"/>
      <c r="AK19" s="30"/>
      <c r="AL19" s="31"/>
      <c r="AM19" s="31"/>
      <c r="AN19" s="31"/>
      <c r="AO19" s="32"/>
    </row>
    <row r="20" spans="1:41" ht="15.75" customHeight="1" x14ac:dyDescent="0.25">
      <c r="A20" s="270"/>
      <c r="B20" s="269"/>
      <c r="C20" s="280">
        <v>103</v>
      </c>
      <c r="D20" s="281"/>
      <c r="E20" s="282"/>
      <c r="F20" s="278" t="s">
        <v>216</v>
      </c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42">
        <f>V21+V22+V23</f>
        <v>0</v>
      </c>
      <c r="W20" s="243"/>
      <c r="X20" s="243"/>
      <c r="Y20" s="243"/>
      <c r="Z20" s="244"/>
      <c r="AA20" s="242">
        <f>AA21+AA22+AA23</f>
        <v>0</v>
      </c>
      <c r="AB20" s="243"/>
      <c r="AC20" s="243"/>
      <c r="AD20" s="243"/>
      <c r="AE20" s="244"/>
      <c r="AF20" s="243">
        <f>AF21+AF22+AF23</f>
        <v>0</v>
      </c>
      <c r="AG20" s="243"/>
      <c r="AH20" s="243"/>
      <c r="AI20" s="243"/>
      <c r="AJ20" s="243"/>
      <c r="AK20" s="242">
        <f>+AA20+AF20-V20</f>
        <v>0</v>
      </c>
      <c r="AL20" s="243"/>
      <c r="AM20" s="243"/>
      <c r="AN20" s="243"/>
      <c r="AO20" s="244"/>
    </row>
    <row r="21" spans="1:41" ht="15.75" customHeight="1" x14ac:dyDescent="0.25">
      <c r="A21" s="187"/>
      <c r="B21" s="188"/>
      <c r="C21" s="239">
        <v>1030</v>
      </c>
      <c r="D21" s="240"/>
      <c r="E21" s="241"/>
      <c r="F21" s="237" t="s">
        <v>238</v>
      </c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42"/>
      <c r="W21" s="243"/>
      <c r="X21" s="243"/>
      <c r="Y21" s="243"/>
      <c r="Z21" s="244"/>
      <c r="AA21" s="27"/>
      <c r="AB21" s="28"/>
      <c r="AC21" s="28"/>
      <c r="AD21" s="28"/>
      <c r="AE21" s="29"/>
      <c r="AF21" s="28"/>
      <c r="AG21" s="28"/>
      <c r="AH21" s="28"/>
      <c r="AI21" s="28"/>
      <c r="AJ21" s="28"/>
      <c r="AK21" s="30"/>
      <c r="AL21" s="31"/>
      <c r="AM21" s="31"/>
      <c r="AN21" s="31"/>
      <c r="AO21" s="32"/>
    </row>
    <row r="22" spans="1:41" ht="15.75" customHeight="1" x14ac:dyDescent="0.25">
      <c r="A22" s="187"/>
      <c r="B22" s="188"/>
      <c r="C22" s="239">
        <v>1031</v>
      </c>
      <c r="D22" s="240"/>
      <c r="E22" s="241"/>
      <c r="F22" s="237" t="s">
        <v>239</v>
      </c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42"/>
      <c r="W22" s="243"/>
      <c r="X22" s="243"/>
      <c r="Y22" s="243"/>
      <c r="Z22" s="244"/>
      <c r="AA22" s="27"/>
      <c r="AB22" s="28"/>
      <c r="AC22" s="28"/>
      <c r="AD22" s="28"/>
      <c r="AE22" s="29"/>
      <c r="AF22" s="28"/>
      <c r="AG22" s="28"/>
      <c r="AH22" s="28"/>
      <c r="AI22" s="28"/>
      <c r="AJ22" s="28"/>
      <c r="AK22" s="30"/>
      <c r="AL22" s="31"/>
      <c r="AM22" s="31"/>
      <c r="AN22" s="31"/>
      <c r="AO22" s="32"/>
    </row>
    <row r="23" spans="1:41" ht="13" customHeight="1" x14ac:dyDescent="0.25">
      <c r="A23" s="33"/>
      <c r="B23" s="34"/>
      <c r="C23" s="239">
        <v>1032</v>
      </c>
      <c r="D23" s="240"/>
      <c r="E23" s="241"/>
      <c r="F23" s="237" t="s">
        <v>240</v>
      </c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42"/>
      <c r="W23" s="243"/>
      <c r="X23" s="243"/>
      <c r="Y23" s="243"/>
      <c r="Z23" s="244"/>
      <c r="AA23" s="27"/>
      <c r="AB23" s="28"/>
      <c r="AC23" s="28"/>
      <c r="AD23" s="28"/>
      <c r="AE23" s="29"/>
      <c r="AF23" s="28"/>
      <c r="AG23" s="28"/>
      <c r="AH23" s="28"/>
      <c r="AI23" s="28"/>
      <c r="AJ23" s="28"/>
      <c r="AK23" s="30"/>
      <c r="AL23" s="31"/>
      <c r="AM23" s="31"/>
      <c r="AN23" s="31"/>
      <c r="AO23" s="32"/>
    </row>
    <row r="24" spans="1:41" ht="15.75" customHeight="1" x14ac:dyDescent="0.25">
      <c r="A24" s="187"/>
      <c r="B24" s="188"/>
      <c r="C24" s="280">
        <v>104</v>
      </c>
      <c r="D24" s="281"/>
      <c r="E24" s="282"/>
      <c r="F24" s="278" t="s">
        <v>160</v>
      </c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42"/>
      <c r="W24" s="243"/>
      <c r="X24" s="243"/>
      <c r="Y24" s="243"/>
      <c r="Z24" s="244"/>
      <c r="AA24" s="260"/>
      <c r="AB24" s="261"/>
      <c r="AC24" s="261"/>
      <c r="AD24" s="261"/>
      <c r="AE24" s="262"/>
      <c r="AF24" s="261"/>
      <c r="AG24" s="261"/>
      <c r="AH24" s="261"/>
      <c r="AI24" s="261"/>
      <c r="AJ24" s="261"/>
      <c r="AK24" s="283">
        <f t="shared" ref="AK24:AK29" si="1">+AA24+AF24-V24</f>
        <v>0</v>
      </c>
      <c r="AL24" s="139"/>
      <c r="AM24" s="139"/>
      <c r="AN24" s="139"/>
      <c r="AO24" s="140"/>
    </row>
    <row r="25" spans="1:41" ht="15.75" customHeight="1" x14ac:dyDescent="0.25">
      <c r="A25" s="270"/>
      <c r="B25" s="269"/>
      <c r="C25" s="280">
        <v>105</v>
      </c>
      <c r="D25" s="281"/>
      <c r="E25" s="282"/>
      <c r="F25" s="309" t="s">
        <v>161</v>
      </c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242"/>
      <c r="W25" s="243"/>
      <c r="X25" s="243"/>
      <c r="Y25" s="243"/>
      <c r="Z25" s="244"/>
      <c r="AA25" s="260"/>
      <c r="AB25" s="261"/>
      <c r="AC25" s="261"/>
      <c r="AD25" s="261"/>
      <c r="AE25" s="262"/>
      <c r="AF25" s="261"/>
      <c r="AG25" s="261"/>
      <c r="AH25" s="261"/>
      <c r="AI25" s="261"/>
      <c r="AJ25" s="261"/>
      <c r="AK25" s="283">
        <f t="shared" si="1"/>
        <v>0</v>
      </c>
      <c r="AL25" s="139"/>
      <c r="AM25" s="139"/>
      <c r="AN25" s="139"/>
      <c r="AO25" s="140"/>
    </row>
    <row r="26" spans="1:41" ht="15.75" customHeight="1" x14ac:dyDescent="0.25">
      <c r="A26" s="270"/>
      <c r="B26" s="269"/>
      <c r="C26" s="280">
        <v>106</v>
      </c>
      <c r="D26" s="281"/>
      <c r="E26" s="282"/>
      <c r="F26" s="309" t="s">
        <v>162</v>
      </c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242"/>
      <c r="W26" s="243"/>
      <c r="X26" s="243"/>
      <c r="Y26" s="243"/>
      <c r="Z26" s="244"/>
      <c r="AA26" s="260"/>
      <c r="AB26" s="261"/>
      <c r="AC26" s="261"/>
      <c r="AD26" s="261"/>
      <c r="AE26" s="262"/>
      <c r="AF26" s="261"/>
      <c r="AG26" s="261"/>
      <c r="AH26" s="261"/>
      <c r="AI26" s="261"/>
      <c r="AJ26" s="261"/>
      <c r="AK26" s="283">
        <f t="shared" si="1"/>
        <v>0</v>
      </c>
      <c r="AL26" s="139"/>
      <c r="AM26" s="139"/>
      <c r="AN26" s="139"/>
      <c r="AO26" s="140"/>
    </row>
    <row r="27" spans="1:41" ht="15.75" customHeight="1" thickBot="1" x14ac:dyDescent="0.3">
      <c r="A27" s="270"/>
      <c r="B27" s="269"/>
      <c r="C27" s="280">
        <v>108</v>
      </c>
      <c r="D27" s="281"/>
      <c r="E27" s="282"/>
      <c r="F27" s="309" t="s">
        <v>163</v>
      </c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02"/>
      <c r="W27" s="303"/>
      <c r="X27" s="303"/>
      <c r="Y27" s="303"/>
      <c r="Z27" s="304"/>
      <c r="AA27" s="260"/>
      <c r="AB27" s="261"/>
      <c r="AC27" s="261"/>
      <c r="AD27" s="261"/>
      <c r="AE27" s="262"/>
      <c r="AF27" s="261"/>
      <c r="AG27" s="261"/>
      <c r="AH27" s="261"/>
      <c r="AI27" s="261"/>
      <c r="AJ27" s="261"/>
      <c r="AK27" s="283">
        <f t="shared" si="1"/>
        <v>0</v>
      </c>
      <c r="AL27" s="139"/>
      <c r="AM27" s="139"/>
      <c r="AN27" s="139"/>
      <c r="AO27" s="140"/>
    </row>
    <row r="28" spans="1:41" ht="15.5" customHeight="1" x14ac:dyDescent="0.25">
      <c r="A28" s="187"/>
      <c r="B28" s="188"/>
      <c r="C28" s="284">
        <v>11</v>
      </c>
      <c r="D28" s="285"/>
      <c r="E28" s="286"/>
      <c r="F28" s="270" t="s">
        <v>214</v>
      </c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92" t="s">
        <v>248</v>
      </c>
      <c r="W28" s="293"/>
      <c r="X28" s="293"/>
      <c r="Y28" s="293"/>
      <c r="Z28" s="293"/>
      <c r="AA28" s="260"/>
      <c r="AB28" s="261"/>
      <c r="AC28" s="261"/>
      <c r="AD28" s="261"/>
      <c r="AE28" s="262"/>
      <c r="AF28" s="261"/>
      <c r="AG28" s="261"/>
      <c r="AH28" s="261"/>
      <c r="AI28" s="261"/>
      <c r="AJ28" s="261"/>
      <c r="AK28" s="283" t="e">
        <f t="shared" si="1"/>
        <v>#VALUE!</v>
      </c>
      <c r="AL28" s="139"/>
      <c r="AM28" s="139"/>
      <c r="AN28" s="139"/>
      <c r="AO28" s="140"/>
    </row>
    <row r="29" spans="1:41" ht="15.75" customHeight="1" thickBot="1" x14ac:dyDescent="0.3">
      <c r="A29" s="290"/>
      <c r="B29" s="291"/>
      <c r="C29" s="249">
        <v>12</v>
      </c>
      <c r="D29" s="250"/>
      <c r="E29" s="251"/>
      <c r="F29" s="198" t="s">
        <v>215</v>
      </c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292" t="s">
        <v>249</v>
      </c>
      <c r="W29" s="293"/>
      <c r="X29" s="293"/>
      <c r="Y29" s="293"/>
      <c r="Z29" s="293"/>
      <c r="AA29" s="294"/>
      <c r="AB29" s="295"/>
      <c r="AC29" s="295"/>
      <c r="AD29" s="295"/>
      <c r="AE29" s="296"/>
      <c r="AF29" s="261"/>
      <c r="AG29" s="261"/>
      <c r="AH29" s="261"/>
      <c r="AI29" s="261"/>
      <c r="AJ29" s="261"/>
      <c r="AK29" s="287" t="e">
        <f t="shared" si="1"/>
        <v>#VALUE!</v>
      </c>
      <c r="AL29" s="288"/>
      <c r="AM29" s="288"/>
      <c r="AN29" s="288"/>
      <c r="AO29" s="289"/>
    </row>
    <row r="30" spans="1:41" ht="15.75" customHeight="1" thickBot="1" x14ac:dyDescent="0.3">
      <c r="A30" s="203"/>
      <c r="B30" s="204"/>
      <c r="C30" s="210">
        <v>2</v>
      </c>
      <c r="D30" s="211"/>
      <c r="E30" s="212"/>
      <c r="F30" s="189" t="s">
        <v>65</v>
      </c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1"/>
      <c r="V30" s="254" t="e">
        <f>+V36+V31</f>
        <v>#VALUE!</v>
      </c>
      <c r="W30" s="255"/>
      <c r="X30" s="255"/>
      <c r="Y30" s="255"/>
      <c r="Z30" s="256"/>
      <c r="AA30" s="254">
        <f>+AA31+AA36</f>
        <v>0</v>
      </c>
      <c r="AB30" s="255"/>
      <c r="AC30" s="255"/>
      <c r="AD30" s="255"/>
      <c r="AE30" s="256"/>
      <c r="AF30" s="254">
        <f>+AF31+AF36</f>
        <v>0</v>
      </c>
      <c r="AG30" s="255"/>
      <c r="AH30" s="255"/>
      <c r="AI30" s="255"/>
      <c r="AJ30" s="256"/>
      <c r="AK30" s="254" t="e">
        <f t="shared" ref="AK30:AK40" si="2">+AA30+AF30-V30</f>
        <v>#VALUE!</v>
      </c>
      <c r="AL30" s="255"/>
      <c r="AM30" s="255"/>
      <c r="AN30" s="255"/>
      <c r="AO30" s="256"/>
    </row>
    <row r="31" spans="1:41" ht="15.75" customHeight="1" x14ac:dyDescent="0.25">
      <c r="A31" s="270"/>
      <c r="B31" s="269"/>
      <c r="C31" s="311">
        <v>20</v>
      </c>
      <c r="D31" s="312"/>
      <c r="E31" s="313"/>
      <c r="F31" s="269" t="s">
        <v>164</v>
      </c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42">
        <f>V32+V33+V34+V35</f>
        <v>0</v>
      </c>
      <c r="W31" s="243"/>
      <c r="X31" s="243"/>
      <c r="Y31" s="243"/>
      <c r="Z31" s="243"/>
      <c r="AA31" s="297">
        <f>AA32+AA33+AA34+AA35</f>
        <v>0</v>
      </c>
      <c r="AB31" s="298"/>
      <c r="AC31" s="298"/>
      <c r="AD31" s="298"/>
      <c r="AE31" s="299"/>
      <c r="AF31" s="297">
        <f>AF32+AF33+AF34+AF35</f>
        <v>0</v>
      </c>
      <c r="AG31" s="298"/>
      <c r="AH31" s="298"/>
      <c r="AI31" s="298"/>
      <c r="AJ31" s="299"/>
      <c r="AK31" s="243">
        <f t="shared" si="2"/>
        <v>0</v>
      </c>
      <c r="AL31" s="243"/>
      <c r="AM31" s="243"/>
      <c r="AN31" s="243"/>
      <c r="AO31" s="244"/>
    </row>
    <row r="32" spans="1:41" ht="15.75" customHeight="1" x14ac:dyDescent="0.25">
      <c r="A32" s="187"/>
      <c r="B32" s="188"/>
      <c r="C32" s="266">
        <v>201</v>
      </c>
      <c r="D32" s="267"/>
      <c r="E32" s="268"/>
      <c r="F32" s="238" t="s">
        <v>226</v>
      </c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42"/>
      <c r="W32" s="243"/>
      <c r="X32" s="243"/>
      <c r="Y32" s="243"/>
      <c r="Z32" s="243"/>
      <c r="AA32" s="37"/>
      <c r="AB32" s="23"/>
      <c r="AC32" s="23"/>
      <c r="AD32" s="23"/>
      <c r="AE32" s="38"/>
      <c r="AF32" s="37"/>
      <c r="AG32" s="23"/>
      <c r="AH32" s="23"/>
      <c r="AI32" s="23"/>
      <c r="AJ32" s="38"/>
      <c r="AK32" s="252">
        <f t="shared" si="2"/>
        <v>0</v>
      </c>
      <c r="AL32" s="248"/>
      <c r="AM32" s="248"/>
      <c r="AN32" s="248"/>
      <c r="AO32" s="253"/>
    </row>
    <row r="33" spans="1:41" ht="15.75" customHeight="1" x14ac:dyDescent="0.25">
      <c r="A33" s="187"/>
      <c r="B33" s="188"/>
      <c r="C33" s="266">
        <v>202</v>
      </c>
      <c r="D33" s="267"/>
      <c r="E33" s="268"/>
      <c r="F33" s="238" t="s">
        <v>227</v>
      </c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42"/>
      <c r="W33" s="243"/>
      <c r="X33" s="243"/>
      <c r="Y33" s="243"/>
      <c r="Z33" s="243"/>
      <c r="AA33" s="37"/>
      <c r="AB33" s="23"/>
      <c r="AC33" s="23"/>
      <c r="AD33" s="23"/>
      <c r="AE33" s="38"/>
      <c r="AF33" s="37"/>
      <c r="AG33" s="23"/>
      <c r="AH33" s="23"/>
      <c r="AI33" s="23"/>
      <c r="AJ33" s="38"/>
      <c r="AK33" s="252">
        <f t="shared" si="2"/>
        <v>0</v>
      </c>
      <c r="AL33" s="248"/>
      <c r="AM33" s="248"/>
      <c r="AN33" s="248"/>
      <c r="AO33" s="253"/>
    </row>
    <row r="34" spans="1:41" ht="15.75" customHeight="1" x14ac:dyDescent="0.25">
      <c r="A34" s="187"/>
      <c r="B34" s="188"/>
      <c r="C34" s="266">
        <v>203</v>
      </c>
      <c r="D34" s="267"/>
      <c r="E34" s="268"/>
      <c r="F34" s="238" t="s">
        <v>228</v>
      </c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42"/>
      <c r="W34" s="243"/>
      <c r="X34" s="243"/>
      <c r="Y34" s="243"/>
      <c r="Z34" s="243"/>
      <c r="AA34" s="37"/>
      <c r="AB34" s="23"/>
      <c r="AC34" s="23"/>
      <c r="AD34" s="23"/>
      <c r="AE34" s="38"/>
      <c r="AF34" s="37"/>
      <c r="AG34" s="23"/>
      <c r="AH34" s="23"/>
      <c r="AI34" s="23"/>
      <c r="AJ34" s="38"/>
      <c r="AK34" s="252">
        <f t="shared" si="2"/>
        <v>0</v>
      </c>
      <c r="AL34" s="248"/>
      <c r="AM34" s="248"/>
      <c r="AN34" s="248"/>
      <c r="AO34" s="253"/>
    </row>
    <row r="35" spans="1:41" ht="15.75" customHeight="1" x14ac:dyDescent="0.25">
      <c r="A35" s="270"/>
      <c r="B35" s="269"/>
      <c r="C35" s="266">
        <v>208</v>
      </c>
      <c r="D35" s="267"/>
      <c r="E35" s="268"/>
      <c r="F35" s="238" t="s">
        <v>229</v>
      </c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42"/>
      <c r="W35" s="243"/>
      <c r="X35" s="243"/>
      <c r="Y35" s="243"/>
      <c r="Z35" s="243"/>
      <c r="AA35" s="37"/>
      <c r="AB35" s="23"/>
      <c r="AC35" s="23"/>
      <c r="AD35" s="23"/>
      <c r="AE35" s="38"/>
      <c r="AF35" s="37"/>
      <c r="AG35" s="23"/>
      <c r="AH35" s="23"/>
      <c r="AI35" s="23"/>
      <c r="AJ35" s="38"/>
      <c r="AK35" s="252">
        <f t="shared" si="2"/>
        <v>0</v>
      </c>
      <c r="AL35" s="248"/>
      <c r="AM35" s="248"/>
      <c r="AN35" s="248"/>
      <c r="AO35" s="253"/>
    </row>
    <row r="36" spans="1:41" ht="15.75" customHeight="1" x14ac:dyDescent="0.25">
      <c r="A36" s="270"/>
      <c r="B36" s="269"/>
      <c r="C36" s="314">
        <v>21</v>
      </c>
      <c r="D36" s="315"/>
      <c r="E36" s="316"/>
      <c r="F36" s="199" t="s">
        <v>213</v>
      </c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242" t="e">
        <f>V37+V38+V39+V40</f>
        <v>#VALUE!</v>
      </c>
      <c r="W36" s="243"/>
      <c r="X36" s="243"/>
      <c r="Y36" s="243"/>
      <c r="Z36" s="243"/>
      <c r="AA36" s="242">
        <f>AA37+AA38+AA39+AA40</f>
        <v>0</v>
      </c>
      <c r="AB36" s="243"/>
      <c r="AC36" s="243"/>
      <c r="AD36" s="243"/>
      <c r="AE36" s="244"/>
      <c r="AF36" s="242">
        <f>AF37+AF38+AF39+AF40</f>
        <v>0</v>
      </c>
      <c r="AG36" s="243"/>
      <c r="AH36" s="243"/>
      <c r="AI36" s="243"/>
      <c r="AJ36" s="244"/>
      <c r="AK36" s="243" t="e">
        <f t="shared" si="2"/>
        <v>#VALUE!</v>
      </c>
      <c r="AL36" s="243"/>
      <c r="AM36" s="243"/>
      <c r="AN36" s="243"/>
      <c r="AO36" s="244"/>
    </row>
    <row r="37" spans="1:41" ht="15.75" customHeight="1" x14ac:dyDescent="0.25">
      <c r="A37" s="270"/>
      <c r="B37" s="269"/>
      <c r="C37" s="266">
        <v>211</v>
      </c>
      <c r="D37" s="267"/>
      <c r="E37" s="268"/>
      <c r="F37" s="238" t="s">
        <v>230</v>
      </c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47" t="s">
        <v>244</v>
      </c>
      <c r="W37" s="248"/>
      <c r="X37" s="248"/>
      <c r="Y37" s="248"/>
      <c r="Z37" s="248"/>
      <c r="AA37" s="37"/>
      <c r="AB37" s="23"/>
      <c r="AC37" s="23"/>
      <c r="AD37" s="23"/>
      <c r="AE37" s="38"/>
      <c r="AF37" s="39"/>
      <c r="AG37" s="25"/>
      <c r="AH37" s="25"/>
      <c r="AI37" s="25"/>
      <c r="AJ37" s="26"/>
      <c r="AK37" s="252" t="e">
        <f t="shared" si="2"/>
        <v>#VALUE!</v>
      </c>
      <c r="AL37" s="248"/>
      <c r="AM37" s="248"/>
      <c r="AN37" s="248"/>
      <c r="AO37" s="253"/>
    </row>
    <row r="38" spans="1:41" ht="15.75" customHeight="1" x14ac:dyDescent="0.25">
      <c r="A38" s="135"/>
      <c r="B38" s="136"/>
      <c r="C38" s="266">
        <v>212</v>
      </c>
      <c r="D38" s="267"/>
      <c r="E38" s="268"/>
      <c r="F38" s="238" t="s">
        <v>231</v>
      </c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47" t="s">
        <v>245</v>
      </c>
      <c r="W38" s="248"/>
      <c r="X38" s="248"/>
      <c r="Y38" s="248"/>
      <c r="Z38" s="248"/>
      <c r="AA38" s="37"/>
      <c r="AB38" s="23"/>
      <c r="AC38" s="23"/>
      <c r="AD38" s="23"/>
      <c r="AE38" s="38"/>
      <c r="AF38" s="39"/>
      <c r="AG38" s="25"/>
      <c r="AH38" s="25"/>
      <c r="AI38" s="25"/>
      <c r="AJ38" s="26"/>
      <c r="AK38" s="252" t="e">
        <f t="shared" si="2"/>
        <v>#VALUE!</v>
      </c>
      <c r="AL38" s="248"/>
      <c r="AM38" s="248"/>
      <c r="AN38" s="248"/>
      <c r="AO38" s="253"/>
    </row>
    <row r="39" spans="1:41" ht="15.75" customHeight="1" x14ac:dyDescent="0.25">
      <c r="A39" s="269"/>
      <c r="B39" s="269"/>
      <c r="C39" s="266">
        <v>213</v>
      </c>
      <c r="D39" s="267"/>
      <c r="E39" s="268"/>
      <c r="F39" s="238" t="s">
        <v>232</v>
      </c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47" t="s">
        <v>246</v>
      </c>
      <c r="W39" s="248"/>
      <c r="X39" s="248"/>
      <c r="Y39" s="248"/>
      <c r="Z39" s="248"/>
      <c r="AA39" s="37"/>
      <c r="AB39" s="23"/>
      <c r="AC39" s="23"/>
      <c r="AD39" s="23"/>
      <c r="AE39" s="38"/>
      <c r="AF39" s="39"/>
      <c r="AG39" s="25"/>
      <c r="AH39" s="25"/>
      <c r="AI39" s="25"/>
      <c r="AJ39" s="26"/>
      <c r="AK39" s="252" t="e">
        <f t="shared" si="2"/>
        <v>#VALUE!</v>
      </c>
      <c r="AL39" s="248"/>
      <c r="AM39" s="248"/>
      <c r="AN39" s="248"/>
      <c r="AO39" s="253"/>
    </row>
    <row r="40" spans="1:41" ht="15.75" customHeight="1" thickBot="1" x14ac:dyDescent="0.3">
      <c r="A40" s="272"/>
      <c r="B40" s="272"/>
      <c r="C40" s="273">
        <v>214</v>
      </c>
      <c r="D40" s="274"/>
      <c r="E40" s="275"/>
      <c r="F40" s="271" t="s">
        <v>233</v>
      </c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47" t="s">
        <v>247</v>
      </c>
      <c r="W40" s="248"/>
      <c r="X40" s="248"/>
      <c r="Y40" s="248"/>
      <c r="Z40" s="248"/>
      <c r="AA40" s="41"/>
      <c r="AB40" s="42"/>
      <c r="AC40" s="42"/>
      <c r="AD40" s="42"/>
      <c r="AE40" s="43"/>
      <c r="AF40" s="44"/>
      <c r="AG40" s="45"/>
      <c r="AH40" s="45"/>
      <c r="AI40" s="45"/>
      <c r="AJ40" s="46"/>
      <c r="AK40" s="252" t="e">
        <f t="shared" si="2"/>
        <v>#VALUE!</v>
      </c>
      <c r="AL40" s="248"/>
      <c r="AM40" s="248"/>
      <c r="AN40" s="248"/>
      <c r="AO40" s="253"/>
    </row>
    <row r="41" spans="1:41" x14ac:dyDescent="0.25">
      <c r="A41" s="153" t="s">
        <v>68</v>
      </c>
      <c r="B41" s="154"/>
      <c r="C41" s="214"/>
      <c r="D41" s="214"/>
      <c r="E41" s="21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5"/>
    </row>
    <row r="42" spans="1:41" ht="13" thickBot="1" x14ac:dyDescent="0.3">
      <c r="A42" s="156" t="s">
        <v>5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8"/>
    </row>
    <row r="43" spans="1:4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9"/>
    </row>
    <row r="44" spans="1:41" x14ac:dyDescent="0.25">
      <c r="A44" s="10"/>
      <c r="B44" s="11" t="s">
        <v>66</v>
      </c>
      <c r="C44" s="160"/>
      <c r="D44" s="160"/>
      <c r="E44" s="160"/>
      <c r="F44" s="160"/>
      <c r="G44" s="160"/>
      <c r="H44" s="160"/>
      <c r="I44" s="160"/>
      <c r="J44" s="161"/>
      <c r="K44" s="11"/>
      <c r="L44" s="11"/>
      <c r="M44" s="11"/>
      <c r="N44" s="11"/>
      <c r="O44" s="139" t="s">
        <v>260</v>
      </c>
      <c r="P44" s="139"/>
      <c r="Q44" s="139"/>
      <c r="R44" s="139"/>
      <c r="S44" s="139"/>
      <c r="T44" s="159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1"/>
      <c r="AG44" s="11"/>
      <c r="AH44" s="11"/>
      <c r="AI44" s="11"/>
      <c r="AJ44" s="11"/>
      <c r="AK44" s="11"/>
      <c r="AL44" s="11"/>
      <c r="AM44" s="11"/>
      <c r="AN44" s="11"/>
      <c r="AO44" s="12"/>
    </row>
    <row r="45" spans="1:41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2"/>
    </row>
    <row r="46" spans="1:41" x14ac:dyDescent="0.25">
      <c r="A46" s="10"/>
      <c r="B46" s="11"/>
      <c r="C46" s="11"/>
      <c r="D46" s="11"/>
      <c r="E46" s="11"/>
      <c r="F46" s="13" t="s">
        <v>26</v>
      </c>
      <c r="G46" s="13" t="s">
        <v>26</v>
      </c>
      <c r="H46" s="13" t="s">
        <v>26</v>
      </c>
      <c r="I46" s="13" t="s">
        <v>26</v>
      </c>
      <c r="J46" s="13" t="s">
        <v>55</v>
      </c>
      <c r="K46" s="13" t="s">
        <v>55</v>
      </c>
      <c r="L46" s="13" t="s">
        <v>53</v>
      </c>
      <c r="M46" s="13" t="s">
        <v>53</v>
      </c>
      <c r="N46" s="11"/>
      <c r="O46" s="11"/>
      <c r="P46" s="11"/>
      <c r="Q46" s="11"/>
      <c r="R46" s="13"/>
      <c r="S46" s="13"/>
      <c r="T46" s="13"/>
      <c r="U46" s="13"/>
      <c r="V46" s="13"/>
      <c r="W46" s="11"/>
      <c r="X46" s="13"/>
      <c r="Y46" s="11"/>
      <c r="Z46" s="11"/>
      <c r="AA46" s="13" t="s">
        <v>26</v>
      </c>
      <c r="AB46" s="13" t="s">
        <v>26</v>
      </c>
      <c r="AC46" s="13"/>
      <c r="AD46" s="11"/>
      <c r="AE46" s="11"/>
      <c r="AF46" s="11"/>
      <c r="AG46" s="11"/>
      <c r="AH46" s="11"/>
      <c r="AI46" s="11"/>
      <c r="AJ46" s="13">
        <v>0</v>
      </c>
      <c r="AK46" s="11"/>
      <c r="AL46" s="11"/>
      <c r="AM46" s="11"/>
      <c r="AN46" s="11"/>
      <c r="AO46" s="12"/>
    </row>
    <row r="47" spans="1:41" x14ac:dyDescent="0.25">
      <c r="A47" s="10"/>
      <c r="B47" s="11"/>
      <c r="C47" s="11"/>
      <c r="D47" s="11"/>
      <c r="E47" s="11"/>
      <c r="F47" s="168" t="s">
        <v>60</v>
      </c>
      <c r="G47" s="168"/>
      <c r="H47" s="168"/>
      <c r="I47" s="168"/>
      <c r="J47" s="168"/>
      <c r="K47" s="168"/>
      <c r="L47" s="168"/>
      <c r="M47" s="168"/>
      <c r="N47" s="14"/>
      <c r="O47" s="11"/>
      <c r="P47" s="11"/>
      <c r="Q47" s="11"/>
      <c r="R47" s="11"/>
      <c r="S47" s="11"/>
      <c r="T47" s="15" t="s">
        <v>61</v>
      </c>
      <c r="U47" s="15"/>
      <c r="V47" s="11"/>
      <c r="W47" s="11"/>
      <c r="X47" s="11" t="s">
        <v>67</v>
      </c>
      <c r="Y47" s="11"/>
      <c r="Z47" s="11"/>
      <c r="AA47" s="11"/>
      <c r="AB47" s="14" t="s">
        <v>58</v>
      </c>
      <c r="AC47" s="11"/>
      <c r="AD47" s="11"/>
      <c r="AE47" s="11"/>
      <c r="AF47" s="11"/>
      <c r="AG47" s="11"/>
      <c r="AH47" s="11"/>
      <c r="AI47" s="11"/>
      <c r="AJ47" s="15" t="s">
        <v>54</v>
      </c>
      <c r="AK47" s="11"/>
      <c r="AL47" s="11"/>
      <c r="AM47" s="11"/>
      <c r="AN47" s="11"/>
      <c r="AO47" s="12"/>
    </row>
    <row r="48" spans="1:41" ht="13" thickBot="1" x14ac:dyDescent="0.3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8"/>
    </row>
    <row r="49" spans="1:41" ht="15.75" customHeight="1" thickBot="1" x14ac:dyDescent="0.3">
      <c r="A49" s="172" t="s">
        <v>270</v>
      </c>
      <c r="B49" s="173"/>
      <c r="C49" s="162" t="s">
        <v>165</v>
      </c>
      <c r="D49" s="163"/>
      <c r="E49" s="164"/>
      <c r="F49" s="162" t="s">
        <v>8</v>
      </c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4"/>
      <c r="V49" s="297" t="s">
        <v>0</v>
      </c>
      <c r="W49" s="298"/>
      <c r="X49" s="298"/>
      <c r="Y49" s="298"/>
      <c r="Z49" s="299"/>
      <c r="AA49" s="234" t="s">
        <v>223</v>
      </c>
      <c r="AB49" s="235"/>
      <c r="AC49" s="235"/>
      <c r="AD49" s="235"/>
      <c r="AE49" s="235"/>
      <c r="AF49" s="235"/>
      <c r="AG49" s="235"/>
      <c r="AH49" s="235"/>
      <c r="AI49" s="235"/>
      <c r="AJ49" s="236"/>
      <c r="AK49" s="162" t="s">
        <v>224</v>
      </c>
      <c r="AL49" s="163"/>
      <c r="AM49" s="163"/>
      <c r="AN49" s="163"/>
      <c r="AO49" s="164"/>
    </row>
    <row r="50" spans="1:41" ht="15.75" customHeight="1" thickBot="1" x14ac:dyDescent="0.3">
      <c r="A50" s="174"/>
      <c r="B50" s="175"/>
      <c r="C50" s="169"/>
      <c r="D50" s="170"/>
      <c r="E50" s="171"/>
      <c r="F50" s="169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1"/>
      <c r="V50" s="302"/>
      <c r="W50" s="303"/>
      <c r="X50" s="303"/>
      <c r="Y50" s="303"/>
      <c r="Z50" s="304"/>
      <c r="AA50" s="234" t="s">
        <v>3</v>
      </c>
      <c r="AB50" s="235"/>
      <c r="AC50" s="235"/>
      <c r="AD50" s="235"/>
      <c r="AE50" s="236"/>
      <c r="AF50" s="234" t="s">
        <v>59</v>
      </c>
      <c r="AG50" s="235"/>
      <c r="AH50" s="235"/>
      <c r="AI50" s="235"/>
      <c r="AJ50" s="236"/>
      <c r="AK50" s="165"/>
      <c r="AL50" s="166"/>
      <c r="AM50" s="166"/>
      <c r="AN50" s="166"/>
      <c r="AO50" s="167"/>
    </row>
    <row r="51" spans="1:41" ht="15.75" customHeight="1" thickBot="1" x14ac:dyDescent="0.3">
      <c r="A51" s="176"/>
      <c r="B51" s="177"/>
      <c r="C51" s="165"/>
      <c r="D51" s="166"/>
      <c r="E51" s="167"/>
      <c r="F51" s="165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7"/>
      <c r="V51" s="254">
        <v>1</v>
      </c>
      <c r="W51" s="255"/>
      <c r="X51" s="255"/>
      <c r="Y51" s="255"/>
      <c r="Z51" s="256"/>
      <c r="AA51" s="254">
        <v>2</v>
      </c>
      <c r="AB51" s="255"/>
      <c r="AC51" s="255"/>
      <c r="AD51" s="255"/>
      <c r="AE51" s="256"/>
      <c r="AF51" s="254">
        <v>3</v>
      </c>
      <c r="AG51" s="255"/>
      <c r="AH51" s="255"/>
      <c r="AI51" s="255"/>
      <c r="AJ51" s="256"/>
      <c r="AK51" s="254">
        <v>4</v>
      </c>
      <c r="AL51" s="255"/>
      <c r="AM51" s="255"/>
      <c r="AN51" s="255"/>
      <c r="AO51" s="256"/>
    </row>
    <row r="52" spans="1:41" ht="15" customHeight="1" thickBot="1" x14ac:dyDescent="0.3">
      <c r="A52" s="318"/>
      <c r="B52" s="319"/>
      <c r="C52" s="323">
        <v>3</v>
      </c>
      <c r="D52" s="324"/>
      <c r="E52" s="325"/>
      <c r="F52" s="320" t="s">
        <v>116</v>
      </c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2"/>
      <c r="V52" s="254" t="e">
        <f>V53+V54+V55+V56</f>
        <v>#VALUE!</v>
      </c>
      <c r="W52" s="255"/>
      <c r="X52" s="255"/>
      <c r="Y52" s="255"/>
      <c r="Z52" s="256"/>
      <c r="AA52" s="254">
        <f>AA53+AA54+AA55+AA56</f>
        <v>0</v>
      </c>
      <c r="AB52" s="255"/>
      <c r="AC52" s="255"/>
      <c r="AD52" s="255"/>
      <c r="AE52" s="256"/>
      <c r="AF52" s="254">
        <f>AF53+AF54+AF55+AF56</f>
        <v>0</v>
      </c>
      <c r="AG52" s="255"/>
      <c r="AH52" s="255"/>
      <c r="AI52" s="255"/>
      <c r="AJ52" s="256"/>
      <c r="AK52" s="254" t="e">
        <f t="shared" ref="AK52:AK57" si="3">+AA52+AF52-V52</f>
        <v>#VALUE!</v>
      </c>
      <c r="AL52" s="255"/>
      <c r="AM52" s="255"/>
      <c r="AN52" s="255"/>
      <c r="AO52" s="256"/>
    </row>
    <row r="53" spans="1:41" ht="15" customHeight="1" x14ac:dyDescent="0.25">
      <c r="A53" s="187"/>
      <c r="B53" s="188"/>
      <c r="C53" s="280">
        <v>30</v>
      </c>
      <c r="D53" s="281"/>
      <c r="E53" s="282"/>
      <c r="F53" s="278" t="s">
        <v>166</v>
      </c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138" t="s">
        <v>250</v>
      </c>
      <c r="W53" s="139"/>
      <c r="X53" s="139"/>
      <c r="Y53" s="139"/>
      <c r="Z53" s="140"/>
      <c r="AA53" s="257"/>
      <c r="AB53" s="258"/>
      <c r="AC53" s="258"/>
      <c r="AD53" s="258"/>
      <c r="AE53" s="259"/>
      <c r="AF53" s="276"/>
      <c r="AG53" s="277"/>
      <c r="AH53" s="277"/>
      <c r="AI53" s="277"/>
      <c r="AJ53" s="277"/>
      <c r="AK53" s="257" t="e">
        <f t="shared" si="3"/>
        <v>#VALUE!</v>
      </c>
      <c r="AL53" s="258"/>
      <c r="AM53" s="258"/>
      <c r="AN53" s="258"/>
      <c r="AO53" s="259"/>
    </row>
    <row r="54" spans="1:41" ht="15" customHeight="1" x14ac:dyDescent="0.25">
      <c r="A54" s="187"/>
      <c r="B54" s="188"/>
      <c r="C54" s="280">
        <v>31</v>
      </c>
      <c r="D54" s="281"/>
      <c r="E54" s="282"/>
      <c r="F54" s="278" t="s">
        <v>167</v>
      </c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138" t="s">
        <v>251</v>
      </c>
      <c r="W54" s="139"/>
      <c r="X54" s="139"/>
      <c r="Y54" s="139"/>
      <c r="Z54" s="140"/>
      <c r="AA54" s="260"/>
      <c r="AB54" s="261"/>
      <c r="AC54" s="261"/>
      <c r="AD54" s="261"/>
      <c r="AE54" s="262"/>
      <c r="AF54" s="260"/>
      <c r="AG54" s="261"/>
      <c r="AH54" s="261"/>
      <c r="AI54" s="261"/>
      <c r="AJ54" s="261"/>
      <c r="AK54" s="260" t="e">
        <f t="shared" si="3"/>
        <v>#VALUE!</v>
      </c>
      <c r="AL54" s="261"/>
      <c r="AM54" s="261"/>
      <c r="AN54" s="261"/>
      <c r="AO54" s="262"/>
    </row>
    <row r="55" spans="1:41" ht="15" customHeight="1" x14ac:dyDescent="0.25">
      <c r="A55" s="187"/>
      <c r="B55" s="188"/>
      <c r="C55" s="280">
        <v>32</v>
      </c>
      <c r="D55" s="281"/>
      <c r="E55" s="282"/>
      <c r="F55" s="278" t="s">
        <v>168</v>
      </c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138" t="s">
        <v>252</v>
      </c>
      <c r="W55" s="139"/>
      <c r="X55" s="139"/>
      <c r="Y55" s="139"/>
      <c r="Z55" s="140"/>
      <c r="AA55" s="260"/>
      <c r="AB55" s="261"/>
      <c r="AC55" s="261"/>
      <c r="AD55" s="261"/>
      <c r="AE55" s="262"/>
      <c r="AF55" s="138"/>
      <c r="AG55" s="139"/>
      <c r="AH55" s="139"/>
      <c r="AI55" s="139"/>
      <c r="AJ55" s="139"/>
      <c r="AK55" s="260" t="e">
        <f t="shared" si="3"/>
        <v>#VALUE!</v>
      </c>
      <c r="AL55" s="261"/>
      <c r="AM55" s="261"/>
      <c r="AN55" s="261"/>
      <c r="AO55" s="262"/>
    </row>
    <row r="56" spans="1:41" ht="15" customHeight="1" thickBot="1" x14ac:dyDescent="0.3">
      <c r="A56" s="187"/>
      <c r="B56" s="188"/>
      <c r="C56" s="280">
        <v>33</v>
      </c>
      <c r="D56" s="281"/>
      <c r="E56" s="282"/>
      <c r="F56" s="278" t="s">
        <v>169</v>
      </c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138" t="s">
        <v>253</v>
      </c>
      <c r="W56" s="139"/>
      <c r="X56" s="139"/>
      <c r="Y56" s="139"/>
      <c r="Z56" s="140"/>
      <c r="AA56" s="260"/>
      <c r="AB56" s="261"/>
      <c r="AC56" s="261"/>
      <c r="AD56" s="261"/>
      <c r="AE56" s="262"/>
      <c r="AF56" s="138"/>
      <c r="AG56" s="139"/>
      <c r="AH56" s="139"/>
      <c r="AI56" s="139"/>
      <c r="AJ56" s="139"/>
      <c r="AK56" s="260" t="e">
        <f t="shared" si="3"/>
        <v>#VALUE!</v>
      </c>
      <c r="AL56" s="261"/>
      <c r="AM56" s="261"/>
      <c r="AN56" s="261"/>
      <c r="AO56" s="262"/>
    </row>
    <row r="57" spans="1:41" ht="15" customHeight="1" thickBot="1" x14ac:dyDescent="0.3">
      <c r="A57" s="203"/>
      <c r="B57" s="204"/>
      <c r="C57" s="263">
        <v>4</v>
      </c>
      <c r="D57" s="264"/>
      <c r="E57" s="265"/>
      <c r="F57" s="336" t="s">
        <v>218</v>
      </c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8"/>
      <c r="V57" s="254" t="e">
        <f>V58+V59+V60+V61+V62</f>
        <v>#VALUE!</v>
      </c>
      <c r="W57" s="255"/>
      <c r="X57" s="255"/>
      <c r="Y57" s="255"/>
      <c r="Z57" s="256"/>
      <c r="AA57" s="254">
        <f>AA58+AA59+AA60+AA61+AA62</f>
        <v>0</v>
      </c>
      <c r="AB57" s="255"/>
      <c r="AC57" s="255"/>
      <c r="AD57" s="255"/>
      <c r="AE57" s="256"/>
      <c r="AF57" s="254">
        <f>AF58+AF59+AF60+AF61+AF62</f>
        <v>0</v>
      </c>
      <c r="AG57" s="255"/>
      <c r="AH57" s="255"/>
      <c r="AI57" s="255"/>
      <c r="AJ57" s="256"/>
      <c r="AK57" s="254" t="e">
        <f t="shared" si="3"/>
        <v>#VALUE!</v>
      </c>
      <c r="AL57" s="255"/>
      <c r="AM57" s="255"/>
      <c r="AN57" s="255"/>
      <c r="AO57" s="256"/>
    </row>
    <row r="58" spans="1:41" x14ac:dyDescent="0.25">
      <c r="A58" s="201"/>
      <c r="B58" s="202"/>
      <c r="C58" s="330">
        <v>40</v>
      </c>
      <c r="D58" s="331"/>
      <c r="E58" s="332"/>
      <c r="F58" s="333" t="s">
        <v>170</v>
      </c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  <c r="T58" s="334"/>
      <c r="U58" s="335"/>
      <c r="V58" s="138" t="s">
        <v>258</v>
      </c>
      <c r="W58" s="139"/>
      <c r="X58" s="139"/>
      <c r="Y58" s="139"/>
      <c r="Z58" s="139"/>
      <c r="AA58" s="260"/>
      <c r="AB58" s="317"/>
      <c r="AC58" s="317"/>
      <c r="AD58" s="317"/>
      <c r="AE58" s="262"/>
      <c r="AF58" s="138"/>
      <c r="AG58" s="139"/>
      <c r="AH58" s="139"/>
      <c r="AI58" s="139"/>
      <c r="AJ58" s="140"/>
      <c r="AK58" s="317" t="e">
        <f>AA58+AF58-V58</f>
        <v>#VALUE!</v>
      </c>
      <c r="AL58" s="317"/>
      <c r="AM58" s="317"/>
      <c r="AN58" s="317"/>
      <c r="AO58" s="317"/>
    </row>
    <row r="59" spans="1:41" ht="15" customHeight="1" x14ac:dyDescent="0.25">
      <c r="A59" s="201"/>
      <c r="B59" s="202"/>
      <c r="C59" s="330">
        <v>41</v>
      </c>
      <c r="D59" s="331"/>
      <c r="E59" s="332"/>
      <c r="F59" s="278" t="s">
        <v>171</v>
      </c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329"/>
      <c r="V59" s="138" t="s">
        <v>257</v>
      </c>
      <c r="W59" s="139"/>
      <c r="X59" s="139"/>
      <c r="Y59" s="139"/>
      <c r="Z59" s="140"/>
      <c r="AA59" s="260"/>
      <c r="AB59" s="261"/>
      <c r="AC59" s="261"/>
      <c r="AD59" s="261"/>
      <c r="AE59" s="262"/>
      <c r="AF59" s="138"/>
      <c r="AG59" s="139"/>
      <c r="AH59" s="139"/>
      <c r="AI59" s="139"/>
      <c r="AJ59" s="140"/>
      <c r="AK59" s="260" t="e">
        <f>+AA59+AF59-V59</f>
        <v>#VALUE!</v>
      </c>
      <c r="AL59" s="317"/>
      <c r="AM59" s="317"/>
      <c r="AN59" s="317"/>
      <c r="AO59" s="317"/>
    </row>
    <row r="60" spans="1:41" ht="15" customHeight="1" x14ac:dyDescent="0.25">
      <c r="A60" s="201"/>
      <c r="B60" s="202"/>
      <c r="C60" s="330">
        <v>42</v>
      </c>
      <c r="D60" s="331"/>
      <c r="E60" s="332"/>
      <c r="F60" s="278" t="s">
        <v>117</v>
      </c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329"/>
      <c r="V60" s="260" t="s">
        <v>254</v>
      </c>
      <c r="W60" s="317"/>
      <c r="X60" s="317"/>
      <c r="Y60" s="317"/>
      <c r="Z60" s="262"/>
      <c r="AA60" s="260"/>
      <c r="AB60" s="317"/>
      <c r="AC60" s="317"/>
      <c r="AD60" s="317"/>
      <c r="AE60" s="262"/>
      <c r="AF60" s="138"/>
      <c r="AG60" s="139"/>
      <c r="AH60" s="139"/>
      <c r="AI60" s="139"/>
      <c r="AJ60" s="140"/>
      <c r="AK60" s="260" t="e">
        <f>+AA60+AF60-V60</f>
        <v>#VALUE!</v>
      </c>
      <c r="AL60" s="317"/>
      <c r="AM60" s="317"/>
      <c r="AN60" s="317"/>
      <c r="AO60" s="317"/>
    </row>
    <row r="61" spans="1:41" ht="15" customHeight="1" x14ac:dyDescent="0.25">
      <c r="A61" s="201"/>
      <c r="B61" s="202"/>
      <c r="C61" s="330">
        <v>43</v>
      </c>
      <c r="D61" s="331"/>
      <c r="E61" s="332"/>
      <c r="F61" s="278" t="s">
        <v>118</v>
      </c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329"/>
      <c r="V61" s="260" t="s">
        <v>255</v>
      </c>
      <c r="W61" s="317"/>
      <c r="X61" s="317"/>
      <c r="Y61" s="317"/>
      <c r="Z61" s="262"/>
      <c r="AA61" s="260"/>
      <c r="AB61" s="317"/>
      <c r="AC61" s="317"/>
      <c r="AD61" s="317"/>
      <c r="AE61" s="262"/>
      <c r="AF61" s="138"/>
      <c r="AG61" s="139"/>
      <c r="AH61" s="139"/>
      <c r="AI61" s="139"/>
      <c r="AJ61" s="140"/>
      <c r="AK61" s="260" t="e">
        <f>+AA61+AF61-V61</f>
        <v>#VALUE!</v>
      </c>
      <c r="AL61" s="317"/>
      <c r="AM61" s="317"/>
      <c r="AN61" s="317"/>
      <c r="AO61" s="317"/>
    </row>
    <row r="62" spans="1:41" ht="15" customHeight="1" thickBot="1" x14ac:dyDescent="0.3">
      <c r="A62" s="201"/>
      <c r="B62" s="202"/>
      <c r="C62" s="330">
        <v>44</v>
      </c>
      <c r="D62" s="331"/>
      <c r="E62" s="332"/>
      <c r="F62" s="278" t="s">
        <v>172</v>
      </c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329"/>
      <c r="V62" s="138" t="s">
        <v>256</v>
      </c>
      <c r="W62" s="139"/>
      <c r="X62" s="139"/>
      <c r="Y62" s="139"/>
      <c r="Z62" s="140"/>
      <c r="AA62" s="260"/>
      <c r="AB62" s="317"/>
      <c r="AC62" s="317"/>
      <c r="AD62" s="317"/>
      <c r="AE62" s="262"/>
      <c r="AF62" s="138"/>
      <c r="AG62" s="139"/>
      <c r="AH62" s="139"/>
      <c r="AI62" s="139"/>
      <c r="AJ62" s="140"/>
      <c r="AK62" s="260" t="e">
        <f>+AA62+AF62-V62</f>
        <v>#VALUE!</v>
      </c>
      <c r="AL62" s="317"/>
      <c r="AM62" s="317"/>
      <c r="AN62" s="317"/>
      <c r="AO62" s="317"/>
    </row>
    <row r="63" spans="1:41" ht="15" customHeight="1" thickBot="1" x14ac:dyDescent="0.3">
      <c r="A63" s="203"/>
      <c r="B63" s="204"/>
      <c r="C63" s="216"/>
      <c r="D63" s="217"/>
      <c r="E63" s="218"/>
      <c r="F63" s="339" t="s">
        <v>263</v>
      </c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1"/>
      <c r="V63" s="254" t="e">
        <f>V57+V52+V30+V12</f>
        <v>#VALUE!</v>
      </c>
      <c r="W63" s="255"/>
      <c r="X63" s="255"/>
      <c r="Y63" s="255"/>
      <c r="Z63" s="256"/>
      <c r="AA63" s="254">
        <f>AA57+AA52+AA30+AA12</f>
        <v>0</v>
      </c>
      <c r="AB63" s="255"/>
      <c r="AC63" s="255"/>
      <c r="AD63" s="255"/>
      <c r="AE63" s="256"/>
      <c r="AF63" s="254">
        <f>AF57+AF52+AF30+AF12</f>
        <v>0</v>
      </c>
      <c r="AG63" s="255"/>
      <c r="AH63" s="255"/>
      <c r="AI63" s="255"/>
      <c r="AJ63" s="256"/>
      <c r="AK63" s="254" t="e">
        <f>AA63+AF63-V63</f>
        <v>#VALUE!</v>
      </c>
      <c r="AL63" s="255"/>
      <c r="AM63" s="255"/>
      <c r="AN63" s="255"/>
      <c r="AO63" s="256"/>
    </row>
    <row r="64" spans="1:41" x14ac:dyDescent="0.25">
      <c r="AA64" s="300"/>
      <c r="AB64" s="301"/>
      <c r="AC64" s="301"/>
      <c r="AD64" s="301"/>
      <c r="AE64" s="301"/>
    </row>
  </sheetData>
  <mergeCells count="289">
    <mergeCell ref="A57:B57"/>
    <mergeCell ref="F57:U57"/>
    <mergeCell ref="V57:Z57"/>
    <mergeCell ref="AA57:AE57"/>
    <mergeCell ref="AF57:AJ57"/>
    <mergeCell ref="C63:E63"/>
    <mergeCell ref="A63:B63"/>
    <mergeCell ref="F63:U63"/>
    <mergeCell ref="V63:Z63"/>
    <mergeCell ref="AA63:AE63"/>
    <mergeCell ref="AF63:AJ63"/>
    <mergeCell ref="AF61:AJ61"/>
    <mergeCell ref="A60:B60"/>
    <mergeCell ref="F60:U60"/>
    <mergeCell ref="V60:Z60"/>
    <mergeCell ref="AA60:AE60"/>
    <mergeCell ref="AF60:AJ60"/>
    <mergeCell ref="C60:E60"/>
    <mergeCell ref="C61:E61"/>
    <mergeCell ref="AA59:AE59"/>
    <mergeCell ref="V59:Z59"/>
    <mergeCell ref="F59:U59"/>
    <mergeCell ref="A59:B59"/>
    <mergeCell ref="C59:E59"/>
    <mergeCell ref="AK63:AO63"/>
    <mergeCell ref="AA15:AE15"/>
    <mergeCell ref="AA16:AE16"/>
    <mergeCell ref="AF28:AJ28"/>
    <mergeCell ref="AF26:AJ26"/>
    <mergeCell ref="C49:E51"/>
    <mergeCell ref="AK62:AO62"/>
    <mergeCell ref="A62:B62"/>
    <mergeCell ref="F62:U62"/>
    <mergeCell ref="V62:Z62"/>
    <mergeCell ref="AA62:AE62"/>
    <mergeCell ref="AF62:AJ62"/>
    <mergeCell ref="A53:B53"/>
    <mergeCell ref="AK60:AO60"/>
    <mergeCell ref="AK61:AO61"/>
    <mergeCell ref="C62:E62"/>
    <mergeCell ref="A61:B61"/>
    <mergeCell ref="F61:U61"/>
    <mergeCell ref="F58:U58"/>
    <mergeCell ref="V58:Z58"/>
    <mergeCell ref="AA58:AE58"/>
    <mergeCell ref="AF58:AJ58"/>
    <mergeCell ref="AK58:AO58"/>
    <mergeCell ref="C58:E58"/>
    <mergeCell ref="AK59:AO59"/>
    <mergeCell ref="V61:Z61"/>
    <mergeCell ref="AA61:AE61"/>
    <mergeCell ref="A41:AO41"/>
    <mergeCell ref="A42:AO42"/>
    <mergeCell ref="C44:J44"/>
    <mergeCell ref="O44:S44"/>
    <mergeCell ref="T44:AF44"/>
    <mergeCell ref="F47:M47"/>
    <mergeCell ref="AK52:AO52"/>
    <mergeCell ref="A54:B54"/>
    <mergeCell ref="F54:U54"/>
    <mergeCell ref="V54:Z54"/>
    <mergeCell ref="AA54:AE54"/>
    <mergeCell ref="AF54:AJ54"/>
    <mergeCell ref="AK54:AO54"/>
    <mergeCell ref="A52:B52"/>
    <mergeCell ref="F52:U52"/>
    <mergeCell ref="V52:Z52"/>
    <mergeCell ref="AA52:AE52"/>
    <mergeCell ref="AF52:AJ52"/>
    <mergeCell ref="C54:E54"/>
    <mergeCell ref="C52:E52"/>
    <mergeCell ref="C53:E53"/>
    <mergeCell ref="F53:U53"/>
    <mergeCell ref="AA53:AE53"/>
    <mergeCell ref="V51:Z51"/>
    <mergeCell ref="AA51:AE51"/>
    <mergeCell ref="AF51:AJ51"/>
    <mergeCell ref="AK51:AO51"/>
    <mergeCell ref="A49:B51"/>
    <mergeCell ref="F49:U51"/>
    <mergeCell ref="V49:Z50"/>
    <mergeCell ref="AA49:AJ49"/>
    <mergeCell ref="AK49:AO50"/>
    <mergeCell ref="AA50:AE50"/>
    <mergeCell ref="AF50:AJ50"/>
    <mergeCell ref="AK31:AO31"/>
    <mergeCell ref="A31:B31"/>
    <mergeCell ref="F31:U31"/>
    <mergeCell ref="V31:Z31"/>
    <mergeCell ref="AA31:AE31"/>
    <mergeCell ref="AF31:AJ31"/>
    <mergeCell ref="C31:E31"/>
    <mergeCell ref="A36:B36"/>
    <mergeCell ref="F36:U36"/>
    <mergeCell ref="V36:Z36"/>
    <mergeCell ref="AA36:AE36"/>
    <mergeCell ref="AF36:AJ36"/>
    <mergeCell ref="AK36:AO36"/>
    <mergeCell ref="C36:E36"/>
    <mergeCell ref="A32:B32"/>
    <mergeCell ref="F32:U32"/>
    <mergeCell ref="C32:E32"/>
    <mergeCell ref="A35:B35"/>
    <mergeCell ref="F35:U35"/>
    <mergeCell ref="C35:E35"/>
    <mergeCell ref="A34:B34"/>
    <mergeCell ref="F34:U34"/>
    <mergeCell ref="A33:B33"/>
    <mergeCell ref="F33:U33"/>
    <mergeCell ref="AF24:AJ24"/>
    <mergeCell ref="AK25:AO25"/>
    <mergeCell ref="A27:B27"/>
    <mergeCell ref="F27:U27"/>
    <mergeCell ref="V27:Z27"/>
    <mergeCell ref="AA27:AE27"/>
    <mergeCell ref="AF27:AJ27"/>
    <mergeCell ref="AK27:AO27"/>
    <mergeCell ref="A25:B25"/>
    <mergeCell ref="F25:U25"/>
    <mergeCell ref="V25:Z25"/>
    <mergeCell ref="AA25:AE25"/>
    <mergeCell ref="AF25:AJ25"/>
    <mergeCell ref="F26:U26"/>
    <mergeCell ref="C25:E25"/>
    <mergeCell ref="C26:E26"/>
    <mergeCell ref="C27:E27"/>
    <mergeCell ref="AK26:AO26"/>
    <mergeCell ref="C12:E12"/>
    <mergeCell ref="C14:E14"/>
    <mergeCell ref="AK12:AO12"/>
    <mergeCell ref="A14:B14"/>
    <mergeCell ref="F14:U14"/>
    <mergeCell ref="A12:B12"/>
    <mergeCell ref="F12:U12"/>
    <mergeCell ref="V12:Z12"/>
    <mergeCell ref="AA12:AE12"/>
    <mergeCell ref="AF12:AJ12"/>
    <mergeCell ref="C13:E13"/>
    <mergeCell ref="A13:B13"/>
    <mergeCell ref="F13:U13"/>
    <mergeCell ref="AF13:AJ13"/>
    <mergeCell ref="AF14:AJ14"/>
    <mergeCell ref="AK14:AO14"/>
    <mergeCell ref="AK13:AO13"/>
    <mergeCell ref="A1:AO1"/>
    <mergeCell ref="A2:AO2"/>
    <mergeCell ref="C4:J4"/>
    <mergeCell ref="O4:S4"/>
    <mergeCell ref="T4:AF4"/>
    <mergeCell ref="F7:M7"/>
    <mergeCell ref="V11:Z11"/>
    <mergeCell ref="AA11:AE11"/>
    <mergeCell ref="AF11:AJ11"/>
    <mergeCell ref="AK11:AO11"/>
    <mergeCell ref="A9:B11"/>
    <mergeCell ref="F9:U11"/>
    <mergeCell ref="V9:Z10"/>
    <mergeCell ref="AA9:AJ9"/>
    <mergeCell ref="AK9:AO10"/>
    <mergeCell ref="AA10:AE10"/>
    <mergeCell ref="AF10:AJ10"/>
    <mergeCell ref="C9:E11"/>
    <mergeCell ref="AJ6:AK6"/>
    <mergeCell ref="AK17:AO17"/>
    <mergeCell ref="A17:B17"/>
    <mergeCell ref="F17:U17"/>
    <mergeCell ref="V17:Z17"/>
    <mergeCell ref="AA17:AE17"/>
    <mergeCell ref="AA64:AE64"/>
    <mergeCell ref="AF17:AJ17"/>
    <mergeCell ref="C17:E17"/>
    <mergeCell ref="AK20:AO20"/>
    <mergeCell ref="A20:B20"/>
    <mergeCell ref="F20:U20"/>
    <mergeCell ref="V20:Z20"/>
    <mergeCell ref="AA20:AE20"/>
    <mergeCell ref="AF20:AJ20"/>
    <mergeCell ref="C20:E20"/>
    <mergeCell ref="A19:B19"/>
    <mergeCell ref="F19:U19"/>
    <mergeCell ref="C19:E19"/>
    <mergeCell ref="F24:U24"/>
    <mergeCell ref="C24:E24"/>
    <mergeCell ref="AK24:AO24"/>
    <mergeCell ref="A24:B24"/>
    <mergeCell ref="A26:B26"/>
    <mergeCell ref="V28:Z28"/>
    <mergeCell ref="AA28:AE28"/>
    <mergeCell ref="V13:Z13"/>
    <mergeCell ref="V26:Z26"/>
    <mergeCell ref="V24:Z24"/>
    <mergeCell ref="AA13:AE13"/>
    <mergeCell ref="AA24:AE24"/>
    <mergeCell ref="AA26:AE26"/>
    <mergeCell ref="V14:Z14"/>
    <mergeCell ref="AA14:AE14"/>
    <mergeCell ref="C56:E56"/>
    <mergeCell ref="AK55:AO55"/>
    <mergeCell ref="A55:B55"/>
    <mergeCell ref="F55:U55"/>
    <mergeCell ref="V55:Z55"/>
    <mergeCell ref="AA55:AE55"/>
    <mergeCell ref="AF55:AJ55"/>
    <mergeCell ref="C55:E55"/>
    <mergeCell ref="AK28:AO28"/>
    <mergeCell ref="A28:B28"/>
    <mergeCell ref="C28:E28"/>
    <mergeCell ref="F28:U28"/>
    <mergeCell ref="AK29:AO29"/>
    <mergeCell ref="A30:B30"/>
    <mergeCell ref="F30:U30"/>
    <mergeCell ref="V30:Z30"/>
    <mergeCell ref="AA30:AE30"/>
    <mergeCell ref="AF30:AJ30"/>
    <mergeCell ref="AK30:AO30"/>
    <mergeCell ref="A29:B29"/>
    <mergeCell ref="F29:U29"/>
    <mergeCell ref="V29:Z29"/>
    <mergeCell ref="AA29:AE29"/>
    <mergeCell ref="AF29:AJ29"/>
    <mergeCell ref="C57:E57"/>
    <mergeCell ref="A58:B58"/>
    <mergeCell ref="AF59:AJ59"/>
    <mergeCell ref="C33:E33"/>
    <mergeCell ref="C34:E34"/>
    <mergeCell ref="A39:B39"/>
    <mergeCell ref="F39:U39"/>
    <mergeCell ref="A37:B37"/>
    <mergeCell ref="F37:U37"/>
    <mergeCell ref="F38:U38"/>
    <mergeCell ref="F40:U40"/>
    <mergeCell ref="A38:B38"/>
    <mergeCell ref="A40:B40"/>
    <mergeCell ref="C37:E37"/>
    <mergeCell ref="C38:E38"/>
    <mergeCell ref="C39:E39"/>
    <mergeCell ref="C40:E40"/>
    <mergeCell ref="AF53:AJ53"/>
    <mergeCell ref="V53:Z53"/>
    <mergeCell ref="A56:B56"/>
    <mergeCell ref="F56:U56"/>
    <mergeCell ref="V56:Z56"/>
    <mergeCell ref="AA56:AE56"/>
    <mergeCell ref="AF56:AJ56"/>
    <mergeCell ref="AK32:AO32"/>
    <mergeCell ref="AK33:AO33"/>
    <mergeCell ref="AK34:AO34"/>
    <mergeCell ref="AK35:AO35"/>
    <mergeCell ref="AK37:AO37"/>
    <mergeCell ref="AK38:AO38"/>
    <mergeCell ref="AK39:AO39"/>
    <mergeCell ref="AK40:AO40"/>
    <mergeCell ref="AK57:AO57"/>
    <mergeCell ref="AK53:AO53"/>
    <mergeCell ref="AK56:AO56"/>
    <mergeCell ref="V32:Z32"/>
    <mergeCell ref="V33:Z33"/>
    <mergeCell ref="V34:Z34"/>
    <mergeCell ref="V35:Z35"/>
    <mergeCell ref="V37:Z37"/>
    <mergeCell ref="V38:Z38"/>
    <mergeCell ref="V39:Z39"/>
    <mergeCell ref="V40:Z40"/>
    <mergeCell ref="C29:E29"/>
    <mergeCell ref="C30:E30"/>
    <mergeCell ref="A21:B21"/>
    <mergeCell ref="F21:U21"/>
    <mergeCell ref="C21:E21"/>
    <mergeCell ref="A22:B22"/>
    <mergeCell ref="F22:U22"/>
    <mergeCell ref="C22:E22"/>
    <mergeCell ref="C23:E23"/>
    <mergeCell ref="F23:U23"/>
    <mergeCell ref="V15:Z15"/>
    <mergeCell ref="V16:Z16"/>
    <mergeCell ref="V18:Z18"/>
    <mergeCell ref="V19:Z19"/>
    <mergeCell ref="V21:Z21"/>
    <mergeCell ref="V22:Z22"/>
    <mergeCell ref="V23:Z23"/>
    <mergeCell ref="A16:B16"/>
    <mergeCell ref="F16:U16"/>
    <mergeCell ref="A15:B15"/>
    <mergeCell ref="F15:U15"/>
    <mergeCell ref="C15:E15"/>
    <mergeCell ref="C16:E16"/>
    <mergeCell ref="A18:B18"/>
    <mergeCell ref="F18:U18"/>
    <mergeCell ref="C18:E18"/>
  </mergeCells>
  <pageMargins left="0.74803149606299213" right="0.15748031496062992" top="0.19685039370078741" bottom="0.11811023622047245" header="0.19685039370078741" footer="0.11811023622047245"/>
  <pageSetup paperSize="9" scale="70" orientation="landscape" horizontalDpi="300" verticalDpi="300" r:id="rId1"/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D3A6-69A0-41C2-A570-1CE233009D5B}">
  <sheetPr>
    <tabColor rgb="FFC00000"/>
  </sheetPr>
  <dimension ref="A1:AJ63"/>
  <sheetViews>
    <sheetView showGridLines="0" view="pageBreakPreview" zoomScale="96" zoomScaleNormal="100" zoomScaleSheetLayoutView="96" workbookViewId="0">
      <selection activeCell="AD63" sqref="AD63:AH63"/>
    </sheetView>
  </sheetViews>
  <sheetFormatPr baseColWidth="10" defaultColWidth="3.7265625" defaultRowHeight="12.5" x14ac:dyDescent="0.25"/>
  <cols>
    <col min="1" max="4" width="3.7265625" style="1"/>
    <col min="5" max="5" width="0.453125" style="1" customWidth="1"/>
    <col min="6" max="18" width="3.7265625" style="1"/>
    <col min="19" max="19" width="11.26953125" style="1" customWidth="1"/>
    <col min="20" max="23" width="3.7265625" style="1"/>
    <col min="24" max="24" width="8.1796875" style="1" customWidth="1"/>
    <col min="25" max="28" width="3.7265625" style="1"/>
    <col min="29" max="29" width="5.26953125" style="1" customWidth="1"/>
    <col min="30" max="33" width="3.7265625" style="1"/>
    <col min="34" max="34" width="10.453125" style="1" customWidth="1"/>
    <col min="35" max="16384" width="3.7265625" style="1"/>
  </cols>
  <sheetData>
    <row r="1" spans="1:34" x14ac:dyDescent="0.25">
      <c r="A1" s="153" t="s">
        <v>69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5"/>
    </row>
    <row r="2" spans="1:34" ht="13" thickBot="1" x14ac:dyDescent="0.3">
      <c r="A2" s="156" t="s">
        <v>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8"/>
    </row>
    <row r="3" spans="1:34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  <row r="4" spans="1:34" x14ac:dyDescent="0.25">
      <c r="A4" s="10"/>
      <c r="B4" s="11" t="s">
        <v>66</v>
      </c>
      <c r="C4" s="160"/>
      <c r="D4" s="160"/>
      <c r="E4" s="160"/>
      <c r="F4" s="160"/>
      <c r="G4" s="160"/>
      <c r="H4" s="160"/>
      <c r="I4" s="160"/>
      <c r="J4" s="161"/>
      <c r="K4" s="11"/>
      <c r="L4" s="11"/>
      <c r="M4" s="11"/>
      <c r="N4" s="11"/>
      <c r="O4" s="139" t="s">
        <v>260</v>
      </c>
      <c r="P4" s="139"/>
      <c r="Q4" s="139"/>
      <c r="R4" s="139"/>
      <c r="S4" s="139"/>
      <c r="T4" s="160"/>
      <c r="U4" s="160"/>
      <c r="V4" s="160"/>
      <c r="W4" s="160"/>
      <c r="X4" s="160"/>
      <c r="Y4" s="161"/>
      <c r="Z4" s="11"/>
      <c r="AA4" s="11"/>
      <c r="AB4" s="11"/>
      <c r="AC4" s="11"/>
      <c r="AD4" s="11"/>
      <c r="AE4" s="11"/>
      <c r="AF4" s="11"/>
      <c r="AG4" s="11"/>
      <c r="AH4" s="12"/>
    </row>
    <row r="5" spans="1:34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2"/>
    </row>
    <row r="6" spans="1:34" x14ac:dyDescent="0.25">
      <c r="A6" s="10"/>
      <c r="B6" s="11"/>
      <c r="C6" s="11"/>
      <c r="D6" s="11"/>
      <c r="E6" s="11"/>
      <c r="F6" s="13" t="s">
        <v>26</v>
      </c>
      <c r="G6" s="13" t="s">
        <v>26</v>
      </c>
      <c r="H6" s="13" t="s">
        <v>26</v>
      </c>
      <c r="I6" s="13" t="s">
        <v>26</v>
      </c>
      <c r="J6" s="13" t="s">
        <v>55</v>
      </c>
      <c r="K6" s="13" t="s">
        <v>55</v>
      </c>
      <c r="L6" s="13" t="s">
        <v>53</v>
      </c>
      <c r="M6" s="13" t="s">
        <v>53</v>
      </c>
      <c r="N6" s="11"/>
      <c r="O6" s="11"/>
      <c r="P6" s="11"/>
      <c r="Q6" s="11"/>
      <c r="R6" s="13"/>
      <c r="S6" s="13"/>
      <c r="T6" s="13" t="s">
        <v>26</v>
      </c>
      <c r="U6" s="13" t="s">
        <v>26</v>
      </c>
      <c r="V6" s="13"/>
      <c r="W6" s="11"/>
      <c r="X6" s="11"/>
      <c r="Y6" s="11"/>
      <c r="Z6" s="11"/>
      <c r="AA6" s="11"/>
      <c r="AB6" s="11"/>
      <c r="AC6" s="13">
        <v>0</v>
      </c>
      <c r="AD6" s="11"/>
      <c r="AE6" s="11"/>
      <c r="AF6" s="11"/>
      <c r="AG6" s="11"/>
      <c r="AH6" s="12"/>
    </row>
    <row r="7" spans="1:34" x14ac:dyDescent="0.25">
      <c r="A7" s="10"/>
      <c r="B7" s="11"/>
      <c r="C7" s="11"/>
      <c r="D7" s="11"/>
      <c r="E7" s="11"/>
      <c r="F7" s="168" t="s">
        <v>60</v>
      </c>
      <c r="G7" s="168"/>
      <c r="H7" s="168"/>
      <c r="I7" s="168"/>
      <c r="J7" s="168"/>
      <c r="K7" s="168"/>
      <c r="L7" s="168"/>
      <c r="M7" s="168"/>
      <c r="N7" s="14"/>
      <c r="O7" s="11"/>
      <c r="P7" s="11"/>
      <c r="Q7" s="11"/>
      <c r="R7" s="11"/>
      <c r="S7" s="11"/>
      <c r="T7" s="11"/>
      <c r="U7" s="14" t="s">
        <v>58</v>
      </c>
      <c r="V7" s="11"/>
      <c r="W7" s="11"/>
      <c r="X7" s="11"/>
      <c r="Y7" s="11"/>
      <c r="Z7" s="11"/>
      <c r="AA7" s="11"/>
      <c r="AB7" s="11"/>
      <c r="AC7" s="15" t="s">
        <v>54</v>
      </c>
      <c r="AD7" s="11"/>
      <c r="AE7" s="11"/>
      <c r="AF7" s="11"/>
      <c r="AG7" s="11"/>
      <c r="AH7" s="12"/>
    </row>
    <row r="8" spans="1:34" ht="13" thickBo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8"/>
    </row>
    <row r="9" spans="1:34" ht="15.75" customHeight="1" thickBot="1" x14ac:dyDescent="0.3">
      <c r="A9" s="172" t="s">
        <v>270</v>
      </c>
      <c r="B9" s="173"/>
      <c r="C9" s="297" t="s">
        <v>165</v>
      </c>
      <c r="D9" s="298"/>
      <c r="E9" s="299"/>
      <c r="F9" s="162" t="s">
        <v>10</v>
      </c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234" t="s">
        <v>1</v>
      </c>
      <c r="U9" s="235"/>
      <c r="V9" s="235"/>
      <c r="W9" s="235"/>
      <c r="X9" s="235"/>
      <c r="Y9" s="235"/>
      <c r="Z9" s="235"/>
      <c r="AA9" s="235"/>
      <c r="AB9" s="235"/>
      <c r="AC9" s="236"/>
      <c r="AD9" s="162" t="s">
        <v>2</v>
      </c>
      <c r="AE9" s="163"/>
      <c r="AF9" s="163"/>
      <c r="AG9" s="163"/>
      <c r="AH9" s="164"/>
    </row>
    <row r="10" spans="1:34" ht="15.75" customHeight="1" thickBot="1" x14ac:dyDescent="0.3">
      <c r="A10" s="174"/>
      <c r="B10" s="175"/>
      <c r="C10" s="242"/>
      <c r="D10" s="243"/>
      <c r="E10" s="244"/>
      <c r="F10" s="169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234" t="s">
        <v>3</v>
      </c>
      <c r="U10" s="235"/>
      <c r="V10" s="235"/>
      <c r="W10" s="235"/>
      <c r="X10" s="236"/>
      <c r="Y10" s="234" t="s">
        <v>59</v>
      </c>
      <c r="Z10" s="235"/>
      <c r="AA10" s="235"/>
      <c r="AB10" s="235"/>
      <c r="AC10" s="236"/>
      <c r="AD10" s="165"/>
      <c r="AE10" s="166"/>
      <c r="AF10" s="166"/>
      <c r="AG10" s="166"/>
      <c r="AH10" s="167"/>
    </row>
    <row r="11" spans="1:34" ht="15.75" customHeight="1" thickBot="1" x14ac:dyDescent="0.3">
      <c r="A11" s="176"/>
      <c r="B11" s="177"/>
      <c r="C11" s="302"/>
      <c r="D11" s="303"/>
      <c r="E11" s="304"/>
      <c r="F11" s="165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254">
        <v>1</v>
      </c>
      <c r="U11" s="255"/>
      <c r="V11" s="255"/>
      <c r="W11" s="255"/>
      <c r="X11" s="256"/>
      <c r="Y11" s="254">
        <v>2</v>
      </c>
      <c r="Z11" s="255"/>
      <c r="AA11" s="255"/>
      <c r="AB11" s="255"/>
      <c r="AC11" s="256"/>
      <c r="AD11" s="254" t="s">
        <v>269</v>
      </c>
      <c r="AE11" s="255"/>
      <c r="AF11" s="255"/>
      <c r="AG11" s="255"/>
      <c r="AH11" s="256"/>
    </row>
    <row r="12" spans="1:34" ht="15.75" customHeight="1" thickBot="1" x14ac:dyDescent="0.3">
      <c r="A12" s="203"/>
      <c r="B12" s="204"/>
      <c r="C12" s="216">
        <v>1</v>
      </c>
      <c r="D12" s="217"/>
      <c r="E12" s="218"/>
      <c r="F12" s="189" t="s">
        <v>217</v>
      </c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297">
        <f>T13+T17+T21</f>
        <v>0</v>
      </c>
      <c r="U12" s="298"/>
      <c r="V12" s="298"/>
      <c r="W12" s="298"/>
      <c r="X12" s="299"/>
      <c r="Y12" s="297">
        <f>Y13+Y17+Y21</f>
        <v>0</v>
      </c>
      <c r="Z12" s="298"/>
      <c r="AA12" s="298"/>
      <c r="AB12" s="298"/>
      <c r="AC12" s="299"/>
      <c r="AD12" s="297">
        <f t="shared" ref="AD12:AD21" si="0">+T12+Y12</f>
        <v>0</v>
      </c>
      <c r="AE12" s="298"/>
      <c r="AF12" s="298"/>
      <c r="AG12" s="298"/>
      <c r="AH12" s="299"/>
    </row>
    <row r="13" spans="1:34" x14ac:dyDescent="0.25">
      <c r="A13" s="187"/>
      <c r="B13" s="188"/>
      <c r="C13" s="311">
        <v>16</v>
      </c>
      <c r="D13" s="312"/>
      <c r="E13" s="313"/>
      <c r="F13" s="278" t="s">
        <v>173</v>
      </c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97">
        <f>T14+T15+T16</f>
        <v>0</v>
      </c>
      <c r="U13" s="298"/>
      <c r="V13" s="298"/>
      <c r="W13" s="298"/>
      <c r="X13" s="299"/>
      <c r="Y13" s="297">
        <f>Y14+Y15+Y16</f>
        <v>0</v>
      </c>
      <c r="Z13" s="298"/>
      <c r="AA13" s="298"/>
      <c r="AB13" s="298"/>
      <c r="AC13" s="299"/>
      <c r="AD13" s="297">
        <f t="shared" si="0"/>
        <v>0</v>
      </c>
      <c r="AE13" s="298"/>
      <c r="AF13" s="298"/>
      <c r="AG13" s="298"/>
      <c r="AH13" s="299"/>
    </row>
    <row r="14" spans="1:34" x14ac:dyDescent="0.25">
      <c r="A14" s="187"/>
      <c r="B14" s="188"/>
      <c r="C14" s="266">
        <v>161</v>
      </c>
      <c r="D14" s="267"/>
      <c r="E14" s="268"/>
      <c r="F14" s="245" t="s">
        <v>174</v>
      </c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60"/>
      <c r="U14" s="261"/>
      <c r="V14" s="261"/>
      <c r="W14" s="261"/>
      <c r="X14" s="262"/>
      <c r="Y14" s="260"/>
      <c r="Z14" s="261"/>
      <c r="AA14" s="261"/>
      <c r="AB14" s="261"/>
      <c r="AC14" s="262"/>
      <c r="AD14" s="260">
        <f t="shared" si="0"/>
        <v>0</v>
      </c>
      <c r="AE14" s="317"/>
      <c r="AF14" s="317"/>
      <c r="AG14" s="317"/>
      <c r="AH14" s="262"/>
    </row>
    <row r="15" spans="1:34" ht="15" customHeight="1" x14ac:dyDescent="0.25">
      <c r="A15" s="201"/>
      <c r="B15" s="202"/>
      <c r="C15" s="266">
        <v>162</v>
      </c>
      <c r="D15" s="267"/>
      <c r="E15" s="268"/>
      <c r="F15" s="348" t="s">
        <v>175</v>
      </c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260"/>
      <c r="U15" s="261"/>
      <c r="V15" s="261"/>
      <c r="W15" s="261"/>
      <c r="X15" s="262"/>
      <c r="Y15" s="138"/>
      <c r="Z15" s="139"/>
      <c r="AA15" s="139"/>
      <c r="AB15" s="139"/>
      <c r="AC15" s="140"/>
      <c r="AD15" s="260">
        <f t="shared" si="0"/>
        <v>0</v>
      </c>
      <c r="AE15" s="317"/>
      <c r="AF15" s="317"/>
      <c r="AG15" s="317"/>
      <c r="AH15" s="262"/>
    </row>
    <row r="16" spans="1:34" ht="15" customHeight="1" thickBot="1" x14ac:dyDescent="0.3">
      <c r="A16" s="48"/>
      <c r="B16" s="49"/>
      <c r="C16" s="266">
        <v>168</v>
      </c>
      <c r="D16" s="267"/>
      <c r="E16" s="268"/>
      <c r="F16" s="348" t="s">
        <v>179</v>
      </c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260"/>
      <c r="U16" s="261"/>
      <c r="V16" s="261"/>
      <c r="W16" s="261"/>
      <c r="X16" s="262"/>
      <c r="Y16" s="138"/>
      <c r="Z16" s="139"/>
      <c r="AA16" s="139"/>
      <c r="AB16" s="139"/>
      <c r="AC16" s="140"/>
      <c r="AD16" s="260">
        <f t="shared" si="0"/>
        <v>0</v>
      </c>
      <c r="AE16" s="317"/>
      <c r="AF16" s="317"/>
      <c r="AG16" s="317"/>
      <c r="AH16" s="262"/>
    </row>
    <row r="17" spans="1:36" x14ac:dyDescent="0.25">
      <c r="A17" s="187"/>
      <c r="B17" s="188"/>
      <c r="C17" s="314">
        <v>17</v>
      </c>
      <c r="D17" s="315"/>
      <c r="E17" s="316"/>
      <c r="F17" s="278" t="s">
        <v>176</v>
      </c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97">
        <f>T18+T19+T20</f>
        <v>0</v>
      </c>
      <c r="U17" s="298"/>
      <c r="V17" s="298"/>
      <c r="W17" s="298"/>
      <c r="X17" s="299"/>
      <c r="Y17" s="297">
        <f>Y18+Y19+Y20</f>
        <v>0</v>
      </c>
      <c r="Z17" s="298"/>
      <c r="AA17" s="298"/>
      <c r="AB17" s="298"/>
      <c r="AC17" s="299"/>
      <c r="AD17" s="297">
        <f t="shared" si="0"/>
        <v>0</v>
      </c>
      <c r="AE17" s="298"/>
      <c r="AF17" s="298"/>
      <c r="AG17" s="298"/>
      <c r="AH17" s="299"/>
    </row>
    <row r="18" spans="1:36" x14ac:dyDescent="0.25">
      <c r="A18" s="187"/>
      <c r="B18" s="188"/>
      <c r="C18" s="266">
        <v>171</v>
      </c>
      <c r="D18" s="267"/>
      <c r="E18" s="268"/>
      <c r="F18" s="245" t="s">
        <v>177</v>
      </c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138"/>
      <c r="U18" s="139"/>
      <c r="V18" s="139"/>
      <c r="W18" s="139"/>
      <c r="X18" s="140"/>
      <c r="Y18" s="138"/>
      <c r="Z18" s="139"/>
      <c r="AA18" s="139"/>
      <c r="AB18" s="139"/>
      <c r="AC18" s="140"/>
      <c r="AD18" s="260">
        <f t="shared" si="0"/>
        <v>0</v>
      </c>
      <c r="AE18" s="317"/>
      <c r="AF18" s="317"/>
      <c r="AG18" s="317"/>
      <c r="AH18" s="262"/>
    </row>
    <row r="19" spans="1:36" x14ac:dyDescent="0.25">
      <c r="A19" s="187"/>
      <c r="B19" s="188"/>
      <c r="C19" s="266">
        <v>172</v>
      </c>
      <c r="D19" s="267"/>
      <c r="E19" s="268"/>
      <c r="F19" s="245" t="s">
        <v>225</v>
      </c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138"/>
      <c r="U19" s="139"/>
      <c r="V19" s="139"/>
      <c r="W19" s="139"/>
      <c r="X19" s="140"/>
      <c r="Y19" s="138"/>
      <c r="Z19" s="139"/>
      <c r="AA19" s="139"/>
      <c r="AB19" s="139"/>
      <c r="AC19" s="140"/>
      <c r="AD19" s="260">
        <f t="shared" si="0"/>
        <v>0</v>
      </c>
      <c r="AE19" s="317"/>
      <c r="AF19" s="317"/>
      <c r="AG19" s="317"/>
      <c r="AH19" s="262"/>
    </row>
    <row r="20" spans="1:36" x14ac:dyDescent="0.25">
      <c r="A20" s="187"/>
      <c r="B20" s="188"/>
      <c r="C20" s="266">
        <v>178</v>
      </c>
      <c r="D20" s="267"/>
      <c r="E20" s="268"/>
      <c r="F20" s="245" t="s">
        <v>178</v>
      </c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138"/>
      <c r="U20" s="139"/>
      <c r="V20" s="139"/>
      <c r="W20" s="139"/>
      <c r="X20" s="140"/>
      <c r="Y20" s="138"/>
      <c r="Z20" s="139"/>
      <c r="AA20" s="139"/>
      <c r="AB20" s="139"/>
      <c r="AC20" s="140"/>
      <c r="AD20" s="260">
        <f t="shared" si="0"/>
        <v>0</v>
      </c>
      <c r="AE20" s="317"/>
      <c r="AF20" s="317"/>
      <c r="AG20" s="317"/>
      <c r="AH20" s="262"/>
    </row>
    <row r="21" spans="1:36" ht="13" thickBot="1" x14ac:dyDescent="0.3">
      <c r="A21" s="187"/>
      <c r="B21" s="188"/>
      <c r="C21" s="314">
        <v>18</v>
      </c>
      <c r="D21" s="315"/>
      <c r="E21" s="316"/>
      <c r="F21" s="309" t="s">
        <v>180</v>
      </c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50"/>
      <c r="U21" s="288"/>
      <c r="V21" s="288"/>
      <c r="W21" s="288"/>
      <c r="X21" s="289"/>
      <c r="Y21" s="350"/>
      <c r="Z21" s="288"/>
      <c r="AA21" s="288"/>
      <c r="AB21" s="288"/>
      <c r="AC21" s="289"/>
      <c r="AD21" s="260">
        <f t="shared" si="0"/>
        <v>0</v>
      </c>
      <c r="AE21" s="317"/>
      <c r="AF21" s="317"/>
      <c r="AG21" s="317"/>
      <c r="AH21" s="262"/>
    </row>
    <row r="22" spans="1:36" ht="15.75" customHeight="1" thickBot="1" x14ac:dyDescent="0.3">
      <c r="A22" s="203"/>
      <c r="B22" s="204"/>
      <c r="C22" s="339">
        <v>2</v>
      </c>
      <c r="D22" s="340"/>
      <c r="E22" s="341"/>
      <c r="F22" s="189" t="s">
        <v>65</v>
      </c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345">
        <f>T23+T30</f>
        <v>0</v>
      </c>
      <c r="U22" s="346"/>
      <c r="V22" s="346"/>
      <c r="W22" s="346"/>
      <c r="X22" s="347"/>
      <c r="Y22" s="345">
        <f>Y23+Y30</f>
        <v>0</v>
      </c>
      <c r="Z22" s="346"/>
      <c r="AA22" s="346"/>
      <c r="AB22" s="346"/>
      <c r="AC22" s="347"/>
      <c r="AD22" s="345">
        <f>+T22</f>
        <v>0</v>
      </c>
      <c r="AE22" s="346"/>
      <c r="AF22" s="346"/>
      <c r="AG22" s="346"/>
      <c r="AH22" s="347"/>
    </row>
    <row r="23" spans="1:36" ht="17.25" customHeight="1" thickBot="1" x14ac:dyDescent="0.3">
      <c r="A23" s="351"/>
      <c r="B23" s="352"/>
      <c r="C23" s="342">
        <v>24</v>
      </c>
      <c r="D23" s="343"/>
      <c r="E23" s="344"/>
      <c r="F23" s="353" t="s">
        <v>181</v>
      </c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  <c r="T23" s="345">
        <f>T24+T25+T26+T27+T29</f>
        <v>0</v>
      </c>
      <c r="U23" s="346"/>
      <c r="V23" s="346"/>
      <c r="W23" s="346"/>
      <c r="X23" s="347"/>
      <c r="Y23" s="345"/>
      <c r="Z23" s="346"/>
      <c r="AA23" s="346"/>
      <c r="AB23" s="346"/>
      <c r="AC23" s="347"/>
      <c r="AD23" s="345">
        <f>+T23+Y23</f>
        <v>0</v>
      </c>
      <c r="AE23" s="346"/>
      <c r="AF23" s="346"/>
      <c r="AG23" s="346"/>
      <c r="AH23" s="347"/>
    </row>
    <row r="24" spans="1:36" x14ac:dyDescent="0.25">
      <c r="A24" s="187"/>
      <c r="B24" s="188"/>
      <c r="C24" s="266">
        <v>241</v>
      </c>
      <c r="D24" s="267"/>
      <c r="E24" s="268"/>
      <c r="F24" s="195" t="s">
        <v>182</v>
      </c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260"/>
      <c r="U24" s="317"/>
      <c r="V24" s="317"/>
      <c r="W24" s="317"/>
      <c r="X24" s="262"/>
      <c r="Y24" s="138"/>
      <c r="Z24" s="139"/>
      <c r="AA24" s="139"/>
      <c r="AB24" s="139"/>
      <c r="AC24" s="140"/>
      <c r="AD24" s="283">
        <f>+T24+Y24</f>
        <v>0</v>
      </c>
      <c r="AE24" s="139"/>
      <c r="AF24" s="139"/>
      <c r="AG24" s="139"/>
      <c r="AH24" s="140"/>
    </row>
    <row r="25" spans="1:36" x14ac:dyDescent="0.25">
      <c r="A25" s="187"/>
      <c r="B25" s="188"/>
      <c r="C25" s="266">
        <v>242</v>
      </c>
      <c r="D25" s="267"/>
      <c r="E25" s="268"/>
      <c r="F25" s="195" t="s">
        <v>219</v>
      </c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260"/>
      <c r="U25" s="317"/>
      <c r="V25" s="317"/>
      <c r="W25" s="317"/>
      <c r="X25" s="262"/>
      <c r="Y25" s="138"/>
      <c r="Z25" s="139"/>
      <c r="AA25" s="139"/>
      <c r="AB25" s="139"/>
      <c r="AC25" s="140"/>
      <c r="AD25" s="283">
        <f>+T25+Y25</f>
        <v>0</v>
      </c>
      <c r="AE25" s="139"/>
      <c r="AF25" s="139"/>
      <c r="AG25" s="139"/>
      <c r="AH25" s="140"/>
    </row>
    <row r="26" spans="1:36" x14ac:dyDescent="0.25">
      <c r="A26" s="187"/>
      <c r="B26" s="188"/>
      <c r="C26" s="266">
        <v>243</v>
      </c>
      <c r="D26" s="267"/>
      <c r="E26" s="268"/>
      <c r="F26" s="195" t="s">
        <v>183</v>
      </c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260"/>
      <c r="U26" s="317"/>
      <c r="V26" s="317"/>
      <c r="W26" s="317"/>
      <c r="X26" s="262"/>
      <c r="Y26" s="138"/>
      <c r="Z26" s="139"/>
      <c r="AA26" s="139"/>
      <c r="AB26" s="139"/>
      <c r="AC26" s="140"/>
      <c r="AD26" s="283">
        <f>+T26+Y26</f>
        <v>0</v>
      </c>
      <c r="AE26" s="139"/>
      <c r="AF26" s="139"/>
      <c r="AG26" s="139"/>
      <c r="AH26" s="140"/>
    </row>
    <row r="27" spans="1:36" x14ac:dyDescent="0.25">
      <c r="A27" s="187"/>
      <c r="B27" s="188"/>
      <c r="C27" s="266">
        <v>244</v>
      </c>
      <c r="D27" s="267"/>
      <c r="E27" s="268"/>
      <c r="F27" s="195" t="s">
        <v>220</v>
      </c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260"/>
      <c r="U27" s="317"/>
      <c r="V27" s="317"/>
      <c r="W27" s="317"/>
      <c r="X27" s="262"/>
      <c r="Y27" s="138"/>
      <c r="Z27" s="139"/>
      <c r="AA27" s="139"/>
      <c r="AB27" s="139"/>
      <c r="AC27" s="140"/>
      <c r="AD27" s="283">
        <f>+T27+Y27</f>
        <v>0</v>
      </c>
      <c r="AE27" s="139"/>
      <c r="AF27" s="139"/>
      <c r="AG27" s="139"/>
      <c r="AH27" s="140"/>
    </row>
    <row r="28" spans="1:36" x14ac:dyDescent="0.25">
      <c r="A28" s="187"/>
      <c r="B28" s="188"/>
      <c r="C28" s="266">
        <v>245</v>
      </c>
      <c r="D28" s="267"/>
      <c r="E28" s="268"/>
      <c r="F28" s="355" t="s">
        <v>221</v>
      </c>
      <c r="G28" s="356"/>
      <c r="H28" s="356"/>
      <c r="I28" s="356"/>
      <c r="J28" s="356"/>
      <c r="K28" s="356"/>
      <c r="L28" s="356"/>
      <c r="M28" s="356"/>
      <c r="N28" s="356"/>
      <c r="O28" s="356"/>
      <c r="P28" s="356"/>
      <c r="Q28" s="356"/>
      <c r="R28" s="356"/>
      <c r="S28" s="356"/>
      <c r="T28" s="260"/>
      <c r="U28" s="261"/>
      <c r="V28" s="261"/>
      <c r="W28" s="261"/>
      <c r="X28" s="262"/>
      <c r="Y28" s="138"/>
      <c r="Z28" s="139"/>
      <c r="AA28" s="139"/>
      <c r="AB28" s="139"/>
      <c r="AC28" s="140"/>
      <c r="AD28" s="283">
        <f>T28+Y28</f>
        <v>0</v>
      </c>
      <c r="AE28" s="360"/>
      <c r="AF28" s="360"/>
      <c r="AG28" s="360"/>
      <c r="AH28" s="361"/>
    </row>
    <row r="29" spans="1:36" ht="13" thickBot="1" x14ac:dyDescent="0.3">
      <c r="A29" s="187"/>
      <c r="B29" s="188"/>
      <c r="C29" s="266">
        <v>248</v>
      </c>
      <c r="D29" s="267"/>
      <c r="E29" s="268"/>
      <c r="F29" s="355" t="s">
        <v>184</v>
      </c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7"/>
      <c r="U29" s="358"/>
      <c r="V29" s="358"/>
      <c r="W29" s="358"/>
      <c r="X29" s="359"/>
      <c r="Y29" s="138"/>
      <c r="Z29" s="139"/>
      <c r="AA29" s="139"/>
      <c r="AB29" s="139"/>
      <c r="AC29" s="140"/>
      <c r="AD29" s="283">
        <f>+T29+Y29</f>
        <v>0</v>
      </c>
      <c r="AE29" s="139"/>
      <c r="AF29" s="139"/>
      <c r="AG29" s="139"/>
      <c r="AH29" s="140"/>
      <c r="AJ29" s="5"/>
    </row>
    <row r="30" spans="1:36" x14ac:dyDescent="0.25">
      <c r="A30" s="33"/>
      <c r="B30" s="34"/>
      <c r="C30" s="314">
        <v>25</v>
      </c>
      <c r="D30" s="315"/>
      <c r="E30" s="316"/>
      <c r="F30" s="309" t="s">
        <v>185</v>
      </c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297">
        <f>T31+T32</f>
        <v>0</v>
      </c>
      <c r="U30" s="298"/>
      <c r="V30" s="298"/>
      <c r="W30" s="298"/>
      <c r="X30" s="299"/>
      <c r="Y30" s="297">
        <f>Y31+Y32</f>
        <v>0</v>
      </c>
      <c r="Z30" s="298"/>
      <c r="AA30" s="298"/>
      <c r="AB30" s="298"/>
      <c r="AC30" s="299"/>
      <c r="AD30" s="297">
        <f>T30+Y30</f>
        <v>0</v>
      </c>
      <c r="AE30" s="298"/>
      <c r="AF30" s="298"/>
      <c r="AG30" s="298"/>
      <c r="AH30" s="299"/>
      <c r="AJ30" s="5"/>
    </row>
    <row r="31" spans="1:36" x14ac:dyDescent="0.25">
      <c r="A31" s="187"/>
      <c r="B31" s="188"/>
      <c r="C31" s="266">
        <v>251</v>
      </c>
      <c r="D31" s="267"/>
      <c r="E31" s="268"/>
      <c r="F31" s="195" t="s">
        <v>186</v>
      </c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260">
        <v>0</v>
      </c>
      <c r="U31" s="317"/>
      <c r="V31" s="317"/>
      <c r="W31" s="317"/>
      <c r="X31" s="262"/>
      <c r="Y31" s="138"/>
      <c r="Z31" s="139"/>
      <c r="AA31" s="139"/>
      <c r="AB31" s="139"/>
      <c r="AC31" s="140"/>
      <c r="AD31" s="283">
        <f>+T31+Y31</f>
        <v>0</v>
      </c>
      <c r="AE31" s="139"/>
      <c r="AF31" s="139"/>
      <c r="AG31" s="139"/>
      <c r="AH31" s="140"/>
    </row>
    <row r="32" spans="1:36" ht="13" thickBot="1" x14ac:dyDescent="0.3">
      <c r="A32" s="187"/>
      <c r="B32" s="188"/>
      <c r="C32" s="266">
        <v>258</v>
      </c>
      <c r="D32" s="267"/>
      <c r="E32" s="268"/>
      <c r="F32" s="195" t="s">
        <v>187</v>
      </c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260">
        <v>0</v>
      </c>
      <c r="U32" s="317"/>
      <c r="V32" s="317"/>
      <c r="W32" s="317"/>
      <c r="X32" s="262"/>
      <c r="Y32" s="138"/>
      <c r="Z32" s="139"/>
      <c r="AA32" s="139"/>
      <c r="AB32" s="139"/>
      <c r="AC32" s="140"/>
      <c r="AD32" s="283">
        <f>+T32+Y32</f>
        <v>0</v>
      </c>
      <c r="AE32" s="139"/>
      <c r="AF32" s="139"/>
      <c r="AG32" s="139"/>
      <c r="AH32" s="140"/>
    </row>
    <row r="33" spans="1:34" x14ac:dyDescent="0.25">
      <c r="A33" s="153" t="s">
        <v>69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5"/>
    </row>
    <row r="34" spans="1:34" x14ac:dyDescent="0.25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5"/>
    </row>
    <row r="35" spans="1:34" ht="13" thickBot="1" x14ac:dyDescent="0.3">
      <c r="A35" s="156" t="s">
        <v>4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8"/>
    </row>
    <row r="36" spans="1:34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</row>
    <row r="37" spans="1:34" x14ac:dyDescent="0.25">
      <c r="A37" s="10"/>
      <c r="B37" s="11" t="s">
        <v>66</v>
      </c>
      <c r="C37" s="160"/>
      <c r="D37" s="160"/>
      <c r="E37" s="160"/>
      <c r="F37" s="160"/>
      <c r="G37" s="160"/>
      <c r="H37" s="160"/>
      <c r="I37" s="160"/>
      <c r="J37" s="161"/>
      <c r="K37" s="11"/>
      <c r="L37" s="11"/>
      <c r="M37" s="11"/>
      <c r="N37" s="11"/>
      <c r="O37" s="139" t="s">
        <v>260</v>
      </c>
      <c r="P37" s="139"/>
      <c r="Q37" s="139"/>
      <c r="R37" s="139"/>
      <c r="S37" s="139"/>
      <c r="T37" s="160"/>
      <c r="U37" s="160"/>
      <c r="V37" s="160"/>
      <c r="W37" s="160"/>
      <c r="X37" s="160"/>
      <c r="Y37" s="161"/>
      <c r="Z37" s="11"/>
      <c r="AA37" s="11"/>
      <c r="AB37" s="11"/>
      <c r="AC37" s="11"/>
      <c r="AD37" s="11"/>
      <c r="AE37" s="11"/>
      <c r="AF37" s="11"/>
      <c r="AG37" s="11"/>
      <c r="AH37" s="12"/>
    </row>
    <row r="38" spans="1:34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/>
    </row>
    <row r="39" spans="1:34" x14ac:dyDescent="0.2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</row>
    <row r="40" spans="1:34" x14ac:dyDescent="0.25">
      <c r="A40" s="10"/>
      <c r="B40" s="11"/>
      <c r="C40" s="11"/>
      <c r="D40" s="11"/>
      <c r="E40" s="11"/>
      <c r="F40" s="13" t="s">
        <v>26</v>
      </c>
      <c r="G40" s="13" t="s">
        <v>26</v>
      </c>
      <c r="H40" s="13" t="s">
        <v>26</v>
      </c>
      <c r="I40" s="13" t="s">
        <v>26</v>
      </c>
      <c r="J40" s="13" t="s">
        <v>55</v>
      </c>
      <c r="K40" s="13" t="s">
        <v>55</v>
      </c>
      <c r="L40" s="13" t="s">
        <v>53</v>
      </c>
      <c r="M40" s="13" t="s">
        <v>53</v>
      </c>
      <c r="N40" s="11"/>
      <c r="O40" s="11"/>
      <c r="P40" s="11"/>
      <c r="Q40" s="11"/>
      <c r="R40" s="13"/>
      <c r="S40" s="13"/>
      <c r="T40" s="13" t="s">
        <v>26</v>
      </c>
      <c r="U40" s="13" t="s">
        <v>26</v>
      </c>
      <c r="V40" s="13"/>
      <c r="W40" s="11"/>
      <c r="X40" s="11"/>
      <c r="Y40" s="11"/>
      <c r="Z40" s="11"/>
      <c r="AA40" s="11"/>
      <c r="AB40" s="11"/>
      <c r="AC40" s="13">
        <v>0</v>
      </c>
      <c r="AD40" s="11"/>
      <c r="AE40" s="11"/>
      <c r="AF40" s="11"/>
      <c r="AG40" s="11"/>
      <c r="AH40" s="12"/>
    </row>
    <row r="41" spans="1:34" x14ac:dyDescent="0.25">
      <c r="A41" s="10"/>
      <c r="B41" s="11"/>
      <c r="C41" s="11"/>
      <c r="D41" s="11"/>
      <c r="E41" s="11"/>
      <c r="F41" s="168" t="s">
        <v>60</v>
      </c>
      <c r="G41" s="168"/>
      <c r="H41" s="168"/>
      <c r="I41" s="168"/>
      <c r="J41" s="168"/>
      <c r="K41" s="168"/>
      <c r="L41" s="168"/>
      <c r="M41" s="168"/>
      <c r="N41" s="14"/>
      <c r="O41" s="11"/>
      <c r="P41" s="11"/>
      <c r="Q41" s="11"/>
      <c r="R41" s="11"/>
      <c r="S41" s="11"/>
      <c r="T41" s="11"/>
      <c r="U41" s="14" t="s">
        <v>58</v>
      </c>
      <c r="V41" s="11"/>
      <c r="W41" s="11"/>
      <c r="X41" s="11"/>
      <c r="Y41" s="11"/>
      <c r="Z41" s="11"/>
      <c r="AA41" s="11"/>
      <c r="AB41" s="11"/>
      <c r="AC41" s="15" t="s">
        <v>54</v>
      </c>
      <c r="AD41" s="11"/>
      <c r="AE41" s="11"/>
      <c r="AF41" s="11"/>
      <c r="AG41" s="11"/>
      <c r="AH41" s="12"/>
    </row>
    <row r="42" spans="1:34" ht="13" thickBot="1" x14ac:dyDescent="0.3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</row>
    <row r="43" spans="1:34" ht="15" customHeight="1" x14ac:dyDescent="0.25">
      <c r="A43" s="172" t="s">
        <v>270</v>
      </c>
      <c r="B43" s="173"/>
      <c r="C43" s="162" t="s">
        <v>165</v>
      </c>
      <c r="D43" s="163"/>
      <c r="E43" s="164"/>
      <c r="F43" s="162" t="s">
        <v>9</v>
      </c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2" t="s">
        <v>1</v>
      </c>
      <c r="U43" s="163"/>
      <c r="V43" s="163"/>
      <c r="W43" s="163"/>
      <c r="X43" s="163"/>
      <c r="Y43" s="163"/>
      <c r="Z43" s="163"/>
      <c r="AA43" s="163"/>
      <c r="AB43" s="163"/>
      <c r="AC43" s="164"/>
      <c r="AD43" s="162" t="s">
        <v>2</v>
      </c>
      <c r="AE43" s="163"/>
      <c r="AF43" s="163"/>
      <c r="AG43" s="163"/>
      <c r="AH43" s="164"/>
    </row>
    <row r="44" spans="1:34" ht="15.75" customHeight="1" thickBot="1" x14ac:dyDescent="0.3">
      <c r="A44" s="174"/>
      <c r="B44" s="175"/>
      <c r="C44" s="169"/>
      <c r="D44" s="170"/>
      <c r="E44" s="171"/>
      <c r="F44" s="169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65"/>
      <c r="U44" s="166"/>
      <c r="V44" s="166"/>
      <c r="W44" s="166"/>
      <c r="X44" s="166"/>
      <c r="Y44" s="166"/>
      <c r="Z44" s="166"/>
      <c r="AA44" s="166"/>
      <c r="AB44" s="166"/>
      <c r="AC44" s="167"/>
      <c r="AD44" s="169"/>
      <c r="AE44" s="170"/>
      <c r="AF44" s="170"/>
      <c r="AG44" s="170"/>
      <c r="AH44" s="171"/>
    </row>
    <row r="45" spans="1:34" ht="15" customHeight="1" x14ac:dyDescent="0.25">
      <c r="A45" s="174"/>
      <c r="B45" s="175"/>
      <c r="C45" s="169"/>
      <c r="D45" s="170"/>
      <c r="E45" s="171"/>
      <c r="F45" s="169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69" t="s">
        <v>3</v>
      </c>
      <c r="U45" s="170"/>
      <c r="V45" s="170"/>
      <c r="W45" s="170"/>
      <c r="X45" s="170"/>
      <c r="Y45" s="169" t="s">
        <v>59</v>
      </c>
      <c r="Z45" s="170"/>
      <c r="AA45" s="170"/>
      <c r="AB45" s="170"/>
      <c r="AC45" s="171"/>
      <c r="AD45" s="169"/>
      <c r="AE45" s="170"/>
      <c r="AF45" s="170"/>
      <c r="AG45" s="170"/>
      <c r="AH45" s="171"/>
    </row>
    <row r="46" spans="1:34" ht="15.75" customHeight="1" thickBot="1" x14ac:dyDescent="0.3">
      <c r="A46" s="174"/>
      <c r="B46" s="175"/>
      <c r="C46" s="169"/>
      <c r="D46" s="170"/>
      <c r="E46" s="171"/>
      <c r="F46" s="169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65"/>
      <c r="U46" s="166"/>
      <c r="V46" s="166"/>
      <c r="W46" s="166"/>
      <c r="X46" s="166"/>
      <c r="Y46" s="165"/>
      <c r="Z46" s="166"/>
      <c r="AA46" s="166"/>
      <c r="AB46" s="166"/>
      <c r="AC46" s="167"/>
      <c r="AD46" s="165"/>
      <c r="AE46" s="166"/>
      <c r="AF46" s="166"/>
      <c r="AG46" s="166"/>
      <c r="AH46" s="167"/>
    </row>
    <row r="47" spans="1:34" ht="15.75" customHeight="1" thickBot="1" x14ac:dyDescent="0.3">
      <c r="A47" s="176"/>
      <c r="B47" s="177"/>
      <c r="C47" s="165"/>
      <c r="D47" s="166"/>
      <c r="E47" s="167"/>
      <c r="F47" s="165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254">
        <v>1</v>
      </c>
      <c r="U47" s="255"/>
      <c r="V47" s="255"/>
      <c r="W47" s="255"/>
      <c r="X47" s="256"/>
      <c r="Y47" s="254">
        <v>2</v>
      </c>
      <c r="Z47" s="255"/>
      <c r="AA47" s="255"/>
      <c r="AB47" s="255"/>
      <c r="AC47" s="256"/>
      <c r="AD47" s="254" t="s">
        <v>269</v>
      </c>
      <c r="AE47" s="255"/>
      <c r="AF47" s="255"/>
      <c r="AG47" s="255"/>
      <c r="AH47" s="256"/>
    </row>
    <row r="48" spans="1:34" ht="15.75" customHeight="1" thickBot="1" x14ac:dyDescent="0.3">
      <c r="A48" s="203"/>
      <c r="B48" s="204"/>
      <c r="C48" s="216">
        <v>3</v>
      </c>
      <c r="D48" s="217"/>
      <c r="E48" s="218"/>
      <c r="F48" s="189" t="s">
        <v>116</v>
      </c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297">
        <f>+SUM(T49:X51)</f>
        <v>0</v>
      </c>
      <c r="U48" s="298"/>
      <c r="V48" s="298"/>
      <c r="W48" s="298"/>
      <c r="X48" s="299"/>
      <c r="Y48" s="297">
        <f>Y49+Y50+Y51</f>
        <v>0</v>
      </c>
      <c r="Z48" s="298"/>
      <c r="AA48" s="298"/>
      <c r="AB48" s="298"/>
      <c r="AC48" s="299"/>
      <c r="AD48" s="297">
        <f t="shared" ref="AD48:AD62" si="1">+T48+Y48</f>
        <v>0</v>
      </c>
      <c r="AE48" s="298"/>
      <c r="AF48" s="298"/>
      <c r="AG48" s="298"/>
      <c r="AH48" s="299"/>
    </row>
    <row r="49" spans="1:34" x14ac:dyDescent="0.25">
      <c r="A49" s="187"/>
      <c r="B49" s="188"/>
      <c r="C49" s="280">
        <v>34</v>
      </c>
      <c r="D49" s="281"/>
      <c r="E49" s="282"/>
      <c r="F49" s="278" t="s">
        <v>188</v>
      </c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60"/>
      <c r="U49" s="261"/>
      <c r="V49" s="261"/>
      <c r="W49" s="261"/>
      <c r="X49" s="262"/>
      <c r="Y49" s="138"/>
      <c r="Z49" s="139"/>
      <c r="AA49" s="139"/>
      <c r="AB49" s="139"/>
      <c r="AC49" s="140"/>
      <c r="AD49" s="283">
        <f t="shared" si="1"/>
        <v>0</v>
      </c>
      <c r="AE49" s="139"/>
      <c r="AF49" s="139"/>
      <c r="AG49" s="139"/>
      <c r="AH49" s="140"/>
    </row>
    <row r="50" spans="1:34" x14ac:dyDescent="0.25">
      <c r="A50" s="187"/>
      <c r="B50" s="188"/>
      <c r="C50" s="280">
        <v>35</v>
      </c>
      <c r="D50" s="281"/>
      <c r="E50" s="282"/>
      <c r="F50" s="279" t="s">
        <v>189</v>
      </c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60"/>
      <c r="U50" s="261"/>
      <c r="V50" s="261"/>
      <c r="W50" s="261"/>
      <c r="X50" s="262"/>
      <c r="Y50" s="138"/>
      <c r="Z50" s="139"/>
      <c r="AA50" s="139"/>
      <c r="AB50" s="139"/>
      <c r="AC50" s="140"/>
      <c r="AD50" s="283">
        <f t="shared" si="1"/>
        <v>0</v>
      </c>
      <c r="AE50" s="139"/>
      <c r="AF50" s="139"/>
      <c r="AG50" s="139"/>
      <c r="AH50" s="140"/>
    </row>
    <row r="51" spans="1:34" ht="13" thickBot="1" x14ac:dyDescent="0.3">
      <c r="A51" s="187"/>
      <c r="B51" s="188"/>
      <c r="C51" s="280">
        <v>36</v>
      </c>
      <c r="D51" s="281"/>
      <c r="E51" s="282"/>
      <c r="F51" s="279" t="s">
        <v>133</v>
      </c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60"/>
      <c r="U51" s="261"/>
      <c r="V51" s="261"/>
      <c r="W51" s="261"/>
      <c r="X51" s="262"/>
      <c r="Y51" s="138"/>
      <c r="Z51" s="139"/>
      <c r="AA51" s="139"/>
      <c r="AB51" s="139"/>
      <c r="AC51" s="140"/>
      <c r="AD51" s="283">
        <f t="shared" si="1"/>
        <v>0</v>
      </c>
      <c r="AE51" s="139"/>
      <c r="AF51" s="139"/>
      <c r="AG51" s="139"/>
      <c r="AH51" s="140"/>
    </row>
    <row r="52" spans="1:34" ht="15.75" customHeight="1" thickBot="1" x14ac:dyDescent="0.3">
      <c r="A52" s="203"/>
      <c r="B52" s="204"/>
      <c r="C52" s="263">
        <v>5</v>
      </c>
      <c r="D52" s="264"/>
      <c r="E52" s="265"/>
      <c r="F52" s="189" t="s">
        <v>119</v>
      </c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297">
        <f>+SUM(T53:X62)</f>
        <v>0</v>
      </c>
      <c r="U52" s="298"/>
      <c r="V52" s="298"/>
      <c r="W52" s="298"/>
      <c r="X52" s="299"/>
      <c r="Y52" s="297">
        <f>Y53+Y54+Y55+Y56+Y57+Y58+Y59+Y60+Y61+Y62</f>
        <v>0</v>
      </c>
      <c r="Z52" s="298"/>
      <c r="AA52" s="298"/>
      <c r="AB52" s="298"/>
      <c r="AC52" s="299"/>
      <c r="AD52" s="297">
        <f t="shared" si="1"/>
        <v>0</v>
      </c>
      <c r="AE52" s="298"/>
      <c r="AF52" s="298"/>
      <c r="AG52" s="298"/>
      <c r="AH52" s="299"/>
    </row>
    <row r="53" spans="1:34" x14ac:dyDescent="0.25">
      <c r="A53" s="187"/>
      <c r="B53" s="188"/>
      <c r="C53" s="280">
        <v>50</v>
      </c>
      <c r="D53" s="281"/>
      <c r="E53" s="282"/>
      <c r="F53" s="278" t="s">
        <v>190</v>
      </c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57"/>
      <c r="U53" s="258"/>
      <c r="V53" s="258"/>
      <c r="W53" s="258"/>
      <c r="X53" s="258"/>
      <c r="Y53" s="368"/>
      <c r="Z53" s="369"/>
      <c r="AA53" s="369"/>
      <c r="AB53" s="369"/>
      <c r="AC53" s="370"/>
      <c r="AD53" s="362">
        <f t="shared" si="1"/>
        <v>0</v>
      </c>
      <c r="AE53" s="363"/>
      <c r="AF53" s="363"/>
      <c r="AG53" s="363"/>
      <c r="AH53" s="364"/>
    </row>
    <row r="54" spans="1:34" x14ac:dyDescent="0.25">
      <c r="A54" s="187"/>
      <c r="B54" s="188"/>
      <c r="C54" s="280">
        <v>51</v>
      </c>
      <c r="D54" s="281"/>
      <c r="E54" s="282"/>
      <c r="F54" s="278" t="s">
        <v>191</v>
      </c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60"/>
      <c r="U54" s="261"/>
      <c r="V54" s="261"/>
      <c r="W54" s="261"/>
      <c r="X54" s="261"/>
      <c r="Y54" s="138"/>
      <c r="Z54" s="139"/>
      <c r="AA54" s="139"/>
      <c r="AB54" s="139"/>
      <c r="AC54" s="140"/>
      <c r="AD54" s="365">
        <f t="shared" si="1"/>
        <v>0</v>
      </c>
      <c r="AE54" s="366"/>
      <c r="AF54" s="366"/>
      <c r="AG54" s="366"/>
      <c r="AH54" s="367"/>
    </row>
    <row r="55" spans="1:34" x14ac:dyDescent="0.25">
      <c r="A55" s="187"/>
      <c r="B55" s="188"/>
      <c r="C55" s="280">
        <v>52</v>
      </c>
      <c r="D55" s="281"/>
      <c r="E55" s="282"/>
      <c r="F55" s="278" t="s">
        <v>120</v>
      </c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60"/>
      <c r="U55" s="261"/>
      <c r="V55" s="261"/>
      <c r="W55" s="261"/>
      <c r="X55" s="261"/>
      <c r="Y55" s="138"/>
      <c r="Z55" s="139"/>
      <c r="AA55" s="139"/>
      <c r="AB55" s="139"/>
      <c r="AC55" s="140"/>
      <c r="AD55" s="365">
        <f t="shared" si="1"/>
        <v>0</v>
      </c>
      <c r="AE55" s="366"/>
      <c r="AF55" s="366"/>
      <c r="AG55" s="366"/>
      <c r="AH55" s="367"/>
    </row>
    <row r="56" spans="1:34" x14ac:dyDescent="0.25">
      <c r="A56" s="187"/>
      <c r="B56" s="188"/>
      <c r="C56" s="280">
        <v>53</v>
      </c>
      <c r="D56" s="281"/>
      <c r="E56" s="282"/>
      <c r="F56" s="278" t="s">
        <v>192</v>
      </c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60"/>
      <c r="U56" s="261"/>
      <c r="V56" s="261"/>
      <c r="W56" s="261"/>
      <c r="X56" s="261"/>
      <c r="Y56" s="138"/>
      <c r="Z56" s="139"/>
      <c r="AA56" s="139"/>
      <c r="AB56" s="139"/>
      <c r="AC56" s="140"/>
      <c r="AD56" s="365">
        <f t="shared" si="1"/>
        <v>0</v>
      </c>
      <c r="AE56" s="366"/>
      <c r="AF56" s="366"/>
      <c r="AG56" s="366"/>
      <c r="AH56" s="367"/>
    </row>
    <row r="57" spans="1:34" x14ac:dyDescent="0.25">
      <c r="A57" s="187"/>
      <c r="B57" s="188"/>
      <c r="C57" s="280">
        <v>54</v>
      </c>
      <c r="D57" s="281"/>
      <c r="E57" s="282"/>
      <c r="F57" s="278" t="s">
        <v>193</v>
      </c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60"/>
      <c r="U57" s="261"/>
      <c r="V57" s="261"/>
      <c r="W57" s="261"/>
      <c r="X57" s="261"/>
      <c r="Y57" s="138"/>
      <c r="Z57" s="139"/>
      <c r="AA57" s="139"/>
      <c r="AB57" s="139"/>
      <c r="AC57" s="140"/>
      <c r="AD57" s="365">
        <f t="shared" si="1"/>
        <v>0</v>
      </c>
      <c r="AE57" s="366"/>
      <c r="AF57" s="366"/>
      <c r="AG57" s="366"/>
      <c r="AH57" s="367"/>
    </row>
    <row r="58" spans="1:34" x14ac:dyDescent="0.25">
      <c r="A58" s="33"/>
      <c r="B58" s="34"/>
      <c r="C58" s="280">
        <v>55</v>
      </c>
      <c r="D58" s="281"/>
      <c r="E58" s="282"/>
      <c r="F58" s="278" t="s">
        <v>194</v>
      </c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60"/>
      <c r="U58" s="261"/>
      <c r="V58" s="261"/>
      <c r="W58" s="261"/>
      <c r="X58" s="261"/>
      <c r="Y58" s="138"/>
      <c r="Z58" s="139"/>
      <c r="AA58" s="139"/>
      <c r="AB58" s="139"/>
      <c r="AC58" s="140"/>
      <c r="AD58" s="365">
        <f t="shared" si="1"/>
        <v>0</v>
      </c>
      <c r="AE58" s="366"/>
      <c r="AF58" s="366"/>
      <c r="AG58" s="366"/>
      <c r="AH58" s="367"/>
    </row>
    <row r="59" spans="1:34" x14ac:dyDescent="0.25">
      <c r="A59" s="187"/>
      <c r="B59" s="188"/>
      <c r="C59" s="280">
        <v>56</v>
      </c>
      <c r="D59" s="281"/>
      <c r="E59" s="282"/>
      <c r="F59" s="309" t="s">
        <v>195</v>
      </c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260"/>
      <c r="U59" s="261"/>
      <c r="V59" s="261"/>
      <c r="W59" s="261"/>
      <c r="X59" s="261"/>
      <c r="Y59" s="138"/>
      <c r="Z59" s="139"/>
      <c r="AA59" s="139"/>
      <c r="AB59" s="139"/>
      <c r="AC59" s="140"/>
      <c r="AD59" s="365">
        <f t="shared" si="1"/>
        <v>0</v>
      </c>
      <c r="AE59" s="366"/>
      <c r="AF59" s="366"/>
      <c r="AG59" s="366"/>
      <c r="AH59" s="367"/>
    </row>
    <row r="60" spans="1:34" x14ac:dyDescent="0.25">
      <c r="A60" s="187"/>
      <c r="B60" s="188"/>
      <c r="C60" s="280">
        <v>57</v>
      </c>
      <c r="D60" s="281"/>
      <c r="E60" s="282"/>
      <c r="F60" s="309" t="s">
        <v>196</v>
      </c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260"/>
      <c r="U60" s="261"/>
      <c r="V60" s="261"/>
      <c r="W60" s="261"/>
      <c r="X60" s="261"/>
      <c r="Y60" s="138"/>
      <c r="Z60" s="139"/>
      <c r="AA60" s="139"/>
      <c r="AB60" s="139"/>
      <c r="AC60" s="140"/>
      <c r="AD60" s="365">
        <f t="shared" si="1"/>
        <v>0</v>
      </c>
      <c r="AE60" s="366"/>
      <c r="AF60" s="366"/>
      <c r="AG60" s="366"/>
      <c r="AH60" s="367"/>
    </row>
    <row r="61" spans="1:34" x14ac:dyDescent="0.25">
      <c r="A61" s="376"/>
      <c r="B61" s="377"/>
      <c r="C61" s="280">
        <v>58</v>
      </c>
      <c r="D61" s="281"/>
      <c r="E61" s="282"/>
      <c r="F61" s="309" t="s">
        <v>261</v>
      </c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80"/>
      <c r="U61" s="381"/>
      <c r="V61" s="381"/>
      <c r="W61" s="381"/>
      <c r="X61" s="381"/>
      <c r="Y61" s="135"/>
      <c r="Z61" s="136"/>
      <c r="AA61" s="136"/>
      <c r="AB61" s="136"/>
      <c r="AC61" s="137"/>
      <c r="AD61" s="365">
        <f t="shared" si="1"/>
        <v>0</v>
      </c>
      <c r="AE61" s="366"/>
      <c r="AF61" s="366"/>
      <c r="AG61" s="366"/>
      <c r="AH61" s="367"/>
    </row>
    <row r="62" spans="1:34" ht="13" thickBot="1" x14ac:dyDescent="0.3">
      <c r="A62" s="376"/>
      <c r="B62" s="377"/>
      <c r="C62" s="280">
        <v>59</v>
      </c>
      <c r="D62" s="281"/>
      <c r="E62" s="282"/>
      <c r="F62" s="309" t="s">
        <v>262</v>
      </c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71"/>
      <c r="U62" s="372"/>
      <c r="V62" s="372"/>
      <c r="W62" s="372"/>
      <c r="X62" s="372"/>
      <c r="Y62" s="181"/>
      <c r="Z62" s="182"/>
      <c r="AA62" s="182"/>
      <c r="AB62" s="182"/>
      <c r="AC62" s="183"/>
      <c r="AD62" s="373">
        <f t="shared" si="1"/>
        <v>0</v>
      </c>
      <c r="AE62" s="374"/>
      <c r="AF62" s="374"/>
      <c r="AG62" s="374"/>
      <c r="AH62" s="375"/>
    </row>
    <row r="63" spans="1:34" ht="15.75" customHeight="1" thickBot="1" x14ac:dyDescent="0.3">
      <c r="A63" s="203"/>
      <c r="B63" s="204"/>
      <c r="C63" s="216"/>
      <c r="D63" s="217"/>
      <c r="E63" s="218"/>
      <c r="F63" s="203" t="s">
        <v>264</v>
      </c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371">
        <f>T52+T48+T22+T12</f>
        <v>0</v>
      </c>
      <c r="U63" s="372"/>
      <c r="V63" s="372"/>
      <c r="W63" s="372"/>
      <c r="X63" s="378"/>
      <c r="Y63" s="371">
        <f>Y52+Y48+Y22+Y12</f>
        <v>0</v>
      </c>
      <c r="Z63" s="372"/>
      <c r="AA63" s="372"/>
      <c r="AB63" s="372"/>
      <c r="AC63" s="378"/>
      <c r="AD63" s="379">
        <f>AD52+AD48+AD22+AD12</f>
        <v>0</v>
      </c>
      <c r="AE63" s="182"/>
      <c r="AF63" s="182"/>
      <c r="AG63" s="182"/>
      <c r="AH63" s="183"/>
    </row>
  </sheetData>
  <mergeCells count="251">
    <mergeCell ref="A60:B60"/>
    <mergeCell ref="F60:S60"/>
    <mergeCell ref="T60:X60"/>
    <mergeCell ref="Y60:AC60"/>
    <mergeCell ref="AD60:AH60"/>
    <mergeCell ref="A59:B59"/>
    <mergeCell ref="T61:X61"/>
    <mergeCell ref="Y61:AC61"/>
    <mergeCell ref="AD61:AH61"/>
    <mergeCell ref="AD59:AH59"/>
    <mergeCell ref="A61:B61"/>
    <mergeCell ref="F61:S61"/>
    <mergeCell ref="C60:E60"/>
    <mergeCell ref="C61:E61"/>
    <mergeCell ref="A63:B63"/>
    <mergeCell ref="F63:S63"/>
    <mergeCell ref="T62:X62"/>
    <mergeCell ref="Y62:AC62"/>
    <mergeCell ref="AD62:AH62"/>
    <mergeCell ref="A62:B62"/>
    <mergeCell ref="F62:S62"/>
    <mergeCell ref="T63:X63"/>
    <mergeCell ref="Y63:AC63"/>
    <mergeCell ref="AD63:AH63"/>
    <mergeCell ref="C63:E63"/>
    <mergeCell ref="C62:E62"/>
    <mergeCell ref="A57:B57"/>
    <mergeCell ref="F57:S57"/>
    <mergeCell ref="T57:X57"/>
    <mergeCell ref="Y57:AC57"/>
    <mergeCell ref="AD57:AH57"/>
    <mergeCell ref="C57:E57"/>
    <mergeCell ref="C58:E58"/>
    <mergeCell ref="C59:E59"/>
    <mergeCell ref="F59:S59"/>
    <mergeCell ref="T59:X59"/>
    <mergeCell ref="Y59:AC59"/>
    <mergeCell ref="F58:S58"/>
    <mergeCell ref="T58:X58"/>
    <mergeCell ref="Y58:AC58"/>
    <mergeCell ref="AD58:AH58"/>
    <mergeCell ref="AD55:AH55"/>
    <mergeCell ref="A56:B56"/>
    <mergeCell ref="F56:S56"/>
    <mergeCell ref="T56:X56"/>
    <mergeCell ref="Y56:AC56"/>
    <mergeCell ref="AD56:AH56"/>
    <mergeCell ref="A55:B55"/>
    <mergeCell ref="F55:S55"/>
    <mergeCell ref="T55:X55"/>
    <mergeCell ref="Y55:AC55"/>
    <mergeCell ref="C55:E55"/>
    <mergeCell ref="C56:E56"/>
    <mergeCell ref="AD53:AH53"/>
    <mergeCell ref="A54:B54"/>
    <mergeCell ref="F54:S54"/>
    <mergeCell ref="T54:X54"/>
    <mergeCell ref="Y54:AC54"/>
    <mergeCell ref="AD54:AH54"/>
    <mergeCell ref="A53:B53"/>
    <mergeCell ref="F53:S53"/>
    <mergeCell ref="T53:X53"/>
    <mergeCell ref="Y53:AC53"/>
    <mergeCell ref="C53:E53"/>
    <mergeCell ref="C54:E54"/>
    <mergeCell ref="AD50:AH50"/>
    <mergeCell ref="A50:B50"/>
    <mergeCell ref="F50:S50"/>
    <mergeCell ref="T50:X50"/>
    <mergeCell ref="Y50:AC50"/>
    <mergeCell ref="C52:E52"/>
    <mergeCell ref="AD51:AH51"/>
    <mergeCell ref="A51:B51"/>
    <mergeCell ref="F51:S51"/>
    <mergeCell ref="T51:X51"/>
    <mergeCell ref="Y51:AC51"/>
    <mergeCell ref="C51:E51"/>
    <mergeCell ref="A52:B52"/>
    <mergeCell ref="F52:S52"/>
    <mergeCell ref="T52:X52"/>
    <mergeCell ref="Y52:AC52"/>
    <mergeCell ref="AD52:AH52"/>
    <mergeCell ref="C50:E50"/>
    <mergeCell ref="A31:B31"/>
    <mergeCell ref="F31:S31"/>
    <mergeCell ref="T31:X31"/>
    <mergeCell ref="Y31:AC31"/>
    <mergeCell ref="AD48:AH48"/>
    <mergeCell ref="A49:B49"/>
    <mergeCell ref="F49:S49"/>
    <mergeCell ref="T49:X49"/>
    <mergeCell ref="Y49:AC49"/>
    <mergeCell ref="AD49:AH49"/>
    <mergeCell ref="A48:B48"/>
    <mergeCell ref="F48:S48"/>
    <mergeCell ref="T48:X48"/>
    <mergeCell ref="Y48:AC48"/>
    <mergeCell ref="AD31:AH31"/>
    <mergeCell ref="AD43:AH46"/>
    <mergeCell ref="T45:X46"/>
    <mergeCell ref="Y45:AC46"/>
    <mergeCell ref="C48:E48"/>
    <mergeCell ref="C43:E47"/>
    <mergeCell ref="C49:E49"/>
    <mergeCell ref="A33:AH34"/>
    <mergeCell ref="A35:AH35"/>
    <mergeCell ref="C37:J37"/>
    <mergeCell ref="A29:B29"/>
    <mergeCell ref="F29:S29"/>
    <mergeCell ref="T29:X29"/>
    <mergeCell ref="Y29:AC29"/>
    <mergeCell ref="AD29:AH29"/>
    <mergeCell ref="A27:B27"/>
    <mergeCell ref="F27:S27"/>
    <mergeCell ref="T27:X27"/>
    <mergeCell ref="Y27:AC27"/>
    <mergeCell ref="C29:E29"/>
    <mergeCell ref="A28:B28"/>
    <mergeCell ref="C28:E28"/>
    <mergeCell ref="F28:S28"/>
    <mergeCell ref="AD28:AH28"/>
    <mergeCell ref="T28:X28"/>
    <mergeCell ref="Y28:AC28"/>
    <mergeCell ref="A26:B26"/>
    <mergeCell ref="F26:S26"/>
    <mergeCell ref="T26:X26"/>
    <mergeCell ref="Y26:AC26"/>
    <mergeCell ref="AD26:AH26"/>
    <mergeCell ref="A25:B25"/>
    <mergeCell ref="F25:S25"/>
    <mergeCell ref="T25:X25"/>
    <mergeCell ref="Y25:AC25"/>
    <mergeCell ref="A24:B24"/>
    <mergeCell ref="F24:S24"/>
    <mergeCell ref="T24:X24"/>
    <mergeCell ref="Y24:AC24"/>
    <mergeCell ref="AD24:AH24"/>
    <mergeCell ref="A23:B23"/>
    <mergeCell ref="F23:S23"/>
    <mergeCell ref="T23:X23"/>
    <mergeCell ref="Y23:AC23"/>
    <mergeCell ref="A21:B21"/>
    <mergeCell ref="F21:S21"/>
    <mergeCell ref="T21:X21"/>
    <mergeCell ref="Y21:AC21"/>
    <mergeCell ref="C21:E21"/>
    <mergeCell ref="A22:B22"/>
    <mergeCell ref="F22:S22"/>
    <mergeCell ref="T22:X22"/>
    <mergeCell ref="Y22:AC22"/>
    <mergeCell ref="C22:E22"/>
    <mergeCell ref="A20:B20"/>
    <mergeCell ref="F20:S20"/>
    <mergeCell ref="T20:X20"/>
    <mergeCell ref="Y20:AC20"/>
    <mergeCell ref="AD20:AH20"/>
    <mergeCell ref="A19:B19"/>
    <mergeCell ref="F19:S19"/>
    <mergeCell ref="T19:X19"/>
    <mergeCell ref="Y19:AC19"/>
    <mergeCell ref="C19:E19"/>
    <mergeCell ref="C20:E20"/>
    <mergeCell ref="A18:B18"/>
    <mergeCell ref="F18:S18"/>
    <mergeCell ref="T18:X18"/>
    <mergeCell ref="Y18:AC18"/>
    <mergeCell ref="AD18:AH18"/>
    <mergeCell ref="A17:B17"/>
    <mergeCell ref="F17:S17"/>
    <mergeCell ref="T17:X17"/>
    <mergeCell ref="Y17:AC17"/>
    <mergeCell ref="C17:E17"/>
    <mergeCell ref="C18:E18"/>
    <mergeCell ref="A15:B15"/>
    <mergeCell ref="F15:S15"/>
    <mergeCell ref="T15:X15"/>
    <mergeCell ref="Y15:AC15"/>
    <mergeCell ref="AD15:AH15"/>
    <mergeCell ref="A14:B14"/>
    <mergeCell ref="F14:S14"/>
    <mergeCell ref="T14:X14"/>
    <mergeCell ref="Y14:AC14"/>
    <mergeCell ref="C14:E14"/>
    <mergeCell ref="C15:E15"/>
    <mergeCell ref="AD14:AH14"/>
    <mergeCell ref="AD12:AH12"/>
    <mergeCell ref="A13:B13"/>
    <mergeCell ref="F13:S13"/>
    <mergeCell ref="T13:X13"/>
    <mergeCell ref="Y13:AC13"/>
    <mergeCell ref="AD13:AH13"/>
    <mergeCell ref="A12:B12"/>
    <mergeCell ref="F12:S12"/>
    <mergeCell ref="T12:X12"/>
    <mergeCell ref="Y12:AC12"/>
    <mergeCell ref="C12:E12"/>
    <mergeCell ref="C13:E13"/>
    <mergeCell ref="A1:AH1"/>
    <mergeCell ref="A2:AH2"/>
    <mergeCell ref="C4:J4"/>
    <mergeCell ref="O4:S4"/>
    <mergeCell ref="T4:Y4"/>
    <mergeCell ref="F7:M7"/>
    <mergeCell ref="T11:X11"/>
    <mergeCell ref="Y11:AC11"/>
    <mergeCell ref="AD11:AH11"/>
    <mergeCell ref="A9:B11"/>
    <mergeCell ref="F9:S11"/>
    <mergeCell ref="T9:AC9"/>
    <mergeCell ref="AD9:AH10"/>
    <mergeCell ref="T10:X10"/>
    <mergeCell ref="Y10:AC10"/>
    <mergeCell ref="C9:E11"/>
    <mergeCell ref="C16:E16"/>
    <mergeCell ref="C23:E23"/>
    <mergeCell ref="C24:E24"/>
    <mergeCell ref="C25:E25"/>
    <mergeCell ref="C26:E26"/>
    <mergeCell ref="C27:E27"/>
    <mergeCell ref="AD17:AH17"/>
    <mergeCell ref="AD19:AH19"/>
    <mergeCell ref="AD21:AH21"/>
    <mergeCell ref="AD22:AH22"/>
    <mergeCell ref="AD23:AH23"/>
    <mergeCell ref="AD25:AH25"/>
    <mergeCell ref="AD27:AH27"/>
    <mergeCell ref="F16:S16"/>
    <mergeCell ref="T16:X16"/>
    <mergeCell ref="Y16:AC16"/>
    <mergeCell ref="AD16:AH16"/>
    <mergeCell ref="F30:S30"/>
    <mergeCell ref="Y30:AC30"/>
    <mergeCell ref="F32:S32"/>
    <mergeCell ref="T32:X32"/>
    <mergeCell ref="Y32:AC32"/>
    <mergeCell ref="AD32:AH32"/>
    <mergeCell ref="C30:E30"/>
    <mergeCell ref="C31:E31"/>
    <mergeCell ref="C32:E32"/>
    <mergeCell ref="T30:X30"/>
    <mergeCell ref="AD30:AH30"/>
    <mergeCell ref="A32:B32"/>
    <mergeCell ref="O37:S37"/>
    <mergeCell ref="T37:Y37"/>
    <mergeCell ref="F41:M41"/>
    <mergeCell ref="T47:X47"/>
    <mergeCell ref="Y47:AC47"/>
    <mergeCell ref="AD47:AH47"/>
    <mergeCell ref="A43:B47"/>
    <mergeCell ref="F43:S47"/>
    <mergeCell ref="T43:AC44"/>
  </mergeCells>
  <pageMargins left="0.2" right="0.2" top="0.3" bottom="0.62" header="0.16" footer="0.23"/>
  <pageSetup paperSize="9" scale="77" orientation="landscape" horizontalDpi="300" verticalDpi="300" r:id="rId1"/>
  <rowBreaks count="1" manualBreakCount="1">
    <brk id="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O27"/>
  <sheetViews>
    <sheetView showGridLines="0" tabSelected="1" view="pageBreakPreview" zoomScaleNormal="100" zoomScaleSheetLayoutView="100" workbookViewId="0">
      <selection activeCell="AX26" sqref="AX26"/>
    </sheetView>
  </sheetViews>
  <sheetFormatPr baseColWidth="10" defaultColWidth="3.7265625" defaultRowHeight="12.5" x14ac:dyDescent="0.25"/>
  <cols>
    <col min="1" max="2" width="3.7265625" style="1"/>
    <col min="3" max="4" width="3.26953125" style="1" customWidth="1"/>
    <col min="5" max="5" width="1.26953125" style="1" customWidth="1"/>
    <col min="6" max="25" width="3.7265625" style="1"/>
    <col min="26" max="26" width="8.54296875" style="1" customWidth="1"/>
    <col min="27" max="29" width="3.7265625" style="1"/>
    <col min="30" max="30" width="4.81640625" style="1" customWidth="1"/>
    <col min="31" max="31" width="2.26953125" style="1" customWidth="1"/>
    <col min="32" max="16384" width="3.7265625" style="1"/>
  </cols>
  <sheetData>
    <row r="1" spans="1:41" x14ac:dyDescent="0.25">
      <c r="A1" s="153" t="s">
        <v>70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</row>
    <row r="2" spans="1:41" ht="13" thickBot="1" x14ac:dyDescent="0.3">
      <c r="A2" s="156" t="s">
        <v>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</row>
    <row r="3" spans="1:4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9"/>
    </row>
    <row r="4" spans="1:41" x14ac:dyDescent="0.25">
      <c r="A4" s="10"/>
      <c r="B4" s="11" t="s">
        <v>66</v>
      </c>
      <c r="C4" s="160"/>
      <c r="D4" s="160"/>
      <c r="E4" s="160"/>
      <c r="F4" s="160"/>
      <c r="G4" s="160"/>
      <c r="H4" s="160"/>
      <c r="I4" s="160"/>
      <c r="J4" s="161"/>
      <c r="K4" s="11"/>
      <c r="L4" s="11"/>
      <c r="M4" s="11"/>
      <c r="N4" s="11"/>
      <c r="O4" s="139" t="s">
        <v>147</v>
      </c>
      <c r="P4" s="139"/>
      <c r="Q4" s="139"/>
      <c r="R4" s="139"/>
      <c r="S4" s="139"/>
      <c r="T4" s="159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1"/>
      <c r="AG4" s="11"/>
      <c r="AH4" s="11"/>
      <c r="AI4" s="11"/>
      <c r="AJ4" s="11"/>
      <c r="AK4" s="11"/>
      <c r="AL4" s="11"/>
      <c r="AM4" s="11"/>
      <c r="AN4" s="11"/>
      <c r="AO4" s="12"/>
    </row>
    <row r="5" spans="1:41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2"/>
    </row>
    <row r="6" spans="1:41" x14ac:dyDescent="0.25">
      <c r="A6" s="10"/>
      <c r="B6" s="11"/>
      <c r="C6" s="11"/>
      <c r="D6" s="11"/>
      <c r="E6" s="11"/>
      <c r="F6" s="13" t="s">
        <v>26</v>
      </c>
      <c r="G6" s="13" t="s">
        <v>26</v>
      </c>
      <c r="H6" s="13" t="s">
        <v>26</v>
      </c>
      <c r="I6" s="13" t="s">
        <v>26</v>
      </c>
      <c r="J6" s="13" t="s">
        <v>55</v>
      </c>
      <c r="K6" s="13" t="s">
        <v>55</v>
      </c>
      <c r="L6" s="13" t="s">
        <v>53</v>
      </c>
      <c r="M6" s="13" t="s">
        <v>53</v>
      </c>
      <c r="N6" s="11"/>
      <c r="O6" s="11"/>
      <c r="P6" s="11"/>
      <c r="Q6" s="11"/>
      <c r="R6" s="13"/>
      <c r="S6" s="13"/>
      <c r="T6" s="13"/>
      <c r="U6" s="13"/>
      <c r="V6" s="13"/>
      <c r="W6" s="11"/>
      <c r="X6" s="13"/>
      <c r="Y6" s="11"/>
      <c r="Z6" s="11"/>
      <c r="AA6" s="13" t="s">
        <v>26</v>
      </c>
      <c r="AB6" s="13" t="s">
        <v>26</v>
      </c>
      <c r="AC6" s="13"/>
      <c r="AD6" s="11"/>
      <c r="AE6" s="11"/>
      <c r="AF6" s="11"/>
      <c r="AG6" s="11"/>
      <c r="AH6" s="11"/>
      <c r="AI6" s="11"/>
      <c r="AJ6" s="13">
        <v>0</v>
      </c>
      <c r="AK6" s="11"/>
      <c r="AL6" s="11"/>
      <c r="AM6" s="11"/>
      <c r="AN6" s="11"/>
      <c r="AO6" s="12"/>
    </row>
    <row r="7" spans="1:41" x14ac:dyDescent="0.25">
      <c r="A7" s="10"/>
      <c r="B7" s="11"/>
      <c r="C7" s="11"/>
      <c r="D7" s="11"/>
      <c r="E7" s="11"/>
      <c r="F7" s="168" t="s">
        <v>60</v>
      </c>
      <c r="G7" s="168"/>
      <c r="H7" s="168"/>
      <c r="I7" s="168"/>
      <c r="J7" s="168"/>
      <c r="K7" s="168"/>
      <c r="L7" s="168"/>
      <c r="M7" s="168"/>
      <c r="N7" s="14"/>
      <c r="O7" s="11"/>
      <c r="P7" s="11"/>
      <c r="Q7" s="11"/>
      <c r="R7" s="11"/>
      <c r="S7" s="11"/>
      <c r="T7" s="15" t="s">
        <v>61</v>
      </c>
      <c r="U7" s="15"/>
      <c r="V7" s="11"/>
      <c r="W7" s="11"/>
      <c r="X7" s="11" t="s">
        <v>67</v>
      </c>
      <c r="Y7" s="11"/>
      <c r="Z7" s="11"/>
      <c r="AA7" s="11"/>
      <c r="AB7" s="14" t="s">
        <v>58</v>
      </c>
      <c r="AC7" s="11"/>
      <c r="AD7" s="11"/>
      <c r="AE7" s="11"/>
      <c r="AF7" s="11"/>
      <c r="AG7" s="11"/>
      <c r="AH7" s="11"/>
      <c r="AI7" s="11"/>
      <c r="AJ7" s="15" t="s">
        <v>54</v>
      </c>
      <c r="AK7" s="11"/>
      <c r="AL7" s="11"/>
      <c r="AM7" s="11"/>
      <c r="AN7" s="11"/>
      <c r="AO7" s="12"/>
    </row>
    <row r="8" spans="1:41" ht="13" thickBo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8"/>
    </row>
    <row r="9" spans="1:41" ht="15.75" customHeight="1" thickBot="1" x14ac:dyDescent="0.3">
      <c r="A9" s="172" t="s">
        <v>270</v>
      </c>
      <c r="B9" s="173"/>
      <c r="C9" s="162" t="s">
        <v>165</v>
      </c>
      <c r="D9" s="163"/>
      <c r="E9" s="164"/>
      <c r="F9" s="162" t="s">
        <v>7</v>
      </c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4"/>
      <c r="AA9" s="147" t="s">
        <v>1</v>
      </c>
      <c r="AB9" s="148"/>
      <c r="AC9" s="148"/>
      <c r="AD9" s="148"/>
      <c r="AE9" s="148"/>
      <c r="AF9" s="148"/>
      <c r="AG9" s="148"/>
      <c r="AH9" s="148"/>
      <c r="AI9" s="148"/>
      <c r="AJ9" s="149"/>
      <c r="AK9" s="162" t="s">
        <v>2</v>
      </c>
      <c r="AL9" s="163"/>
      <c r="AM9" s="163"/>
      <c r="AN9" s="163"/>
      <c r="AO9" s="164"/>
    </row>
    <row r="10" spans="1:41" ht="15.75" customHeight="1" thickBot="1" x14ac:dyDescent="0.3">
      <c r="A10" s="174"/>
      <c r="B10" s="175"/>
      <c r="C10" s="169"/>
      <c r="D10" s="170"/>
      <c r="E10" s="171"/>
      <c r="F10" s="169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1"/>
      <c r="AA10" s="141" t="s">
        <v>63</v>
      </c>
      <c r="AB10" s="142"/>
      <c r="AC10" s="142"/>
      <c r="AD10" s="142"/>
      <c r="AE10" s="142"/>
      <c r="AF10" s="147" t="s">
        <v>64</v>
      </c>
      <c r="AG10" s="148"/>
      <c r="AH10" s="148"/>
      <c r="AI10" s="148"/>
      <c r="AJ10" s="149"/>
      <c r="AK10" s="165"/>
      <c r="AL10" s="166"/>
      <c r="AM10" s="166"/>
      <c r="AN10" s="166"/>
      <c r="AO10" s="167"/>
    </row>
    <row r="11" spans="1:41" ht="15.75" customHeight="1" thickBot="1" x14ac:dyDescent="0.3">
      <c r="A11" s="176"/>
      <c r="B11" s="177"/>
      <c r="C11" s="165"/>
      <c r="D11" s="166"/>
      <c r="E11" s="167"/>
      <c r="F11" s="165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7"/>
      <c r="AA11" s="147">
        <v>1</v>
      </c>
      <c r="AB11" s="148"/>
      <c r="AC11" s="148"/>
      <c r="AD11" s="148"/>
      <c r="AE11" s="149"/>
      <c r="AF11" s="147">
        <v>2</v>
      </c>
      <c r="AG11" s="148"/>
      <c r="AH11" s="148"/>
      <c r="AI11" s="148"/>
      <c r="AJ11" s="149"/>
      <c r="AK11" s="147">
        <v>3</v>
      </c>
      <c r="AL11" s="148"/>
      <c r="AM11" s="148"/>
      <c r="AN11" s="148"/>
      <c r="AO11" s="149"/>
    </row>
    <row r="12" spans="1:41" ht="16.5" customHeight="1" thickBot="1" x14ac:dyDescent="0.3">
      <c r="A12" s="203"/>
      <c r="B12" s="204"/>
      <c r="C12" s="216">
        <v>90</v>
      </c>
      <c r="D12" s="217"/>
      <c r="E12" s="218"/>
      <c r="F12" s="189" t="s">
        <v>197</v>
      </c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1"/>
      <c r="AA12" s="147">
        <f>AA13+AA16+AA19</f>
        <v>0</v>
      </c>
      <c r="AB12" s="148"/>
      <c r="AC12" s="148"/>
      <c r="AD12" s="148"/>
      <c r="AE12" s="149"/>
      <c r="AF12" s="147">
        <f>AF13+AF16+AF19</f>
        <v>0</v>
      </c>
      <c r="AG12" s="148"/>
      <c r="AH12" s="148"/>
      <c r="AI12" s="148"/>
      <c r="AJ12" s="149"/>
      <c r="AK12" s="147">
        <f t="shared" ref="AK12:AK27" si="0">AA12+AF12</f>
        <v>0</v>
      </c>
      <c r="AL12" s="148"/>
      <c r="AM12" s="148"/>
      <c r="AN12" s="148"/>
      <c r="AO12" s="149"/>
    </row>
    <row r="13" spans="1:41" ht="16.5" customHeight="1" x14ac:dyDescent="0.25">
      <c r="A13" s="51"/>
      <c r="B13" s="40"/>
      <c r="C13" s="210">
        <v>901</v>
      </c>
      <c r="D13" s="211"/>
      <c r="E13" s="211"/>
      <c r="F13" s="205" t="s">
        <v>198</v>
      </c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7"/>
      <c r="AA13" s="144">
        <f>AA14+AA15</f>
        <v>0</v>
      </c>
      <c r="AB13" s="145"/>
      <c r="AC13" s="145"/>
      <c r="AD13" s="145"/>
      <c r="AE13" s="146"/>
      <c r="AF13" s="144">
        <f>AF14+AF15</f>
        <v>0</v>
      </c>
      <c r="AG13" s="145"/>
      <c r="AH13" s="145"/>
      <c r="AI13" s="145"/>
      <c r="AJ13" s="146"/>
      <c r="AK13" s="144">
        <f t="shared" si="0"/>
        <v>0</v>
      </c>
      <c r="AL13" s="145"/>
      <c r="AM13" s="145"/>
      <c r="AN13" s="145"/>
      <c r="AO13" s="146"/>
    </row>
    <row r="14" spans="1:41" x14ac:dyDescent="0.25">
      <c r="A14" s="201"/>
      <c r="B14" s="202"/>
      <c r="C14" s="219">
        <v>9011</v>
      </c>
      <c r="D14" s="220"/>
      <c r="E14" s="220"/>
      <c r="F14" s="192" t="s">
        <v>202</v>
      </c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4"/>
      <c r="AA14" s="139"/>
      <c r="AB14" s="139"/>
      <c r="AC14" s="139"/>
      <c r="AD14" s="139"/>
      <c r="AE14" s="140"/>
      <c r="AF14" s="138"/>
      <c r="AG14" s="139"/>
      <c r="AH14" s="139"/>
      <c r="AI14" s="139"/>
      <c r="AJ14" s="140"/>
      <c r="AK14" s="138">
        <f t="shared" si="0"/>
        <v>0</v>
      </c>
      <c r="AL14" s="139"/>
      <c r="AM14" s="139"/>
      <c r="AN14" s="139"/>
      <c r="AO14" s="140"/>
    </row>
    <row r="15" spans="1:41" ht="16.5" customHeight="1" x14ac:dyDescent="0.25">
      <c r="A15" s="187"/>
      <c r="B15" s="188"/>
      <c r="C15" s="138">
        <v>9012</v>
      </c>
      <c r="D15" s="139"/>
      <c r="E15" s="139"/>
      <c r="F15" s="195" t="s">
        <v>203</v>
      </c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7"/>
      <c r="AA15" s="139"/>
      <c r="AB15" s="139"/>
      <c r="AC15" s="139"/>
      <c r="AD15" s="139"/>
      <c r="AE15" s="140"/>
      <c r="AF15" s="138"/>
      <c r="AG15" s="139"/>
      <c r="AH15" s="139"/>
      <c r="AI15" s="139"/>
      <c r="AJ15" s="140"/>
      <c r="AK15" s="138">
        <f t="shared" si="0"/>
        <v>0</v>
      </c>
      <c r="AL15" s="139"/>
      <c r="AM15" s="139"/>
      <c r="AN15" s="139"/>
      <c r="AO15" s="140"/>
    </row>
    <row r="16" spans="1:41" ht="16.5" customHeight="1" x14ac:dyDescent="0.25">
      <c r="A16" s="33"/>
      <c r="B16" s="34"/>
      <c r="C16" s="135">
        <v>902</v>
      </c>
      <c r="D16" s="136"/>
      <c r="E16" s="136"/>
      <c r="F16" s="198" t="s">
        <v>199</v>
      </c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200"/>
      <c r="AA16" s="178">
        <f>AA17+AA18</f>
        <v>0</v>
      </c>
      <c r="AB16" s="179"/>
      <c r="AC16" s="179"/>
      <c r="AD16" s="179"/>
      <c r="AE16" s="180"/>
      <c r="AF16" s="178">
        <f>AF17+AF18</f>
        <v>0</v>
      </c>
      <c r="AG16" s="179"/>
      <c r="AH16" s="179"/>
      <c r="AI16" s="179"/>
      <c r="AJ16" s="180"/>
      <c r="AK16" s="178">
        <f t="shared" si="0"/>
        <v>0</v>
      </c>
      <c r="AL16" s="179"/>
      <c r="AM16" s="179"/>
      <c r="AN16" s="179"/>
      <c r="AO16" s="180"/>
    </row>
    <row r="17" spans="1:41" ht="16.5" customHeight="1" x14ac:dyDescent="0.25">
      <c r="A17" s="33"/>
      <c r="B17" s="34"/>
      <c r="C17" s="138">
        <v>9020</v>
      </c>
      <c r="D17" s="139"/>
      <c r="E17" s="139"/>
      <c r="F17" s="192" t="s">
        <v>204</v>
      </c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4"/>
      <c r="AA17" s="138"/>
      <c r="AB17" s="139"/>
      <c r="AC17" s="139"/>
      <c r="AD17" s="139"/>
      <c r="AE17" s="140"/>
      <c r="AF17" s="138"/>
      <c r="AG17" s="139"/>
      <c r="AH17" s="139"/>
      <c r="AI17" s="139"/>
      <c r="AJ17" s="140"/>
      <c r="AK17" s="138">
        <f t="shared" si="0"/>
        <v>0</v>
      </c>
      <c r="AL17" s="139"/>
      <c r="AM17" s="139"/>
      <c r="AN17" s="139"/>
      <c r="AO17" s="140"/>
    </row>
    <row r="18" spans="1:41" ht="14.25" customHeight="1" x14ac:dyDescent="0.25">
      <c r="A18" s="33"/>
      <c r="B18" s="34"/>
      <c r="C18" s="138">
        <v>9021</v>
      </c>
      <c r="D18" s="139"/>
      <c r="E18" s="139"/>
      <c r="F18" s="195" t="s">
        <v>205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7"/>
      <c r="AA18" s="138"/>
      <c r="AB18" s="139"/>
      <c r="AC18" s="139"/>
      <c r="AD18" s="139"/>
      <c r="AE18" s="140"/>
      <c r="AF18" s="138"/>
      <c r="AG18" s="139"/>
      <c r="AH18" s="139"/>
      <c r="AI18" s="139"/>
      <c r="AJ18" s="140"/>
      <c r="AK18" s="138">
        <f t="shared" si="0"/>
        <v>0</v>
      </c>
      <c r="AL18" s="139"/>
      <c r="AM18" s="139"/>
      <c r="AN18" s="139"/>
      <c r="AO18" s="140"/>
    </row>
    <row r="19" spans="1:41" s="2" customFormat="1" ht="16.5" customHeight="1" thickBot="1" x14ac:dyDescent="0.3">
      <c r="A19" s="201"/>
      <c r="B19" s="202"/>
      <c r="C19" s="213">
        <v>909</v>
      </c>
      <c r="D19" s="214"/>
      <c r="E19" s="214"/>
      <c r="F19" s="184" t="s">
        <v>200</v>
      </c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6"/>
      <c r="AA19" s="138"/>
      <c r="AB19" s="139"/>
      <c r="AC19" s="139"/>
      <c r="AD19" s="139"/>
      <c r="AE19" s="140"/>
      <c r="AF19" s="150"/>
      <c r="AG19" s="151"/>
      <c r="AH19" s="151"/>
      <c r="AI19" s="151"/>
      <c r="AJ19" s="152"/>
      <c r="AK19" s="138">
        <f t="shared" si="0"/>
        <v>0</v>
      </c>
      <c r="AL19" s="139"/>
      <c r="AM19" s="139"/>
      <c r="AN19" s="139"/>
      <c r="AO19" s="140"/>
    </row>
    <row r="20" spans="1:41" ht="16.5" customHeight="1" thickBot="1" x14ac:dyDescent="0.3">
      <c r="A20" s="203"/>
      <c r="B20" s="204"/>
      <c r="C20" s="216">
        <v>91</v>
      </c>
      <c r="D20" s="217"/>
      <c r="E20" s="218"/>
      <c r="F20" s="189" t="s">
        <v>201</v>
      </c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1"/>
      <c r="AA20" s="147">
        <f>AA21+AA24+AA27</f>
        <v>0</v>
      </c>
      <c r="AB20" s="148"/>
      <c r="AC20" s="148"/>
      <c r="AD20" s="148"/>
      <c r="AE20" s="149"/>
      <c r="AF20" s="147">
        <f>AF21+AF24+AF27</f>
        <v>0</v>
      </c>
      <c r="AG20" s="148"/>
      <c r="AH20" s="148"/>
      <c r="AI20" s="148"/>
      <c r="AJ20" s="149"/>
      <c r="AK20" s="147">
        <f t="shared" si="0"/>
        <v>0</v>
      </c>
      <c r="AL20" s="148"/>
      <c r="AM20" s="148"/>
      <c r="AN20" s="148"/>
      <c r="AO20" s="149"/>
    </row>
    <row r="21" spans="1:41" ht="16.5" customHeight="1" x14ac:dyDescent="0.25">
      <c r="A21" s="208"/>
      <c r="B21" s="209"/>
      <c r="C21" s="210">
        <v>911</v>
      </c>
      <c r="D21" s="211"/>
      <c r="E21" s="212"/>
      <c r="F21" s="205" t="s">
        <v>206</v>
      </c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7"/>
      <c r="AA21" s="144">
        <f>AA22+AA23</f>
        <v>0</v>
      </c>
      <c r="AB21" s="145"/>
      <c r="AC21" s="145"/>
      <c r="AD21" s="145"/>
      <c r="AE21" s="146"/>
      <c r="AF21" s="144">
        <f>AF22+AF23</f>
        <v>0</v>
      </c>
      <c r="AG21" s="145"/>
      <c r="AH21" s="145"/>
      <c r="AI21" s="145"/>
      <c r="AJ21" s="146"/>
      <c r="AK21" s="141">
        <f t="shared" si="0"/>
        <v>0</v>
      </c>
      <c r="AL21" s="142"/>
      <c r="AM21" s="142"/>
      <c r="AN21" s="142"/>
      <c r="AO21" s="143"/>
    </row>
    <row r="22" spans="1:41" ht="16.5" customHeight="1" x14ac:dyDescent="0.25">
      <c r="A22" s="187"/>
      <c r="B22" s="188"/>
      <c r="C22" s="138">
        <v>9110</v>
      </c>
      <c r="D22" s="139"/>
      <c r="E22" s="140"/>
      <c r="F22" s="192" t="s">
        <v>207</v>
      </c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4"/>
      <c r="AA22" s="138"/>
      <c r="AB22" s="139"/>
      <c r="AC22" s="139"/>
      <c r="AD22" s="139"/>
      <c r="AE22" s="140"/>
      <c r="AF22" s="138"/>
      <c r="AG22" s="139"/>
      <c r="AH22" s="139"/>
      <c r="AI22" s="139"/>
      <c r="AJ22" s="140"/>
      <c r="AK22" s="138">
        <f t="shared" si="0"/>
        <v>0</v>
      </c>
      <c r="AL22" s="139"/>
      <c r="AM22" s="139"/>
      <c r="AN22" s="139"/>
      <c r="AO22" s="140"/>
    </row>
    <row r="23" spans="1:41" ht="16.5" customHeight="1" x14ac:dyDescent="0.25">
      <c r="A23" s="187"/>
      <c r="B23" s="188"/>
      <c r="C23" s="138">
        <v>9111</v>
      </c>
      <c r="D23" s="139"/>
      <c r="E23" s="140"/>
      <c r="F23" s="195" t="s">
        <v>208</v>
      </c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7"/>
      <c r="AA23" s="138"/>
      <c r="AB23" s="139"/>
      <c r="AC23" s="139"/>
      <c r="AD23" s="139"/>
      <c r="AE23" s="140"/>
      <c r="AF23" s="138"/>
      <c r="AG23" s="139"/>
      <c r="AH23" s="139"/>
      <c r="AI23" s="139"/>
      <c r="AJ23" s="140"/>
      <c r="AK23" s="138">
        <f t="shared" si="0"/>
        <v>0</v>
      </c>
      <c r="AL23" s="139"/>
      <c r="AM23" s="139"/>
      <c r="AN23" s="139"/>
      <c r="AO23" s="140"/>
    </row>
    <row r="24" spans="1:41" ht="16.5" customHeight="1" x14ac:dyDescent="0.25">
      <c r="A24" s="187"/>
      <c r="B24" s="188"/>
      <c r="C24" s="135">
        <v>912</v>
      </c>
      <c r="D24" s="136"/>
      <c r="E24" s="137"/>
      <c r="F24" s="198" t="s">
        <v>209</v>
      </c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200"/>
      <c r="AA24" s="141">
        <f>AA25+AA26</f>
        <v>0</v>
      </c>
      <c r="AB24" s="142"/>
      <c r="AC24" s="142"/>
      <c r="AD24" s="142"/>
      <c r="AE24" s="143"/>
      <c r="AF24" s="141">
        <f>AF25+AF26</f>
        <v>0</v>
      </c>
      <c r="AG24" s="142"/>
      <c r="AH24" s="142"/>
      <c r="AI24" s="142"/>
      <c r="AJ24" s="143"/>
      <c r="AK24" s="141">
        <f t="shared" si="0"/>
        <v>0</v>
      </c>
      <c r="AL24" s="142"/>
      <c r="AM24" s="142"/>
      <c r="AN24" s="142"/>
      <c r="AO24" s="143"/>
    </row>
    <row r="25" spans="1:41" ht="16.5" customHeight="1" x14ac:dyDescent="0.25">
      <c r="A25" s="187"/>
      <c r="B25" s="188"/>
      <c r="C25" s="138">
        <v>9120</v>
      </c>
      <c r="D25" s="139"/>
      <c r="E25" s="140"/>
      <c r="F25" s="192" t="s">
        <v>210</v>
      </c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4"/>
      <c r="AA25" s="138"/>
      <c r="AB25" s="139"/>
      <c r="AC25" s="139"/>
      <c r="AD25" s="139"/>
      <c r="AE25" s="140"/>
      <c r="AF25" s="138"/>
      <c r="AG25" s="139"/>
      <c r="AH25" s="139"/>
      <c r="AI25" s="139"/>
      <c r="AJ25" s="140"/>
      <c r="AK25" s="138">
        <f t="shared" si="0"/>
        <v>0</v>
      </c>
      <c r="AL25" s="139"/>
      <c r="AM25" s="139"/>
      <c r="AN25" s="139"/>
      <c r="AO25" s="140"/>
    </row>
    <row r="26" spans="1:41" ht="16.5" customHeight="1" x14ac:dyDescent="0.25">
      <c r="A26" s="187"/>
      <c r="B26" s="188"/>
      <c r="C26" s="138">
        <v>9121</v>
      </c>
      <c r="D26" s="139"/>
      <c r="E26" s="140"/>
      <c r="F26" s="195" t="s">
        <v>211</v>
      </c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7"/>
      <c r="AA26" s="138"/>
      <c r="AB26" s="139"/>
      <c r="AC26" s="139"/>
      <c r="AD26" s="139"/>
      <c r="AE26" s="140"/>
      <c r="AF26" s="138"/>
      <c r="AG26" s="139"/>
      <c r="AH26" s="139"/>
      <c r="AI26" s="139"/>
      <c r="AJ26" s="140"/>
      <c r="AK26" s="138">
        <f t="shared" si="0"/>
        <v>0</v>
      </c>
      <c r="AL26" s="139"/>
      <c r="AM26" s="139"/>
      <c r="AN26" s="139"/>
      <c r="AO26" s="140"/>
    </row>
    <row r="27" spans="1:41" ht="16.5" customHeight="1" thickBot="1" x14ac:dyDescent="0.3">
      <c r="A27" s="187"/>
      <c r="B27" s="188"/>
      <c r="C27" s="213">
        <v>919</v>
      </c>
      <c r="D27" s="214"/>
      <c r="E27" s="215"/>
      <c r="F27" s="184" t="s">
        <v>212</v>
      </c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6"/>
      <c r="AA27" s="135"/>
      <c r="AB27" s="136"/>
      <c r="AC27" s="136"/>
      <c r="AD27" s="136"/>
      <c r="AE27" s="137"/>
      <c r="AF27" s="135"/>
      <c r="AG27" s="136"/>
      <c r="AH27" s="136"/>
      <c r="AI27" s="136"/>
      <c r="AJ27" s="137"/>
      <c r="AK27" s="181">
        <f t="shared" si="0"/>
        <v>0</v>
      </c>
      <c r="AL27" s="182"/>
      <c r="AM27" s="182"/>
      <c r="AN27" s="182"/>
      <c r="AO27" s="183"/>
    </row>
  </sheetData>
  <mergeCells count="108">
    <mergeCell ref="F25:Z25"/>
    <mergeCell ref="F26:Z26"/>
    <mergeCell ref="AA12:AE12"/>
    <mergeCell ref="C12:E12"/>
    <mergeCell ref="C14:E14"/>
    <mergeCell ref="C15:E15"/>
    <mergeCell ref="C20:E20"/>
    <mergeCell ref="C19:E19"/>
    <mergeCell ref="C13:E13"/>
    <mergeCell ref="F13:Z13"/>
    <mergeCell ref="C16:E16"/>
    <mergeCell ref="C17:E17"/>
    <mergeCell ref="C18:E18"/>
    <mergeCell ref="A15:B15"/>
    <mergeCell ref="A23:B23"/>
    <mergeCell ref="A24:B24"/>
    <mergeCell ref="A27:B27"/>
    <mergeCell ref="A20:B20"/>
    <mergeCell ref="A21:B21"/>
    <mergeCell ref="A22:B22"/>
    <mergeCell ref="AA21:AE21"/>
    <mergeCell ref="AA27:AE27"/>
    <mergeCell ref="AA22:AE22"/>
    <mergeCell ref="AA23:AE23"/>
    <mergeCell ref="AA24:AE24"/>
    <mergeCell ref="AA25:AE25"/>
    <mergeCell ref="AA26:AE26"/>
    <mergeCell ref="C21:E21"/>
    <mergeCell ref="C22:E22"/>
    <mergeCell ref="C23:E23"/>
    <mergeCell ref="C24:E24"/>
    <mergeCell ref="C25:E25"/>
    <mergeCell ref="C26:E26"/>
    <mergeCell ref="C27:E27"/>
    <mergeCell ref="F22:Z22"/>
    <mergeCell ref="F23:Z23"/>
    <mergeCell ref="F24:Z24"/>
    <mergeCell ref="AK27:AO27"/>
    <mergeCell ref="F27:Z27"/>
    <mergeCell ref="A25:B25"/>
    <mergeCell ref="A26:B26"/>
    <mergeCell ref="F12:Z12"/>
    <mergeCell ref="F14:Z14"/>
    <mergeCell ref="F15:Z15"/>
    <mergeCell ref="F16:Z16"/>
    <mergeCell ref="AF25:AJ25"/>
    <mergeCell ref="A19:B19"/>
    <mergeCell ref="A12:B12"/>
    <mergeCell ref="A14:B14"/>
    <mergeCell ref="F17:Z17"/>
    <mergeCell ref="F18:Z18"/>
    <mergeCell ref="F19:Z19"/>
    <mergeCell ref="F20:Z20"/>
    <mergeCell ref="F21:Z21"/>
    <mergeCell ref="AK25:AO25"/>
    <mergeCell ref="AK21:AO21"/>
    <mergeCell ref="AK20:AO20"/>
    <mergeCell ref="AK23:AO23"/>
    <mergeCell ref="AA16:AE16"/>
    <mergeCell ref="AK19:AO19"/>
    <mergeCell ref="AK17:AO17"/>
    <mergeCell ref="AK26:AO26"/>
    <mergeCell ref="AK24:AO24"/>
    <mergeCell ref="AK22:AO22"/>
    <mergeCell ref="AK14:AO14"/>
    <mergeCell ref="AK12:AO12"/>
    <mergeCell ref="AK15:AO15"/>
    <mergeCell ref="AA17:AE17"/>
    <mergeCell ref="AA18:AE18"/>
    <mergeCell ref="AA19:AE19"/>
    <mergeCell ref="AK18:AO18"/>
    <mergeCell ref="AA20:AE20"/>
    <mergeCell ref="AF13:AJ13"/>
    <mergeCell ref="AF16:AJ16"/>
    <mergeCell ref="AK13:AO13"/>
    <mergeCell ref="AK16:AO16"/>
    <mergeCell ref="AF12:AJ12"/>
    <mergeCell ref="AF14:AJ14"/>
    <mergeCell ref="AF15:AJ15"/>
    <mergeCell ref="AF17:AJ17"/>
    <mergeCell ref="AA14:AE14"/>
    <mergeCell ref="AA15:AE15"/>
    <mergeCell ref="AA13:AE13"/>
    <mergeCell ref="A1:AO1"/>
    <mergeCell ref="A2:AO2"/>
    <mergeCell ref="O4:S4"/>
    <mergeCell ref="T4:AF4"/>
    <mergeCell ref="AF11:AJ11"/>
    <mergeCell ref="AA9:AJ9"/>
    <mergeCell ref="AK11:AO11"/>
    <mergeCell ref="AK9:AO10"/>
    <mergeCell ref="C4:J4"/>
    <mergeCell ref="F7:M7"/>
    <mergeCell ref="C9:E11"/>
    <mergeCell ref="A9:B11"/>
    <mergeCell ref="F9:Z11"/>
    <mergeCell ref="AA11:AE11"/>
    <mergeCell ref="AA10:AE10"/>
    <mergeCell ref="AF10:AJ10"/>
    <mergeCell ref="AF27:AJ27"/>
    <mergeCell ref="AF26:AJ26"/>
    <mergeCell ref="AF24:AJ24"/>
    <mergeCell ref="AF23:AJ23"/>
    <mergeCell ref="AF22:AJ22"/>
    <mergeCell ref="AF21:AJ21"/>
    <mergeCell ref="AF20:AJ20"/>
    <mergeCell ref="AF19:AJ19"/>
    <mergeCell ref="AF18:AJ18"/>
  </mergeCells>
  <pageMargins left="0.38" right="0.33" top="0.32" bottom="0.74803149606299213" header="0.15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Liste-Situ-Annexes</vt:lpstr>
      <vt:lpstr>SITU_01</vt:lpstr>
      <vt:lpstr>SITU_02</vt:lpstr>
      <vt:lpstr>SITU_03</vt:lpstr>
      <vt:lpstr>'Liste-Situ-Annexes'!Zone_d_impression</vt:lpstr>
      <vt:lpstr>SITU_01!Zone_d_impression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2025-08-20T19:30:29Z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41e645b9-4646-4f20-8d78-b4f3def4dece</vt:lpwstr>
  </property>
  <property fmtid="{D5CDD505-2E9C-101B-9397-08002B2CF9AE}" pid="7" name="MSIP_Label_defa4170-0d19-0005-0004-bc88714345d2_ActionId">
    <vt:lpwstr>89b56037-f08c-4fd9-bfd9-07acbae6532e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