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78" firstSheet="0" activeTab="7" autoFilterDateGrouping="1"/>
  </bookViews>
  <sheets>
    <sheet xmlns:r="http://schemas.openxmlformats.org/officeDocument/2006/relationships" name="M.0.INFO.G" sheetId="1" state="visible" r:id="rId1"/>
    <sheet xmlns:r="http://schemas.openxmlformats.org/officeDocument/2006/relationships" name="M.I.BILAN" sheetId="2" state="visible" r:id="rId2"/>
    <sheet xmlns:r="http://schemas.openxmlformats.org/officeDocument/2006/relationships" name="M.II.RESULTAT" sheetId="3" state="visible" r:id="rId3"/>
    <sheet xmlns:r="http://schemas.openxmlformats.org/officeDocument/2006/relationships" name="M.III.HS_BILAN" sheetId="4" state="visible" r:id="rId4"/>
    <sheet xmlns:r="http://schemas.openxmlformats.org/officeDocument/2006/relationships" name="M.IV.IMPAYE" sheetId="5" state="visible" r:id="rId5"/>
    <sheet xmlns:r="http://schemas.openxmlformats.org/officeDocument/2006/relationships" name="M.V.PFC" sheetId="6" state="visible" r:id="rId6"/>
    <sheet xmlns:r="http://schemas.openxmlformats.org/officeDocument/2006/relationships" name="M.VI.ADM.DIR" sheetId="7" state="visible" r:id="rId7"/>
    <sheet xmlns:r="http://schemas.openxmlformats.org/officeDocument/2006/relationships" name="M.VII.PERSONNEL" sheetId="8" state="visible" r:id="rId8"/>
    <sheet xmlns:r="http://schemas.openxmlformats.org/officeDocument/2006/relationships" name="M.VIII.DIX.DEB" sheetId="9" state="visible" r:id="rId9"/>
    <sheet xmlns:r="http://schemas.openxmlformats.org/officeDocument/2006/relationships" name="M.IX.SG" sheetId="10" state="visible" r:id="rId10"/>
    <sheet xmlns:r="http://schemas.openxmlformats.org/officeDocument/2006/relationships" name="M.X.RSL" sheetId="11" state="visible" r:id="rId11"/>
    <sheet xmlns:r="http://schemas.openxmlformats.org/officeDocument/2006/relationships" name="M.XI.RPCS" sheetId="12" state="visible" r:id="rId12"/>
    <sheet xmlns:r="http://schemas.openxmlformats.org/officeDocument/2006/relationships" name="M.XII.RCS" sheetId="13" state="visible" r:id="rId13"/>
    <sheet xmlns:r="http://schemas.openxmlformats.org/officeDocument/2006/relationships" name="M.XIII.OATA" sheetId="14" state="visible" r:id="rId14"/>
    <sheet xmlns:r="http://schemas.openxmlformats.org/officeDocument/2006/relationships" name="M.XIV.FS" sheetId="15" state="visible" r:id="rId15"/>
    <sheet xmlns:r="http://schemas.openxmlformats.org/officeDocument/2006/relationships" name="M.XVI.CERS" sheetId="16" state="visible" r:id="rId16"/>
    <sheet xmlns:r="http://schemas.openxmlformats.org/officeDocument/2006/relationships" name="M.XV.RECAP" sheetId="17" state="visible" r:id="rId17"/>
    <sheet xmlns:r="http://schemas.openxmlformats.org/officeDocument/2006/relationships" name="M.XVII.PROV" sheetId="18" state="visible" r:id="rId18"/>
    <sheet xmlns:r="http://schemas.openxmlformats.org/officeDocument/2006/relationships" name="M.XVIII.DIX.CREANCIERS" sheetId="19" state="visible" r:id="rId19"/>
    <sheet xmlns:r="http://schemas.openxmlformats.org/officeDocument/2006/relationships" name="M.XIX.CREDITS.RESTRUCTURES" sheetId="20" state="visible" r:id="rId20"/>
    <sheet xmlns:r="http://schemas.openxmlformats.org/officeDocument/2006/relationships" name="M.XX.DIX.BENEF.SIGN" sheetId="21" state="visible" r:id="rId21"/>
    <sheet xmlns:r="http://schemas.openxmlformats.org/officeDocument/2006/relationships" name="M.XXI.BALANCES AGEES" sheetId="22" state="visible" r:id="rId22"/>
    <sheet xmlns:r="http://schemas.openxmlformats.org/officeDocument/2006/relationships" name="M.XXII.INDIC.PRUDENTIELS" sheetId="23" state="visible" r:id="rId23"/>
    <sheet xmlns:r="http://schemas.openxmlformats.org/officeDocument/2006/relationships" name="M.XXII.RATIO.PRUDENTIELS" sheetId="24" state="visible" r:id="rId24"/>
    <sheet xmlns:r="http://schemas.openxmlformats.org/officeDocument/2006/relationships" name="TAB_AUTRES_INDIC_1" sheetId="25" state="visible" r:id="rId25"/>
    <sheet xmlns:r="http://schemas.openxmlformats.org/officeDocument/2006/relationships" name="TAB_AUTRES_INDIC_2" sheetId="26" state="visible" r:id="rId26"/>
  </sheets>
  <definedNames>
    <definedName name="_xlnm.Print_Area" localSheetId="18">'M.XVIII.DIX.CREANCIERS'!$A$1:$M$20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* #,##0\ _€_-;\-* #,##0\ _€_-;_-* &quot;-&quot;??\ _€_-;_-@_-"/>
    <numFmt numFmtId="165" formatCode="_-* #,##0.00\ _€_-;\-* #,##0.00\ _€_-;_-* &quot;-&quot;??\ _€_-;_-@_-"/>
    <numFmt numFmtId="166" formatCode="_-* #,##0\ _€_-;\-* #,##0\ _€_-;_-* &quot;-&quot;\ _€_-;_-@_-"/>
    <numFmt numFmtId="167" formatCode="#,##0\ [$GNF]"/>
    <numFmt numFmtId="168" formatCode="#,##0.0"/>
  </numFmts>
  <fonts count="37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  <u val="single"/>
    </font>
    <font>
      <name val="Geneva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ourier New"/>
      <family val="3"/>
      <color theme="1"/>
      <sz val="8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FFFFFF"/>
      <sz val="10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Courier New"/>
      <family val="3"/>
      <color theme="1"/>
      <sz val="10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8"/>
      <scheme val="minor"/>
    </font>
    <font>
      <name val="Arial"/>
      <family val="2"/>
      <b val="1"/>
      <i val="1"/>
      <color theme="1"/>
      <sz val="10"/>
    </font>
    <font>
      <name val="Cambria"/>
      <family val="1"/>
      <color theme="1"/>
      <sz val="12"/>
    </font>
    <font>
      <name val="Calibri"/>
      <family val="2"/>
      <color theme="1"/>
      <sz val="11"/>
    </font>
    <font>
      <name val="Courier New"/>
      <family val="3"/>
      <color rgb="FFFF0000"/>
      <sz val="8"/>
    </font>
    <font>
      <name val="Arial"/>
      <family val="2"/>
      <b val="1"/>
      <color rgb="FFFF0000"/>
      <sz val="10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color theme="1"/>
      <sz val="9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lightUp"/>
    </fill>
    <fill>
      <patternFill patternType="solid">
        <fgColor rgb="FF80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7" fillId="0" borderId="0"/>
    <xf numFmtId="165" fontId="7" fillId="0" borderId="0"/>
    <xf numFmtId="0" fontId="6" fillId="0" borderId="0"/>
    <xf numFmtId="9" fontId="7" fillId="0" borderId="0"/>
    <xf numFmtId="166" fontId="7" fillId="0" borderId="0"/>
  </cellStyleXfs>
  <cellXfs count="829">
    <xf numFmtId="0" fontId="0" fillId="0" borderId="0" pivotButton="0" quotePrefix="0" xfId="0"/>
    <xf numFmtId="0" fontId="9" fillId="2" borderId="0" pivotButton="0" quotePrefix="0" xfId="0"/>
    <xf numFmtId="0" fontId="10" fillId="2" borderId="2" pivotButton="0" quotePrefix="0" xfId="0"/>
    <xf numFmtId="0" fontId="9" fillId="2" borderId="2" pivotButton="0" quotePrefix="0" xfId="0"/>
    <xf numFmtId="0" fontId="10" fillId="2" borderId="3" applyAlignment="1" pivotButton="0" quotePrefix="0" xfId="0">
      <alignment vertical="center"/>
    </xf>
    <xf numFmtId="0" fontId="9" fillId="2" borderId="4" pivotButton="0" quotePrefix="0" xfId="0"/>
    <xf numFmtId="0" fontId="9" fillId="2" borderId="2" applyAlignment="1" pivotButton="0" quotePrefix="0" xfId="0">
      <alignment horizontal="left" indent="8"/>
    </xf>
    <xf numFmtId="0" fontId="9" fillId="2" borderId="5" pivotButton="0" quotePrefix="0" xfId="0"/>
    <xf numFmtId="0" fontId="10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11" fillId="2" borderId="8" pivotButton="0" quotePrefix="0" xfId="0"/>
    <xf numFmtId="0" fontId="11" fillId="2" borderId="9" pivotButton="0" quotePrefix="0" xfId="0"/>
    <xf numFmtId="0" fontId="11" fillId="2" borderId="10" pivotButton="0" quotePrefix="0" xfId="0"/>
    <xf numFmtId="0" fontId="10" fillId="2" borderId="3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10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wrapText="1"/>
    </xf>
    <xf numFmtId="0" fontId="10" fillId="2" borderId="4" applyAlignment="1" pivotButton="0" quotePrefix="0" xfId="0">
      <alignment wrapText="1"/>
    </xf>
    <xf numFmtId="0" fontId="10" fillId="2" borderId="11" applyAlignment="1" pivotButton="0" quotePrefix="0" xfId="0">
      <alignment horizontal="left"/>
    </xf>
    <xf numFmtId="0" fontId="11" fillId="2" borderId="13" pivotButton="0" quotePrefix="0" xfId="0"/>
    <xf numFmtId="0" fontId="11" fillId="2" borderId="15" pivotButton="0" quotePrefix="0" xfId="0"/>
    <xf numFmtId="0" fontId="10" fillId="2" borderId="16" applyAlignment="1" pivotButton="0" quotePrefix="0" xfId="0">
      <alignment wrapText="1"/>
    </xf>
    <xf numFmtId="164" fontId="9" fillId="2" borderId="2" applyProtection="1" pivotButton="0" quotePrefix="0" xfId="1">
      <protection locked="0" hidden="0"/>
    </xf>
    <xf numFmtId="164" fontId="1" fillId="3" borderId="17" pivotButton="0" quotePrefix="0" xfId="1"/>
    <xf numFmtId="164" fontId="1" fillId="3" borderId="18" pivotButton="0" quotePrefix="0" xfId="1"/>
    <xf numFmtId="164" fontId="1" fillId="3" borderId="16" pivotButton="0" quotePrefix="0" xfId="1"/>
    <xf numFmtId="164" fontId="1" fillId="3" borderId="6" pivotButton="0" quotePrefix="0" xfId="1"/>
    <xf numFmtId="164" fontId="9" fillId="2" borderId="1" applyProtection="1" pivotButton="0" quotePrefix="0" xfId="1">
      <protection locked="0" hidden="0"/>
    </xf>
    <xf numFmtId="164" fontId="1" fillId="3" borderId="23" pivotButton="0" quotePrefix="0" xfId="1"/>
    <xf numFmtId="164" fontId="1" fillId="3" borderId="24" pivotButton="0" quotePrefix="0" xfId="1"/>
    <xf numFmtId="0" fontId="10" fillId="2" borderId="25" pivotButton="0" quotePrefix="0" xfId="0"/>
    <xf numFmtId="0" fontId="0" fillId="2" borderId="5" pivotButton="0" quotePrefix="0" xfId="0"/>
    <xf numFmtId="0" fontId="0" fillId="2" borderId="2" pivotButton="0" quotePrefix="0" xfId="0"/>
    <xf numFmtId="0" fontId="9" fillId="2" borderId="17" applyAlignment="1" pivotButton="0" quotePrefix="0" xfId="0">
      <alignment wrapText="1"/>
    </xf>
    <xf numFmtId="0" fontId="11" fillId="2" borderId="26" pivotButton="0" quotePrefix="0" xfId="0"/>
    <xf numFmtId="0" fontId="9" fillId="2" borderId="27" pivotButton="0" quotePrefix="0" xfId="0"/>
    <xf numFmtId="0" fontId="10" fillId="2" borderId="2" applyAlignment="1" pivotButton="0" quotePrefix="0" xfId="0">
      <alignment horizontal="left"/>
    </xf>
    <xf numFmtId="0" fontId="9" fillId="2" borderId="5" applyAlignment="1" pivotButton="0" quotePrefix="0" xfId="0">
      <alignment wrapText="1"/>
    </xf>
    <xf numFmtId="0" fontId="10" fillId="2" borderId="24" applyAlignment="1" pivotButton="0" quotePrefix="0" xfId="0">
      <alignment horizontal="center" vertical="center"/>
    </xf>
    <xf numFmtId="0" fontId="10" fillId="2" borderId="16" applyAlignment="1" pivotButton="0" quotePrefix="0" xfId="0">
      <alignment horizontal="center" vertical="center"/>
    </xf>
    <xf numFmtId="0" fontId="10" fillId="2" borderId="15" applyAlignment="1" pivotButton="0" quotePrefix="0" xfId="0">
      <alignment horizontal="center" vertical="center"/>
    </xf>
    <xf numFmtId="0" fontId="10" fillId="2" borderId="28" applyAlignment="1" pivotButton="0" quotePrefix="0" xfId="0">
      <alignment horizontal="center" vertical="center" wrapText="1"/>
    </xf>
    <xf numFmtId="165" fontId="1" fillId="3" borderId="24" pivotButton="0" quotePrefix="0" xfId="1"/>
    <xf numFmtId="165" fontId="1" fillId="3" borderId="17" pivotButton="0" quotePrefix="0" xfId="1"/>
    <xf numFmtId="165" fontId="1" fillId="3" borderId="16" pivotButton="0" quotePrefix="0" xfId="1"/>
    <xf numFmtId="0" fontId="9" fillId="2" borderId="2" applyAlignment="1" pivotButton="0" quotePrefix="0" xfId="0">
      <alignment wrapText="1"/>
    </xf>
    <xf numFmtId="164" fontId="1" fillId="3" borderId="1" pivotButton="0" quotePrefix="0" xfId="1"/>
    <xf numFmtId="164" fontId="1" fillId="3" borderId="7" pivotButton="0" quotePrefix="0" xfId="1"/>
    <xf numFmtId="0" fontId="11" fillId="2" borderId="30" pivotButton="0" quotePrefix="0" xfId="0"/>
    <xf numFmtId="0" fontId="11" fillId="2" borderId="31" pivotButton="0" quotePrefix="0" xfId="0"/>
    <xf numFmtId="164" fontId="9" fillId="2" borderId="17" applyProtection="1" pivotButton="0" quotePrefix="0" xfId="1">
      <protection locked="0" hidden="0"/>
    </xf>
    <xf numFmtId="164" fontId="9" fillId="2" borderId="5" applyProtection="1" pivotButton="0" quotePrefix="0" xfId="1">
      <protection locked="0" hidden="0"/>
    </xf>
    <xf numFmtId="164" fontId="9" fillId="2" borderId="33" applyProtection="1" pivotButton="0" quotePrefix="0" xfId="1">
      <protection locked="0" hidden="0"/>
    </xf>
    <xf numFmtId="164" fontId="9" fillId="2" borderId="11" applyProtection="1" pivotButton="0" quotePrefix="0" xfId="1">
      <protection locked="0" hidden="0"/>
    </xf>
    <xf numFmtId="164" fontId="9" fillId="2" borderId="34" applyProtection="1" pivotButton="0" quotePrefix="0" xfId="1">
      <protection locked="0" hidden="0"/>
    </xf>
    <xf numFmtId="0" fontId="0" fillId="2" borderId="17" pivotButton="0" quotePrefix="0" xfId="0"/>
    <xf numFmtId="164" fontId="1" fillId="3" borderId="2" pivotButton="0" quotePrefix="0" xfId="1"/>
    <xf numFmtId="164" fontId="1" fillId="3" borderId="5" pivotButton="0" quotePrefix="0" xfId="1"/>
    <xf numFmtId="164" fontId="1" fillId="3" borderId="16" applyAlignment="1" pivotButton="0" quotePrefix="0" xfId="1">
      <alignment horizontal="center" vertical="center"/>
    </xf>
    <xf numFmtId="0" fontId="9" fillId="2" borderId="2" applyAlignment="1" applyProtection="1" pivotButton="0" quotePrefix="0" xfId="0">
      <alignment wrapText="1"/>
      <protection locked="0" hidden="0"/>
    </xf>
    <xf numFmtId="0" fontId="9" fillId="0" borderId="2" applyProtection="1" pivotButton="0" quotePrefix="0" xfId="0">
      <protection locked="0" hidden="0"/>
    </xf>
    <xf numFmtId="49" fontId="9" fillId="0" borderId="2" applyProtection="1" pivotButton="0" quotePrefix="0" xfId="0">
      <protection locked="0" hidden="0"/>
    </xf>
    <xf numFmtId="164" fontId="4" fillId="3" borderId="16" pivotButton="0" quotePrefix="0" xfId="1"/>
    <xf numFmtId="164" fontId="4" fillId="3" borderId="1" pivotButton="0" quotePrefix="0" xfId="1"/>
    <xf numFmtId="0" fontId="11" fillId="2" borderId="2" pivotButton="0" quotePrefix="0" xfId="0"/>
    <xf numFmtId="0" fontId="11" fillId="2" borderId="4" pivotButton="0" quotePrefix="0" xfId="0"/>
    <xf numFmtId="164" fontId="4" fillId="3" borderId="24" pivotButton="0" quotePrefix="0" xfId="1"/>
    <xf numFmtId="0" fontId="11" fillId="2" borderId="16" pivotButton="0" quotePrefix="0" xfId="0"/>
    <xf numFmtId="0" fontId="9" fillId="2" borderId="31" pivotButton="0" quotePrefix="0" xfId="0"/>
    <xf numFmtId="0" fontId="10" fillId="0" borderId="2" applyAlignment="1" applyProtection="1" pivotButton="0" quotePrefix="0" xfId="0">
      <alignment vertical="center"/>
      <protection locked="0" hidden="0"/>
    </xf>
    <xf numFmtId="164" fontId="1" fillId="0" borderId="2" applyAlignment="1" applyProtection="1" pivotButton="0" quotePrefix="0" xfId="1">
      <alignment vertical="center"/>
      <protection locked="0" hidden="0"/>
    </xf>
    <xf numFmtId="0" fontId="10" fillId="0" borderId="6" applyAlignment="1" applyProtection="1" pivotButton="0" quotePrefix="0" xfId="0">
      <alignment vertical="center"/>
      <protection locked="0" hidden="0"/>
    </xf>
    <xf numFmtId="0" fontId="10" fillId="0" borderId="4" applyAlignment="1" applyProtection="1" pivotButton="0" quotePrefix="0" xfId="0">
      <alignment vertical="center"/>
      <protection locked="0" hidden="0"/>
    </xf>
    <xf numFmtId="164" fontId="1" fillId="3" borderId="7" pivotButton="0" quotePrefix="0" xfId="1"/>
    <xf numFmtId="0" fontId="10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/>
    </xf>
    <xf numFmtId="0" fontId="9" fillId="0" borderId="2" pivotButton="0" quotePrefix="0" xfId="0"/>
    <xf numFmtId="164" fontId="9" fillId="0" borderId="2" pivotButton="0" quotePrefix="0" xfId="1"/>
    <xf numFmtId="0" fontId="10" fillId="0" borderId="2" pivotButton="0" quotePrefix="0" xfId="0"/>
    <xf numFmtId="0" fontId="10" fillId="0" borderId="34" pivotButton="0" quotePrefix="0" xfId="0"/>
    <xf numFmtId="0" fontId="10" fillId="0" borderId="42" pivotButton="0" quotePrefix="0" xfId="0"/>
    <xf numFmtId="0" fontId="8" fillId="0" borderId="31" pivotButton="0" quotePrefix="0" xfId="0"/>
    <xf numFmtId="0" fontId="0" fillId="0" borderId="31" pivotButton="0" quotePrefix="0" xfId="0"/>
    <xf numFmtId="0" fontId="10" fillId="0" borderId="36" pivotButton="0" quotePrefix="0" xfId="0"/>
    <xf numFmtId="0" fontId="10" fillId="0" borderId="36" applyAlignment="1" pivotButton="0" quotePrefix="0" xfId="0">
      <alignment vertical="center" wrapText="1"/>
    </xf>
    <xf numFmtId="0" fontId="10" fillId="2" borderId="2" applyAlignment="1" pivotButton="0" quotePrefix="0" xfId="0">
      <alignment wrapText="1"/>
    </xf>
    <xf numFmtId="0" fontId="10" fillId="0" borderId="36" applyAlignment="1" pivotButton="0" quotePrefix="0" xfId="0">
      <alignment horizontal="center" vertical="center"/>
    </xf>
    <xf numFmtId="164" fontId="9" fillId="0" borderId="1" applyProtection="1" pivotButton="0" quotePrefix="0" xfId="1">
      <protection locked="0" hidden="0"/>
    </xf>
    <xf numFmtId="0" fontId="10" fillId="0" borderId="0" pivotButton="0" quotePrefix="0" xfId="0"/>
    <xf numFmtId="0" fontId="9" fillId="0" borderId="0" pivotButton="0" quotePrefix="0" xfId="0"/>
    <xf numFmtId="0" fontId="10" fillId="0" borderId="3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4" pivotButton="0" quotePrefix="0" xfId="0"/>
    <xf numFmtId="0" fontId="10" fillId="0" borderId="16" applyAlignment="1" pivotButton="0" quotePrefix="0" xfId="0">
      <alignment horizontal="center"/>
    </xf>
    <xf numFmtId="0" fontId="10" fillId="0" borderId="16" pivotButton="0" quotePrefix="0" xfId="0"/>
    <xf numFmtId="0" fontId="10" fillId="0" borderId="28" applyAlignment="1" pivotButton="0" quotePrefix="0" xfId="0">
      <alignment horizontal="center" vertical="center" wrapText="1"/>
    </xf>
    <xf numFmtId="164" fontId="18" fillId="5" borderId="1" applyAlignment="1" pivotButton="0" quotePrefix="0" xfId="1">
      <alignment horizontal="left" vertical="center"/>
    </xf>
    <xf numFmtId="0" fontId="11" fillId="2" borderId="0" pivotButton="0" quotePrefix="0" xfId="0"/>
    <xf numFmtId="164" fontId="9" fillId="0" borderId="1" applyAlignment="1" applyProtection="1" pivotButton="0" quotePrefix="0" xfId="1">
      <alignment vertical="center"/>
      <protection locked="0" hidden="0"/>
    </xf>
    <xf numFmtId="0" fontId="9" fillId="2" borderId="2" applyAlignment="1" pivotButton="0" quotePrefix="0" xfId="0">
      <alignment horizontal="left"/>
    </xf>
    <xf numFmtId="0" fontId="12" fillId="0" borderId="3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/>
    </xf>
    <xf numFmtId="14" fontId="9" fillId="2" borderId="2" applyAlignment="1" applyProtection="1" pivotButton="0" quotePrefix="0" xfId="0">
      <alignment wrapText="1"/>
      <protection locked="0" hidden="0"/>
    </xf>
    <xf numFmtId="164" fontId="9" fillId="2" borderId="2" applyAlignment="1" applyProtection="1" pivotButton="0" quotePrefix="0" xfId="1">
      <alignment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vertical="center"/>
      <protection locked="0" hidden="0"/>
    </xf>
    <xf numFmtId="164" fontId="9" fillId="0" borderId="24" applyProtection="1" pivotButton="0" quotePrefix="0" xfId="1">
      <protection locked="0" hidden="0"/>
    </xf>
    <xf numFmtId="0" fontId="9" fillId="2" borderId="0" applyProtection="1" pivotButton="0" quotePrefix="0" xfId="0">
      <protection locked="0" hidden="0"/>
    </xf>
    <xf numFmtId="164" fontId="9" fillId="2" borderId="0" pivotButton="0" quotePrefix="0" xfId="0"/>
    <xf numFmtId="0" fontId="9" fillId="0" borderId="2" applyAlignment="1" applyProtection="1" pivotButton="0" quotePrefix="0" xfId="0">
      <alignment wrapText="1"/>
      <protection locked="0" hidden="0"/>
    </xf>
    <xf numFmtId="0" fontId="9" fillId="0" borderId="5" applyAlignment="1" applyProtection="1" pivotButton="0" quotePrefix="0" xfId="0">
      <alignment wrapText="1"/>
      <protection locked="0" hidden="0"/>
    </xf>
    <xf numFmtId="0" fontId="9" fillId="0" borderId="17" applyAlignment="1" applyProtection="1" pivotButton="0" quotePrefix="0" xfId="0">
      <alignment wrapText="1"/>
      <protection locked="0" hidden="0"/>
    </xf>
    <xf numFmtId="0" fontId="20" fillId="2" borderId="4" applyAlignment="1" pivotButton="0" quotePrefix="0" xfId="0">
      <alignment wrapText="1"/>
    </xf>
    <xf numFmtId="0" fontId="21" fillId="2" borderId="4" applyAlignment="1" pivotButton="0" quotePrefix="0" xfId="0">
      <alignment wrapText="1"/>
    </xf>
    <xf numFmtId="164" fontId="9" fillId="2" borderId="6" applyProtection="1" pivotButton="0" quotePrefix="0" xfId="1">
      <protection locked="0" hidden="0"/>
    </xf>
    <xf numFmtId="164" fontId="10" fillId="2" borderId="6" applyProtection="1" pivotButton="0" quotePrefix="0" xfId="1">
      <protection locked="0" hidden="0"/>
    </xf>
    <xf numFmtId="0" fontId="23" fillId="2" borderId="4" applyAlignment="1" pivotButton="0" quotePrefix="0" xfId="0">
      <alignment wrapText="1"/>
    </xf>
    <xf numFmtId="0" fontId="10" fillId="0" borderId="4" applyAlignment="1" pivotButton="0" quotePrefix="0" xfId="0">
      <alignment vertical="center"/>
    </xf>
    <xf numFmtId="0" fontId="11" fillId="2" borderId="54" pivotButton="0" quotePrefix="0" xfId="0"/>
    <xf numFmtId="164" fontId="9" fillId="2" borderId="41" applyProtection="1" pivotButton="0" quotePrefix="0" xfId="1">
      <protection locked="0" hidden="0"/>
    </xf>
    <xf numFmtId="0" fontId="0" fillId="2" borderId="0" pivotButton="0" quotePrefix="0" xfId="0"/>
    <xf numFmtId="164" fontId="1" fillId="0" borderId="0" pivotButton="0" quotePrefix="0" xfId="1"/>
    <xf numFmtId="165" fontId="1" fillId="0" borderId="0" pivotButton="0" quotePrefix="0" xfId="1"/>
    <xf numFmtId="164" fontId="4" fillId="3" borderId="4" applyAlignment="1" pivotButton="0" quotePrefix="0" xfId="1">
      <alignment vertical="center"/>
    </xf>
    <xf numFmtId="164" fontId="4" fillId="3" borderId="6" applyAlignment="1" pivotButton="0" quotePrefix="0" xfId="1">
      <alignment vertical="center"/>
    </xf>
    <xf numFmtId="164" fontId="1" fillId="3" borderId="16" applyAlignment="1" pivotButton="0" quotePrefix="0" xfId="1">
      <alignment vertical="center"/>
    </xf>
    <xf numFmtId="164" fontId="1" fillId="3" borderId="24" applyAlignment="1" pivotButton="0" quotePrefix="0" xfId="1">
      <alignment vertical="center"/>
    </xf>
    <xf numFmtId="164" fontId="4" fillId="3" borderId="23" applyAlignment="1" pivotButton="0" quotePrefix="0" xfId="1">
      <alignment vertical="center"/>
    </xf>
    <xf numFmtId="164" fontId="4" fillId="3" borderId="40" applyAlignment="1" pivotButton="0" quotePrefix="0" xfId="1">
      <alignment vertical="center"/>
    </xf>
    <xf numFmtId="0" fontId="9" fillId="2" borderId="3" pivotButton="0" quotePrefix="0" xfId="0"/>
    <xf numFmtId="0" fontId="10" fillId="0" borderId="38" applyAlignment="1" pivotButton="0" quotePrefix="0" xfId="0">
      <alignment horizontal="center" vertical="center"/>
    </xf>
    <xf numFmtId="0" fontId="25" fillId="2" borderId="3" pivotButton="0" quotePrefix="0" xfId="0"/>
    <xf numFmtId="0" fontId="11" fillId="2" borderId="11" pivotButton="0" quotePrefix="0" xfId="0"/>
    <xf numFmtId="0" fontId="11" fillId="2" borderId="38" pivotButton="0" quotePrefix="0" xfId="0"/>
    <xf numFmtId="164" fontId="4" fillId="3" borderId="59" pivotButton="0" quotePrefix="0" xfId="1"/>
    <xf numFmtId="0" fontId="11" fillId="2" borderId="34" pivotButton="0" quotePrefix="0" xfId="0"/>
    <xf numFmtId="0" fontId="11" fillId="2" borderId="5" pivotButton="0" quotePrefix="0" xfId="0"/>
    <xf numFmtId="164" fontId="4" fillId="0" borderId="58" applyAlignment="1" pivotButton="0" quotePrefix="0" xfId="1">
      <alignment vertical="center"/>
    </xf>
    <xf numFmtId="164" fontId="4" fillId="7" borderId="1" pivotButton="0" quotePrefix="0" xfId="1"/>
    <xf numFmtId="9" fontId="4" fillId="3" borderId="1" applyAlignment="1" pivotButton="0" quotePrefix="0" xfId="3">
      <alignment horizontal="center"/>
    </xf>
    <xf numFmtId="9" fontId="4" fillId="3" borderId="1" applyAlignment="1" pivotButton="0" quotePrefix="0" xfId="3">
      <alignment horizontal="center" vertical="center"/>
    </xf>
    <xf numFmtId="0" fontId="10" fillId="2" borderId="0" pivotButton="0" quotePrefix="0" xfId="0"/>
    <xf numFmtId="0" fontId="10" fillId="2" borderId="0" applyAlignment="1" pivotButton="0" quotePrefix="0" xfId="0">
      <alignment horizontal="left"/>
    </xf>
    <xf numFmtId="0" fontId="9" fillId="0" borderId="39" applyAlignment="1" pivotButton="0" quotePrefix="0" xfId="0">
      <alignment horizontal="center"/>
    </xf>
    <xf numFmtId="0" fontId="10" fillId="0" borderId="11" pivotButton="0" quotePrefix="0" xfId="0"/>
    <xf numFmtId="0" fontId="9" fillId="0" borderId="11" pivotButton="0" quotePrefix="0" xfId="0"/>
    <xf numFmtId="0" fontId="10" fillId="0" borderId="60" pivotButton="0" quotePrefix="0" xfId="0"/>
    <xf numFmtId="164" fontId="4" fillId="3" borderId="6" pivotButton="0" quotePrefix="0" xfId="1"/>
    <xf numFmtId="164" fontId="4" fillId="3" borderId="3" pivotButton="0" quotePrefix="0" xfId="1"/>
    <xf numFmtId="164" fontId="9" fillId="0" borderId="3" pivotButton="0" quotePrefix="0" xfId="1"/>
    <xf numFmtId="0" fontId="9" fillId="0" borderId="2" applyAlignment="1" pivotButton="0" quotePrefix="0" xfId="0">
      <alignment vertical="center"/>
    </xf>
    <xf numFmtId="0" fontId="9" fillId="0" borderId="12" applyAlignment="1" pivotButton="0" quotePrefix="0" xfId="0">
      <alignment vertical="center" wrapText="1"/>
    </xf>
    <xf numFmtId="0" fontId="9" fillId="0" borderId="12" applyAlignment="1" pivotButton="0" quotePrefix="0" xfId="0">
      <alignment vertical="center"/>
    </xf>
    <xf numFmtId="0" fontId="9" fillId="0" borderId="19" applyAlignment="1" pivotButton="0" quotePrefix="0" xfId="0">
      <alignment horizontal="center"/>
    </xf>
    <xf numFmtId="0" fontId="10" fillId="0" borderId="3" pivotButton="0" quotePrefix="0" xfId="0"/>
    <xf numFmtId="0" fontId="10" fillId="0" borderId="4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9" fillId="0" borderId="47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10" fillId="0" borderId="61" pivotButton="0" quotePrefix="0" xfId="0"/>
    <xf numFmtId="0" fontId="9" fillId="0" borderId="4" applyAlignment="1" pivotButton="0" quotePrefix="0" xfId="0">
      <alignment vertical="center"/>
    </xf>
    <xf numFmtId="0" fontId="10" fillId="0" borderId="21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3" fillId="2" borderId="0" pivotButton="0" quotePrefix="0" xfId="0"/>
    <xf numFmtId="165" fontId="4" fillId="3" borderId="23" applyAlignment="1" pivotButton="0" quotePrefix="0" xfId="1">
      <alignment vertical="center"/>
    </xf>
    <xf numFmtId="0" fontId="9" fillId="0" borderId="19" applyAlignment="1" pivotButton="0" quotePrefix="0" xfId="0">
      <alignment vertical="center"/>
    </xf>
    <xf numFmtId="164" fontId="4" fillId="3" borderId="22" applyAlignment="1" pivotButton="0" quotePrefix="0" xfId="1">
      <alignment vertical="center"/>
    </xf>
    <xf numFmtId="0" fontId="10" fillId="0" borderId="34" applyAlignment="1" pivotButton="0" quotePrefix="0" xfId="0">
      <alignment vertical="center"/>
    </xf>
    <xf numFmtId="164" fontId="4" fillId="3" borderId="3" applyAlignment="1" pivotButton="0" quotePrefix="0" xfId="1">
      <alignment vertical="center"/>
    </xf>
    <xf numFmtId="0" fontId="1" fillId="2" borderId="2" applyAlignment="1" pivotButton="0" quotePrefix="0" xfId="0">
      <alignment vertical="center"/>
    </xf>
    <xf numFmtId="0" fontId="9" fillId="0" borderId="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164" fontId="9" fillId="2" borderId="19" applyProtection="1" pivotButton="0" quotePrefix="0" xfId="1">
      <protection locked="0" hidden="0"/>
    </xf>
    <xf numFmtId="164" fontId="9" fillId="2" borderId="3" applyProtection="1" pivotButton="0" quotePrefix="0" xfId="1">
      <protection locked="0" hidden="0"/>
    </xf>
    <xf numFmtId="0" fontId="9" fillId="2" borderId="17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9" fontId="9" fillId="0" borderId="11" applyAlignment="1" pivotButton="0" quotePrefix="0" xfId="0">
      <alignment horizontal="center" vertical="center"/>
    </xf>
    <xf numFmtId="0" fontId="10" fillId="8" borderId="11" pivotButton="0" quotePrefix="0" xfId="0"/>
    <xf numFmtId="0" fontId="10" fillId="8" borderId="60" pivotButton="0" quotePrefix="0" xfId="0"/>
    <xf numFmtId="164" fontId="9" fillId="0" borderId="11" pivotButton="0" quotePrefix="0" xfId="0"/>
    <xf numFmtId="164" fontId="10" fillId="0" borderId="11" pivotButton="0" quotePrefix="0" xfId="0"/>
    <xf numFmtId="164" fontId="4" fillId="3" borderId="29" pivotButton="0" quotePrefix="0" xfId="1"/>
    <xf numFmtId="0" fontId="10" fillId="2" borderId="4" applyAlignment="1" pivotButton="0" quotePrefix="0" xfId="0">
      <alignment horizontal="center" vertical="center" wrapText="1"/>
    </xf>
    <xf numFmtId="49" fontId="9" fillId="0" borderId="4" applyProtection="1" pivotButton="0" quotePrefix="0" xfId="0">
      <protection locked="0" hidden="0"/>
    </xf>
    <xf numFmtId="164" fontId="4" fillId="3" borderId="36" pivotButton="0" quotePrefix="0" xfId="1"/>
    <xf numFmtId="0" fontId="9" fillId="0" borderId="3" applyAlignment="1" applyProtection="1" pivotButton="0" quotePrefix="0" xfId="0">
      <alignment wrapText="1"/>
      <protection locked="0" hidden="0"/>
    </xf>
    <xf numFmtId="164" fontId="9" fillId="2" borderId="3" applyAlignment="1" applyProtection="1" pivotButton="0" quotePrefix="0" xfId="1">
      <alignment wrapText="1"/>
      <protection locked="0" hidden="0"/>
    </xf>
    <xf numFmtId="0" fontId="10" fillId="2" borderId="11" pivotButton="0" quotePrefix="0" xfId="0"/>
    <xf numFmtId="164" fontId="1" fillId="3" borderId="25" pivotButton="0" quotePrefix="0" xfId="1"/>
    <xf numFmtId="165" fontId="1" fillId="3" borderId="3" pivotButton="0" quotePrefix="0" xfId="1"/>
    <xf numFmtId="0" fontId="9" fillId="2" borderId="17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0" borderId="14" pivotButton="0" quotePrefix="0" xfId="0"/>
    <xf numFmtId="0" fontId="20" fillId="2" borderId="4" applyAlignment="1" pivotButton="0" quotePrefix="0" xfId="0">
      <alignment horizontal="center" vertical="center" wrapText="1"/>
    </xf>
    <xf numFmtId="164" fontId="1" fillId="3" borderId="17" applyAlignment="1" pivotButton="0" quotePrefix="0" xfId="1">
      <alignment horizontal="center" vertical="center"/>
    </xf>
    <xf numFmtId="164" fontId="1" fillId="4" borderId="17" applyAlignment="1" pivotButton="0" quotePrefix="0" xfId="1">
      <alignment horizontal="center" vertical="center"/>
    </xf>
    <xf numFmtId="164" fontId="1" fillId="3" borderId="18" applyAlignment="1" pivotButton="0" quotePrefix="0" xfId="1">
      <alignment horizontal="center" vertical="center"/>
    </xf>
    <xf numFmtId="164" fontId="1" fillId="3" borderId="4" applyAlignment="1" pivotButton="0" quotePrefix="0" xfId="1">
      <alignment horizontal="center" vertical="center"/>
    </xf>
    <xf numFmtId="164" fontId="1" fillId="4" borderId="4" applyAlignment="1" pivotButton="0" quotePrefix="0" xfId="1">
      <alignment horizontal="center" vertical="center"/>
    </xf>
    <xf numFmtId="0" fontId="9" fillId="2" borderId="4" applyAlignment="1" pivotButton="0" quotePrefix="0" xfId="0">
      <alignment horizontal="center" vertical="center" wrapText="1"/>
    </xf>
    <xf numFmtId="164" fontId="9" fillId="2" borderId="2" applyAlignment="1" applyProtection="1" pivotButton="0" quotePrefix="0" xfId="1">
      <alignment horizontal="center" vertical="center"/>
      <protection locked="0" hidden="0"/>
    </xf>
    <xf numFmtId="164" fontId="9" fillId="2" borderId="4" applyAlignment="1" applyProtection="1" pivotButton="0" quotePrefix="0" xfId="1">
      <alignment horizontal="center" vertical="center"/>
      <protection locked="0" hidden="0"/>
    </xf>
    <xf numFmtId="164" fontId="10" fillId="2" borderId="2" applyAlignment="1" applyProtection="1" pivotButton="0" quotePrefix="0" xfId="1">
      <alignment horizontal="center" vertical="center"/>
      <protection locked="0" hidden="0"/>
    </xf>
    <xf numFmtId="0" fontId="10" fillId="2" borderId="16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164" fontId="10" fillId="2" borderId="4" applyAlignment="1" applyProtection="1" pivotButton="0" quotePrefix="0" xfId="1">
      <alignment horizontal="center" vertical="center"/>
      <protection locked="0" hidden="0"/>
    </xf>
    <xf numFmtId="164" fontId="10" fillId="2" borderId="19" applyAlignment="1" applyProtection="1" pivotButton="0" quotePrefix="0" xfId="1">
      <alignment horizontal="center" vertical="center"/>
      <protection locked="0" hidden="0"/>
    </xf>
    <xf numFmtId="164" fontId="1" fillId="4" borderId="21" applyAlignment="1" pivotButton="0" quotePrefix="0" xfId="1">
      <alignment horizontal="center" vertical="center"/>
    </xf>
    <xf numFmtId="164" fontId="1" fillId="4" borderId="3" applyAlignment="1" pivotButton="0" quotePrefix="0" xfId="1">
      <alignment horizontal="center" vertical="center"/>
    </xf>
    <xf numFmtId="0" fontId="10" fillId="2" borderId="38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164" fontId="1" fillId="4" borderId="35" applyAlignment="1" pivotButton="0" quotePrefix="0" xfId="1">
      <alignment horizontal="center" vertical="center"/>
    </xf>
    <xf numFmtId="164" fontId="9" fillId="2" borderId="3" applyAlignment="1" applyProtection="1" pivotButton="0" quotePrefix="0" xfId="1">
      <alignment horizontal="center" vertical="center"/>
      <protection locked="0" hidden="0"/>
    </xf>
    <xf numFmtId="0" fontId="10" fillId="2" borderId="64" applyAlignment="1" pivotButton="0" quotePrefix="0" xfId="0">
      <alignment vertical="center" wrapText="1"/>
    </xf>
    <xf numFmtId="164" fontId="9" fillId="2" borderId="14" applyProtection="1" pivotButton="0" quotePrefix="0" xfId="1">
      <protection locked="0" hidden="0"/>
    </xf>
    <xf numFmtId="0" fontId="4" fillId="3" borderId="1" pivotButton="0" quotePrefix="0" xfId="3"/>
    <xf numFmtId="164" fontId="4" fillId="3" borderId="1" pivotButton="0" quotePrefix="0" xfId="3"/>
    <xf numFmtId="2" fontId="9" fillId="2" borderId="0" pivotButton="0" quotePrefix="0" xfId="0"/>
    <xf numFmtId="9" fontId="9" fillId="2" borderId="0" pivotButton="0" quotePrefix="0" xfId="3"/>
    <xf numFmtId="0" fontId="10" fillId="0" borderId="5" applyAlignment="1" pivotButton="0" quotePrefix="0" xfId="0">
      <alignment horizontal="center" vertical="center"/>
    </xf>
    <xf numFmtId="164" fontId="9" fillId="2" borderId="39" applyProtection="1" pivotButton="0" quotePrefix="0" xfId="1">
      <protection locked="0" hidden="0"/>
    </xf>
    <xf numFmtId="0" fontId="9" fillId="2" borderId="11" applyAlignment="1" pivotButton="0" quotePrefix="0" xfId="0">
      <alignment horizontal="left"/>
    </xf>
    <xf numFmtId="0" fontId="9" fillId="2" borderId="12" applyAlignment="1" pivotButton="0" quotePrefix="0" xfId="0">
      <alignment horizontal="left"/>
    </xf>
    <xf numFmtId="14" fontId="9" fillId="2" borderId="12" applyAlignment="1" pivotButton="0" quotePrefix="0" xfId="0">
      <alignment horizontal="left"/>
    </xf>
    <xf numFmtId="0" fontId="10" fillId="2" borderId="38" applyAlignment="1" pivotButton="0" quotePrefix="0" xfId="0">
      <alignment horizontal="left"/>
    </xf>
    <xf numFmtId="0" fontId="10" fillId="2" borderId="35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10" fillId="0" borderId="2" applyAlignment="1" applyProtection="1" pivotButton="0" quotePrefix="0" xfId="1">
      <alignment horizontal="center" vertical="center"/>
      <protection locked="0" hidden="0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pivotButton="0" quotePrefix="0" xfId="0">
      <alignment horizontal="center"/>
    </xf>
    <xf numFmtId="0" fontId="10" fillId="0" borderId="1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2" borderId="17" applyAlignment="1" pivotButton="0" quotePrefix="0" xfId="0">
      <alignment horizontal="center" vertical="center" wrapText="1"/>
    </xf>
    <xf numFmtId="164" fontId="4" fillId="3" borderId="67" pivotButton="0" quotePrefix="0" xfId="1"/>
    <xf numFmtId="164" fontId="4" fillId="3" borderId="66" pivotButton="0" quotePrefix="0" xfId="1"/>
    <xf numFmtId="164" fontId="4" fillId="3" borderId="14" applyAlignment="1" pivotButton="0" quotePrefix="0" xfId="1">
      <alignment vertical="center"/>
    </xf>
    <xf numFmtId="164" fontId="4" fillId="3" borderId="16" applyAlignment="1" pivotButton="0" quotePrefix="0" xfId="1">
      <alignment vertical="center"/>
    </xf>
    <xf numFmtId="0" fontId="10" fillId="2" borderId="55" pivotButton="0" quotePrefix="0" xfId="0"/>
    <xf numFmtId="164" fontId="4" fillId="3" borderId="24" applyAlignment="1" pivotButton="0" quotePrefix="0" xfId="1">
      <alignment vertical="center"/>
    </xf>
    <xf numFmtId="0" fontId="21" fillId="2" borderId="9" pivotButton="0" quotePrefix="0" xfId="0"/>
    <xf numFmtId="0" fontId="21" fillId="2" borderId="68" pivotButton="0" quotePrefix="0" xfId="0"/>
    <xf numFmtId="164" fontId="1" fillId="3" borderId="69" pivotButton="0" quotePrefix="0" xfId="1"/>
    <xf numFmtId="164" fontId="1" fillId="3" borderId="65" pivotButton="0" quotePrefix="0" xfId="1"/>
    <xf numFmtId="0" fontId="21" fillId="2" borderId="10" pivotButton="0" quotePrefix="0" xfId="0"/>
    <xf numFmtId="49" fontId="9" fillId="2" borderId="11" applyAlignment="1" pivotButton="0" quotePrefix="0" xfId="0">
      <alignment horizontal="left"/>
    </xf>
    <xf numFmtId="49" fontId="9" fillId="2" borderId="2" applyAlignment="1" pivotButton="0" quotePrefix="0" xfId="0">
      <alignment horizontal="left"/>
    </xf>
    <xf numFmtId="164" fontId="4" fillId="3" borderId="57" pivotButton="0" quotePrefix="0" xfId="1"/>
    <xf numFmtId="0" fontId="1" fillId="0" borderId="2" pivotButton="0" quotePrefix="0" xfId="0"/>
    <xf numFmtId="0" fontId="2" fillId="0" borderId="2" pivotButton="0" quotePrefix="0" xfId="0"/>
    <xf numFmtId="0" fontId="0" fillId="0" borderId="2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6" pivotButton="0" quotePrefix="0" xfId="0"/>
    <xf numFmtId="0" fontId="12" fillId="0" borderId="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/>
    </xf>
    <xf numFmtId="0" fontId="9" fillId="0" borderId="32" applyAlignment="1" pivotButton="0" quotePrefix="0" xfId="0">
      <alignment horizontal="center"/>
    </xf>
    <xf numFmtId="0" fontId="8" fillId="0" borderId="1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9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 indent="1"/>
    </xf>
    <xf numFmtId="0" fontId="10" fillId="0" borderId="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4" applyAlignment="1" pivotButton="0" quotePrefix="0" xfId="0">
      <alignment vertical="center" wrapText="1"/>
    </xf>
    <xf numFmtId="0" fontId="9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top" wrapText="1"/>
    </xf>
    <xf numFmtId="0" fontId="9" fillId="0" borderId="14" applyAlignment="1" pivotButton="0" quotePrefix="0" xfId="0">
      <alignment vertical="center"/>
    </xf>
    <xf numFmtId="0" fontId="15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/>
    </xf>
    <xf numFmtId="0" fontId="9" fillId="0" borderId="39" applyAlignment="1" pivotButton="0" quotePrefix="0" xfId="0">
      <alignment vertical="center" wrapText="1"/>
    </xf>
    <xf numFmtId="0" fontId="9" fillId="0" borderId="27" applyAlignment="1" pivotButton="0" quotePrefix="0" xfId="0">
      <alignment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top"/>
    </xf>
    <xf numFmtId="0" fontId="9" fillId="0" borderId="2" applyAlignment="1" pivotButton="0" quotePrefix="0" xfId="0">
      <alignment vertical="center" wrapText="1"/>
    </xf>
    <xf numFmtId="0" fontId="10" fillId="0" borderId="25" applyAlignment="1" pivotButton="0" quotePrefix="0" xfId="0">
      <alignment vertical="center"/>
    </xf>
    <xf numFmtId="0" fontId="9" fillId="0" borderId="2" applyAlignment="1" pivotButton="0" quotePrefix="0" xfId="0">
      <alignment horizontal="left" vertical="center" wrapText="1"/>
    </xf>
    <xf numFmtId="0" fontId="10" fillId="0" borderId="36" applyAlignment="1" pivotButton="0" quotePrefix="0" xfId="0">
      <alignment vertical="center"/>
    </xf>
    <xf numFmtId="0" fontId="10" fillId="0" borderId="31" applyAlignment="1" pivotButton="0" quotePrefix="0" xfId="0">
      <alignment vertical="center"/>
    </xf>
    <xf numFmtId="164" fontId="9" fillId="0" borderId="0" applyAlignment="1" pivotButton="0" quotePrefix="0" xfId="1">
      <alignment vertical="center"/>
    </xf>
    <xf numFmtId="0" fontId="9" fillId="0" borderId="11" applyAlignment="1" pivotButton="0" quotePrefix="0" xfId="0">
      <alignment wrapText="1"/>
    </xf>
    <xf numFmtId="0" fontId="9" fillId="0" borderId="11" applyAlignment="1" pivotButton="0" quotePrefix="0" xfId="0">
      <alignment vertical="center" wrapText="1"/>
    </xf>
    <xf numFmtId="0" fontId="10" fillId="0" borderId="25" pivotButton="0" quotePrefix="0" xfId="0"/>
    <xf numFmtId="0" fontId="10" fillId="0" borderId="3" applyAlignment="1" pivotButton="0" quotePrefix="0" xfId="0">
      <alignment vertical="center"/>
    </xf>
    <xf numFmtId="0" fontId="10" fillId="0" borderId="57" applyAlignment="1" pivotButton="0" quotePrefix="0" xfId="0">
      <alignment vertical="center"/>
    </xf>
    <xf numFmtId="0" fontId="10" fillId="0" borderId="16" applyAlignment="1" pivotButton="0" quotePrefix="0" xfId="0">
      <alignment horizontal="center" vertical="center"/>
    </xf>
    <xf numFmtId="0" fontId="10" fillId="0" borderId="21" pivotButton="0" quotePrefix="0" xfId="0"/>
    <xf numFmtId="0" fontId="9" fillId="0" borderId="4" applyAlignment="1" pivotButton="0" quotePrefix="0" xfId="0">
      <alignment horizontal="center"/>
    </xf>
    <xf numFmtId="164" fontId="9" fillId="7" borderId="3" pivotButton="0" quotePrefix="0" xfId="0"/>
    <xf numFmtId="0" fontId="9" fillId="0" borderId="4" applyAlignment="1" pivotButton="0" quotePrefix="0" xfId="0">
      <alignment vertical="center" wrapText="1"/>
    </xf>
    <xf numFmtId="0" fontId="9" fillId="0" borderId="4" applyAlignment="1" pivotButton="0" quotePrefix="0" xfId="0">
      <alignment wrapText="1"/>
    </xf>
    <xf numFmtId="0" fontId="9" fillId="0" borderId="48" applyAlignment="1" pivotButton="0" quotePrefix="0" xfId="0">
      <alignment horizontal="center"/>
    </xf>
    <xf numFmtId="164" fontId="9" fillId="6" borderId="3" pivotButton="0" quotePrefix="0" xfId="0"/>
    <xf numFmtId="0" fontId="10" fillId="0" borderId="0" applyAlignment="1" pivotButton="0" quotePrefix="0" xfId="0">
      <alignment horizontal="left" vertical="center" wrapText="1" indent="7"/>
    </xf>
    <xf numFmtId="0" fontId="10" fillId="0" borderId="3" applyAlignment="1" pivotButton="0" quotePrefix="0" xfId="0">
      <alignment horizontal="center"/>
    </xf>
    <xf numFmtId="0" fontId="9" fillId="0" borderId="55" pivotButton="0" quotePrefix="0" xfId="0"/>
    <xf numFmtId="0" fontId="10" fillId="0" borderId="15" applyAlignment="1" pivotButton="0" quotePrefix="0" xfId="0">
      <alignment horizontal="left" vertical="center" wrapText="1" indent="7"/>
    </xf>
    <xf numFmtId="0" fontId="10" fillId="0" borderId="17" applyAlignment="1" pivotButton="0" quotePrefix="0" xfId="0">
      <alignment horizontal="left" indent="1"/>
    </xf>
    <xf numFmtId="0" fontId="10" fillId="0" borderId="2" applyAlignment="1" pivotButton="0" quotePrefix="0" xfId="0">
      <alignment horizontal="left" indent="1"/>
    </xf>
    <xf numFmtId="0" fontId="10" fillId="0" borderId="2" applyAlignment="1" pivotButton="0" quotePrefix="0" xfId="0">
      <alignment horizontal="left" wrapText="1" indent="1"/>
    </xf>
    <xf numFmtId="0" fontId="10" fillId="0" borderId="5" applyAlignment="1" pivotButton="0" quotePrefix="0" xfId="0">
      <alignment horizontal="left" indent="1"/>
    </xf>
    <xf numFmtId="0" fontId="10" fillId="0" borderId="31" applyAlignment="1" pivotButton="0" quotePrefix="0" xfId="0">
      <alignment horizontal="left" indent="1"/>
    </xf>
    <xf numFmtId="165" fontId="9" fillId="0" borderId="31" pivotButton="0" quotePrefix="0" xfId="1"/>
    <xf numFmtId="0" fontId="10" fillId="0" borderId="32" applyAlignment="1" pivotButton="0" quotePrefix="0" xfId="0">
      <alignment horizontal="left" indent="1"/>
    </xf>
    <xf numFmtId="0" fontId="10" fillId="0" borderId="32" applyAlignment="1" pivotButton="0" quotePrefix="0" xfId="0">
      <alignment horizontal="left" wrapText="1" indent="1"/>
    </xf>
    <xf numFmtId="0" fontId="21" fillId="0" borderId="26" pivotButton="0" quotePrefix="0" xfId="0"/>
    <xf numFmtId="0" fontId="10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9" fillId="0" borderId="4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10" fillId="0" borderId="16" applyAlignment="1" pivotButton="0" quotePrefix="0" xfId="0">
      <alignment horizontal="left" vertical="center"/>
    </xf>
    <xf numFmtId="0" fontId="8" fillId="0" borderId="12" pivotButton="0" quotePrefix="0" xfId="0"/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0" fontId="10" fillId="0" borderId="3" applyAlignment="1" pivotButton="0" quotePrefix="0" xfId="0">
      <alignment horizontal="left" vertical="center" wrapText="1"/>
    </xf>
    <xf numFmtId="0" fontId="9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center" wrapText="1"/>
    </xf>
    <xf numFmtId="0" fontId="24" fillId="0" borderId="5" applyAlignment="1" pivotButton="0" quotePrefix="0" xfId="0">
      <alignment vertical="center" wrapText="1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8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4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31" applyAlignment="1" pivotButton="0" quotePrefix="0" xfId="0">
      <alignment vertical="center" wrapText="1"/>
    </xf>
    <xf numFmtId="164" fontId="1" fillId="3" borderId="24" applyAlignment="1" pivotButton="0" quotePrefix="0" xfId="1">
      <alignment horizontal="center" vertical="center"/>
    </xf>
    <xf numFmtId="0" fontId="8" fillId="0" borderId="3" pivotButton="0" quotePrefix="0" xfId="0"/>
    <xf numFmtId="0" fontId="8" fillId="0" borderId="3" applyAlignment="1" pivotButton="0" quotePrefix="0" xfId="0">
      <alignment horizontal="center"/>
    </xf>
    <xf numFmtId="166" fontId="8" fillId="0" borderId="3" applyAlignment="1" pivotButton="0" quotePrefix="0" xfId="4">
      <alignment horizontal="center"/>
    </xf>
    <xf numFmtId="0" fontId="8" fillId="0" borderId="69" pivotButton="0" quotePrefix="0" xfId="0"/>
    <xf numFmtId="0" fontId="8" fillId="0" borderId="0" applyAlignment="1" pivotButton="0" quotePrefix="0" xfId="0">
      <alignment horizontal="center"/>
    </xf>
    <xf numFmtId="0" fontId="0" fillId="0" borderId="55" pivotButton="0" quotePrefix="0" xfId="0"/>
    <xf numFmtId="0" fontId="0" fillId="9" borderId="3" applyAlignment="1" pivotButton="0" quotePrefix="0" xfId="0">
      <alignment horizontal="center"/>
    </xf>
    <xf numFmtId="0" fontId="8" fillId="0" borderId="55" applyAlignment="1" pivotButton="0" quotePrefix="0" xfId="0">
      <alignment horizontal="center"/>
    </xf>
    <xf numFmtId="166" fontId="7" fillId="0" borderId="3" applyAlignment="1" applyProtection="1" pivotButton="0" quotePrefix="0" xfId="4">
      <alignment horizontal="center"/>
      <protection locked="0" hidden="0"/>
    </xf>
    <xf numFmtId="0" fontId="10" fillId="0" borderId="2" applyAlignment="1" pivotButton="0" quotePrefix="0" xfId="0">
      <alignment horizontal="center" wrapText="1"/>
    </xf>
    <xf numFmtId="164" fontId="4" fillId="3" borderId="24" applyAlignment="1" pivotButton="0" quotePrefix="0" xfId="1">
      <alignment horizontal="center" vertical="center"/>
    </xf>
    <xf numFmtId="166" fontId="7" fillId="0" borderId="0" applyAlignment="1" pivotButton="0" quotePrefix="0" xfId="4">
      <alignment horizontal="center"/>
    </xf>
    <xf numFmtId="0" fontId="20" fillId="2" borderId="14" applyAlignment="1" pivotButton="0" quotePrefix="0" xfId="0">
      <alignment horizontal="center" vertical="center" wrapText="1"/>
    </xf>
    <xf numFmtId="0" fontId="21" fillId="2" borderId="16" applyAlignment="1" pivotButton="0" quotePrefix="0" xfId="0">
      <alignment horizontal="center" vertical="center" wrapText="1"/>
    </xf>
    <xf numFmtId="164" fontId="1" fillId="0" borderId="4" applyAlignment="1" applyProtection="1" pivotButton="0" quotePrefix="0" xfId="1">
      <alignment horizontal="center" vertical="center"/>
      <protection locked="0" hidden="0"/>
    </xf>
    <xf numFmtId="164" fontId="1" fillId="0" borderId="3" applyAlignment="1" applyProtection="1" pivotButton="0" quotePrefix="0" xfId="1">
      <alignment horizontal="center" vertical="center"/>
      <protection locked="0" hidden="0"/>
    </xf>
    <xf numFmtId="164" fontId="4" fillId="0" borderId="24" applyProtection="1" pivotButton="0" quotePrefix="0" xfId="1">
      <protection locked="0" hidden="0"/>
    </xf>
    <xf numFmtId="164" fontId="1" fillId="0" borderId="24" applyProtection="1" pivotButton="0" quotePrefix="0" xfId="1">
      <protection locked="0" hidden="0"/>
    </xf>
    <xf numFmtId="164" fontId="4" fillId="3" borderId="53" applyAlignment="1" pivotButton="0" quotePrefix="0" xfId="1">
      <alignment vertical="center"/>
    </xf>
    <xf numFmtId="164" fontId="4" fillId="0" borderId="23" applyAlignment="1" applyProtection="1" pivotButton="0" quotePrefix="0" xfId="1">
      <alignment vertical="center"/>
      <protection locked="0" hidden="0"/>
    </xf>
    <xf numFmtId="0" fontId="11" fillId="2" borderId="7" pivotButton="0" quotePrefix="0" xfId="0"/>
    <xf numFmtId="0" fontId="11" fillId="2" borderId="19" pivotButton="0" quotePrefix="0" xfId="0"/>
    <xf numFmtId="0" fontId="11" fillId="2" borderId="17" pivotButton="0" quotePrefix="0" xfId="0"/>
    <xf numFmtId="0" fontId="11" fillId="2" borderId="27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0" fillId="0" borderId="55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164" fontId="1" fillId="3" borderId="36" applyAlignment="1" pivotButton="0" quotePrefix="0" xfId="1">
      <alignment horizontal="center" vertical="center"/>
    </xf>
    <xf numFmtId="164" fontId="1" fillId="3" borderId="20" applyAlignment="1" pivotButton="0" quotePrefix="0" xfId="1">
      <alignment horizontal="center" vertical="center"/>
    </xf>
    <xf numFmtId="0" fontId="9" fillId="10" borderId="2" applyAlignment="1" pivotButton="0" quotePrefix="0" xfId="0">
      <alignment vertical="center" wrapText="1"/>
    </xf>
    <xf numFmtId="164" fontId="1" fillId="3" borderId="23" applyAlignment="1" pivotButton="0" quotePrefix="0" xfId="1">
      <alignment vertical="center"/>
    </xf>
    <xf numFmtId="164" fontId="1" fillId="3" borderId="58" applyAlignment="1" pivotButton="0" quotePrefix="0" xfId="1">
      <alignment vertical="center"/>
    </xf>
    <xf numFmtId="49" fontId="9" fillId="2" borderId="2" applyProtection="1" pivotButton="0" quotePrefix="0" xfId="0">
      <protection locked="0" hidden="0"/>
    </xf>
    <xf numFmtId="164" fontId="4" fillId="0" borderId="4" applyAlignment="1" applyProtection="1" pivotButton="0" quotePrefix="0" xfId="1">
      <alignment horizontal="center" vertical="center"/>
      <protection locked="0" hidden="0"/>
    </xf>
    <xf numFmtId="1" fontId="9" fillId="0" borderId="2" applyAlignment="1" applyProtection="1" pivotButton="0" quotePrefix="0" xfId="0">
      <alignment horizontal="right" vertical="center" wrapText="1"/>
      <protection locked="0" hidden="0"/>
    </xf>
    <xf numFmtId="0" fontId="10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14" fontId="9" fillId="2" borderId="3" applyProtection="1" pivotButton="0" quotePrefix="0" xfId="1">
      <protection locked="0" hidden="0"/>
    </xf>
    <xf numFmtId="0" fontId="19" fillId="0" borderId="53" applyAlignment="1" pivotButton="0" quotePrefix="0" xfId="0">
      <alignment horizontal="center" vertical="center" wrapText="1"/>
    </xf>
    <xf numFmtId="0" fontId="30" fillId="0" borderId="0" applyAlignment="1" pivotButton="0" quotePrefix="0" xfId="0">
      <alignment wrapText="1"/>
    </xf>
    <xf numFmtId="0" fontId="31" fillId="0" borderId="70" applyAlignment="1" pivotButton="0" quotePrefix="0" xfId="0">
      <alignment horizontal="center" vertical="center" wrapText="1"/>
    </xf>
    <xf numFmtId="0" fontId="31" fillId="0" borderId="71" applyAlignment="1" pivotButton="0" quotePrefix="0" xfId="0">
      <alignment horizontal="center" vertical="center" wrapText="1"/>
    </xf>
    <xf numFmtId="0" fontId="9" fillId="2" borderId="0" applyProtection="1" pivotButton="0" quotePrefix="0" xfId="0">
      <protection locked="1" hidden="1"/>
    </xf>
    <xf numFmtId="0" fontId="10" fillId="2" borderId="2" applyProtection="1" pivotButton="0" quotePrefix="0" xfId="0">
      <protection locked="1" hidden="1"/>
    </xf>
    <xf numFmtId="0" fontId="9" fillId="2" borderId="11" applyAlignment="1" applyProtection="1" pivotButton="0" quotePrefix="0" xfId="0">
      <alignment horizontal="left"/>
      <protection locked="1" hidden="1"/>
    </xf>
    <xf numFmtId="0" fontId="9" fillId="2" borderId="12" applyAlignment="1" applyProtection="1" pivotButton="0" quotePrefix="0" xfId="0">
      <alignment horizontal="left"/>
      <protection locked="1" hidden="1"/>
    </xf>
    <xf numFmtId="0" fontId="0" fillId="0" borderId="0" applyProtection="1" pivotButton="0" quotePrefix="0" xfId="0">
      <protection locked="1" hidden="1"/>
    </xf>
    <xf numFmtId="14" fontId="9" fillId="2" borderId="12" applyAlignment="1" applyProtection="1" pivotButton="0" quotePrefix="0" xfId="0">
      <alignment horizontal="left"/>
      <protection locked="1" hidden="1"/>
    </xf>
    <xf numFmtId="0" fontId="10" fillId="2" borderId="38" applyAlignment="1" applyProtection="1" pivotButton="0" quotePrefix="0" xfId="0">
      <alignment horizontal="left"/>
      <protection locked="1" hidden="1"/>
    </xf>
    <xf numFmtId="0" fontId="10" fillId="2" borderId="35" applyAlignment="1" applyProtection="1" pivotButton="0" quotePrefix="0" xfId="0">
      <alignment horizontal="left"/>
      <protection locked="1" hidden="1"/>
    </xf>
    <xf numFmtId="0" fontId="12" fillId="0" borderId="3" applyAlignment="1" applyProtection="1" pivotButton="0" quotePrefix="0" xfId="0">
      <alignment horizontal="center" vertical="center" wrapText="1"/>
      <protection locked="1" hidden="1"/>
    </xf>
    <xf numFmtId="0" fontId="19" fillId="0" borderId="53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applyProtection="1" pivotButton="0" quotePrefix="0" xfId="0">
      <alignment vertical="center" wrapText="1"/>
      <protection locked="1" hidden="1"/>
    </xf>
    <xf numFmtId="0" fontId="31" fillId="0" borderId="70" applyAlignment="1" applyProtection="1" pivotButton="0" quotePrefix="0" xfId="0">
      <alignment horizontal="center" vertical="center" wrapText="1"/>
      <protection locked="1" hidden="1"/>
    </xf>
    <xf numFmtId="3" fontId="4" fillId="3" borderId="3" applyAlignment="1" applyProtection="1" pivotButton="0" quotePrefix="0" xfId="3">
      <alignment horizontal="center"/>
      <protection locked="1" hidden="1"/>
    </xf>
    <xf numFmtId="0" fontId="31" fillId="0" borderId="71" applyAlignment="1" applyProtection="1" pivotButton="0" quotePrefix="0" xfId="0">
      <alignment horizontal="center" vertical="center" wrapText="1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8" fillId="0" borderId="15" applyAlignment="1" applyProtection="1" pivotButton="0" quotePrefix="0" xfId="0">
      <alignment horizontal="center" vertical="center"/>
      <protection locked="1" hidden="1"/>
    </xf>
    <xf numFmtId="164" fontId="1" fillId="3" borderId="16" applyAlignment="1" applyProtection="1" pivotButton="0" quotePrefix="0" xfId="1">
      <alignment horizontal="center" vertical="center"/>
      <protection locked="1" hidden="1"/>
    </xf>
    <xf numFmtId="164" fontId="1" fillId="3" borderId="24" applyAlignment="1" applyProtection="1" pivotButton="0" quotePrefix="0" xfId="1">
      <alignment horizontal="center" vertical="center"/>
      <protection locked="1" hidden="1"/>
    </xf>
    <xf numFmtId="0" fontId="30" fillId="0" borderId="0" applyAlignment="1" applyProtection="1" pivotButton="0" quotePrefix="0" xfId="0">
      <alignment wrapText="1"/>
      <protection locked="1" hidden="1"/>
    </xf>
    <xf numFmtId="0" fontId="7" fillId="0" borderId="3" applyAlignment="1" applyProtection="1" pivotButton="0" quotePrefix="0" xfId="4">
      <alignment horizontal="center"/>
      <protection locked="0" hidden="0"/>
    </xf>
    <xf numFmtId="49" fontId="9" fillId="2" borderId="2" applyProtection="1" pivotButton="0" quotePrefix="0" xfId="1">
      <protection locked="0" hidden="0"/>
    </xf>
    <xf numFmtId="49" fontId="9" fillId="2" borderId="3" applyProtection="1" pivotButton="0" quotePrefix="0" xfId="1">
      <protection locked="0" hidden="0"/>
    </xf>
    <xf numFmtId="0" fontId="9" fillId="2" borderId="51" pivotButton="0" quotePrefix="0" xfId="0"/>
    <xf numFmtId="0" fontId="10" fillId="0" borderId="55" applyAlignment="1" pivotButton="0" quotePrefix="0" xfId="0">
      <alignment vertical="center" wrapText="1"/>
    </xf>
    <xf numFmtId="0" fontId="10" fillId="0" borderId="20" applyAlignment="1" pivotButton="0" quotePrefix="0" xfId="0">
      <alignment vertical="center" wrapText="1"/>
    </xf>
    <xf numFmtId="164" fontId="4" fillId="3" borderId="55" pivotButton="0" quotePrefix="0" xfId="1"/>
    <xf numFmtId="164" fontId="4" fillId="3" borderId="31" pivotButton="0" quotePrefix="0" xfId="1"/>
    <xf numFmtId="164" fontId="4" fillId="3" borderId="20" pivotButton="0" quotePrefix="0" xfId="1"/>
    <xf numFmtId="164" fontId="4" fillId="3" borderId="20" pivotButton="0" quotePrefix="0" xfId="1"/>
    <xf numFmtId="0" fontId="10" fillId="0" borderId="1" applyAlignment="1" pivotButton="0" quotePrefix="0" xfId="0">
      <alignment horizontal="center" vertical="center"/>
    </xf>
    <xf numFmtId="0" fontId="32" fillId="2" borderId="8" pivotButton="0" quotePrefix="0" xfId="0"/>
    <xf numFmtId="0" fontId="16" fillId="2" borderId="4" applyAlignment="1" pivotButton="0" quotePrefix="0" xfId="0">
      <alignment horizontal="center" vertical="center" wrapText="1"/>
    </xf>
    <xf numFmtId="164" fontId="33" fillId="4" borderId="17" applyAlignment="1" pivotButton="0" quotePrefix="0" xfId="1">
      <alignment horizontal="center" vertical="center"/>
    </xf>
    <xf numFmtId="164" fontId="33" fillId="3" borderId="18" applyAlignment="1" pivotButton="0" quotePrefix="0" xfId="1">
      <alignment horizontal="center" vertical="center"/>
    </xf>
    <xf numFmtId="0" fontId="16" fillId="2" borderId="0" pivotButton="0" quotePrefix="0" xfId="0"/>
    <xf numFmtId="0" fontId="33" fillId="2" borderId="4" applyAlignment="1" pivotButton="0" quotePrefix="0" xfId="0">
      <alignment horizontal="center" vertical="center" wrapText="1"/>
    </xf>
    <xf numFmtId="0" fontId="16" fillId="2" borderId="4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14" applyAlignment="1" pivotButton="0" quotePrefix="0" xfId="0">
      <alignment wrapText="1"/>
    </xf>
    <xf numFmtId="0" fontId="34" fillId="2" borderId="4" applyAlignment="1" pivotButton="0" quotePrefix="0" xfId="0">
      <alignment wrapText="1"/>
    </xf>
    <xf numFmtId="0" fontId="35" fillId="2" borderId="38" applyAlignment="1" pivotButton="0" quotePrefix="0" xfId="0">
      <alignment wrapText="1"/>
    </xf>
    <xf numFmtId="0" fontId="0" fillId="0" borderId="3" applyAlignment="1" applyProtection="1" pivotButton="0" quotePrefix="0" xfId="0">
      <alignment vertical="top"/>
      <protection locked="0" hidden="0"/>
    </xf>
    <xf numFmtId="164" fontId="0" fillId="0" borderId="3" applyProtection="1" pivotButton="0" quotePrefix="0" xfId="1">
      <protection locked="0" hidden="0"/>
    </xf>
    <xf numFmtId="0" fontId="0" fillId="0" borderId="0" applyProtection="1" pivotButton="0" quotePrefix="0" xfId="0">
      <protection locked="0" hidden="0"/>
    </xf>
    <xf numFmtId="164" fontId="0" fillId="0" borderId="3" applyAlignment="1" applyProtection="1" pivotButton="0" quotePrefix="0" xfId="1">
      <alignment horizontal="center"/>
      <protection locked="0" hidden="0"/>
    </xf>
    <xf numFmtId="164" fontId="0" fillId="10" borderId="3" applyProtection="1" pivotButton="0" quotePrefix="0" xfId="1">
      <protection locked="0" hidden="0"/>
    </xf>
    <xf numFmtId="164" fontId="0" fillId="10" borderId="3" applyAlignment="1" applyProtection="1" pivotButton="0" quotePrefix="0" xfId="1">
      <alignment horizontal="center"/>
      <protection locked="0" hidden="0"/>
    </xf>
    <xf numFmtId="167" fontId="0" fillId="10" borderId="3" applyProtection="1" pivotButton="0" quotePrefix="0" xfId="0">
      <protection locked="0" hidden="0"/>
    </xf>
    <xf numFmtId="164" fontId="0" fillId="10" borderId="3" applyProtection="1" pivotButton="0" quotePrefix="0" xfId="1">
      <protection locked="0" hidden="0"/>
    </xf>
    <xf numFmtId="0" fontId="0" fillId="10" borderId="3" applyProtection="1" pivotButton="0" quotePrefix="0" xfId="0">
      <protection locked="0" hidden="0"/>
    </xf>
    <xf numFmtId="164" fontId="19" fillId="0" borderId="17" applyProtection="1" pivotButton="0" quotePrefix="0" xfId="1">
      <protection locked="0" hidden="0"/>
    </xf>
    <xf numFmtId="164" fontId="9" fillId="2" borderId="50" applyProtection="1" pivotButton="0" quotePrefix="0" xfId="1">
      <protection locked="0" hidden="0"/>
    </xf>
    <xf numFmtId="49" fontId="9" fillId="2" borderId="0" pivotButton="0" quotePrefix="0" xfId="0"/>
    <xf numFmtId="49" fontId="10" fillId="0" borderId="3" applyAlignment="1" pivotButton="0" quotePrefix="0" xfId="0">
      <alignment horizontal="center" vertical="center" wrapText="1"/>
    </xf>
    <xf numFmtId="49" fontId="0" fillId="0" borderId="3" applyProtection="1" pivotButton="0" quotePrefix="0" xfId="0">
      <protection locked="0" hidden="0"/>
    </xf>
    <xf numFmtId="49" fontId="1" fillId="3" borderId="16" applyAlignment="1" pivotButton="0" quotePrefix="0" xfId="1">
      <alignment horizontal="center" vertical="center"/>
    </xf>
    <xf numFmtId="49" fontId="9" fillId="2" borderId="2" applyAlignment="1" applyProtection="1" pivotButton="0" quotePrefix="1" xfId="0">
      <alignment horizontal="left"/>
      <protection locked="0" hidden="0"/>
    </xf>
    <xf numFmtId="49" fontId="10" fillId="2" borderId="2" pivotButton="0" quotePrefix="0" xfId="0"/>
    <xf numFmtId="49" fontId="10" fillId="2" borderId="3" applyAlignment="1" pivotButton="0" quotePrefix="0" xfId="0">
      <alignment horizontal="center" vertical="center"/>
    </xf>
    <xf numFmtId="49" fontId="9" fillId="2" borderId="6" applyProtection="1" pivotButton="0" quotePrefix="0" xfId="0">
      <protection locked="0" hidden="0"/>
    </xf>
    <xf numFmtId="49" fontId="9" fillId="2" borderId="1" applyProtection="1" pivotButton="0" quotePrefix="0" xfId="0">
      <protection locked="0" hidden="0"/>
    </xf>
    <xf numFmtId="49" fontId="9" fillId="2" borderId="7" applyProtection="1" pivotButton="0" quotePrefix="0" xfId="0">
      <protection locked="0" hidden="0"/>
    </xf>
    <xf numFmtId="49" fontId="1" fillId="0" borderId="2" pivotButton="0" quotePrefix="0" xfId="0"/>
    <xf numFmtId="49" fontId="3" fillId="0" borderId="2" pivotButton="0" quotePrefix="0" xfId="0"/>
    <xf numFmtId="49" fontId="9" fillId="2" borderId="0" applyAlignment="1" pivotButton="0" quotePrefix="0" xfId="0">
      <alignment horizontal="center"/>
    </xf>
    <xf numFmtId="49" fontId="10" fillId="2" borderId="0" applyAlignment="1" pivotButton="0" quotePrefix="0" xfId="0">
      <alignment horizontal="center"/>
    </xf>
    <xf numFmtId="49" fontId="9" fillId="2" borderId="3" applyAlignment="1" applyProtection="1" pivotButton="0" quotePrefix="0" xfId="1">
      <alignment horizontal="center"/>
      <protection locked="0" hidden="0"/>
    </xf>
    <xf numFmtId="49" fontId="0" fillId="0" borderId="0" pivotButton="0" quotePrefix="0" xfId="0"/>
    <xf numFmtId="49" fontId="12" fillId="0" borderId="3" applyAlignment="1" pivotButton="0" quotePrefix="0" xfId="0">
      <alignment horizontal="center" vertical="center" wrapText="1"/>
    </xf>
    <xf numFmtId="49" fontId="0" fillId="0" borderId="3" applyAlignment="1" applyProtection="1" pivotButton="0" quotePrefix="0" xfId="0">
      <alignment vertical="top"/>
      <protection locked="0" hidden="0"/>
    </xf>
    <xf numFmtId="0" fontId="9" fillId="2" borderId="1" applyProtection="1" pivotButton="0" quotePrefix="0" xfId="1">
      <protection locked="0" hidden="0"/>
    </xf>
    <xf numFmtId="0" fontId="1" fillId="3" borderId="16" applyAlignment="1" pivotButton="0" quotePrefix="0" xfId="1">
      <alignment horizontal="center" vertical="center"/>
    </xf>
    <xf numFmtId="0" fontId="0" fillId="0" borderId="3" applyProtection="1" pivotButton="0" quotePrefix="0" xfId="0">
      <protection locked="0" hidden="0"/>
    </xf>
    <xf numFmtId="0" fontId="0" fillId="0" borderId="3" applyProtection="1" pivotButton="0" quotePrefix="0" xfId="1">
      <protection locked="0" hidden="0"/>
    </xf>
    <xf numFmtId="0" fontId="0" fillId="0" borderId="3" applyProtection="1" pivotButton="0" quotePrefix="0" xfId="1">
      <protection locked="0" hidden="0"/>
    </xf>
    <xf numFmtId="0" fontId="0" fillId="0" borderId="3" applyAlignment="1" applyProtection="1" pivotButton="0" quotePrefix="0" xfId="1">
      <alignment vertical="top"/>
      <protection locked="0" hidden="0"/>
    </xf>
    <xf numFmtId="49" fontId="10" fillId="2" borderId="3" applyAlignment="1" pivotButton="0" quotePrefix="0" xfId="0">
      <alignment horizontal="center" vertical="center" wrapText="1"/>
    </xf>
    <xf numFmtId="49" fontId="10" fillId="2" borderId="17" applyAlignment="1" pivotButton="0" quotePrefix="0" xfId="0">
      <alignment horizontal="center" vertical="center" wrapText="1"/>
    </xf>
    <xf numFmtId="49" fontId="10" fillId="2" borderId="4" applyAlignment="1" pivotButton="0" quotePrefix="0" xfId="0">
      <alignment horizontal="left" wrapText="1"/>
    </xf>
    <xf numFmtId="49" fontId="10" fillId="2" borderId="4" applyAlignment="1" pivotButton="0" quotePrefix="0" xfId="0">
      <alignment wrapText="1"/>
    </xf>
    <xf numFmtId="49" fontId="9" fillId="2" borderId="4" applyAlignment="1" pivotButton="0" quotePrefix="0" xfId="0">
      <alignment wrapText="1"/>
    </xf>
    <xf numFmtId="49" fontId="10" fillId="2" borderId="4" applyAlignment="1" pivotButton="0" quotePrefix="0" xfId="0">
      <alignment horizontal="center" wrapText="1"/>
    </xf>
    <xf numFmtId="49" fontId="24" fillId="2" borderId="4" applyAlignment="1" pivotButton="0" quotePrefix="0" xfId="0">
      <alignment horizontal="center" wrapText="1"/>
    </xf>
    <xf numFmtId="49" fontId="9" fillId="2" borderId="4" applyAlignment="1" pivotButton="0" quotePrefix="0" xfId="0">
      <alignment horizontal="center" wrapText="1"/>
    </xf>
    <xf numFmtId="49" fontId="21" fillId="2" borderId="4" applyAlignment="1" pivotButton="0" quotePrefix="0" xfId="0">
      <alignment wrapText="1"/>
    </xf>
    <xf numFmtId="49" fontId="34" fillId="2" borderId="4" applyAlignment="1" pivotButton="0" quotePrefix="0" xfId="0">
      <alignment wrapText="1"/>
    </xf>
    <xf numFmtId="49" fontId="35" fillId="2" borderId="4" applyAlignment="1" pivotButton="0" quotePrefix="0" xfId="0">
      <alignment wrapText="1"/>
    </xf>
    <xf numFmtId="49" fontId="21" fillId="2" borderId="42" applyAlignment="1" pivotButton="0" quotePrefix="0" xfId="0">
      <alignment wrapText="1"/>
    </xf>
    <xf numFmtId="49" fontId="16" fillId="2" borderId="4" applyAlignment="1" pivotButton="0" quotePrefix="0" xfId="0">
      <alignment wrapText="1"/>
    </xf>
    <xf numFmtId="49" fontId="20" fillId="2" borderId="4" applyAlignment="1" pivotButton="0" quotePrefix="0" xfId="0">
      <alignment wrapText="1"/>
    </xf>
    <xf numFmtId="49" fontId="4" fillId="2" borderId="4" applyAlignment="1" pivotButton="0" quotePrefix="0" xfId="0">
      <alignment wrapText="1"/>
    </xf>
    <xf numFmtId="49" fontId="9" fillId="2" borderId="42" pivotButton="0" quotePrefix="0" xfId="0"/>
    <xf numFmtId="0" fontId="10" fillId="0" borderId="34" applyAlignment="1" pivotButton="0" quotePrefix="0" xfId="0">
      <alignment horizontal="center" vertical="center" wrapText="1"/>
    </xf>
    <xf numFmtId="164" fontId="1" fillId="3" borderId="36" applyAlignment="1" pivotButton="0" quotePrefix="0" xfId="1">
      <alignment vertical="center"/>
    </xf>
    <xf numFmtId="164" fontId="1" fillId="3" borderId="31" applyAlignment="1" pivotButton="0" quotePrefix="0" xfId="1">
      <alignment vertical="center"/>
    </xf>
    <xf numFmtId="164" fontId="1" fillId="3" borderId="31" applyAlignment="1" pivotButton="0" quotePrefix="0" xfId="1">
      <alignment vertical="center" wrapText="1"/>
    </xf>
    <xf numFmtId="164" fontId="1" fillId="3" borderId="72" applyAlignment="1" pivotButton="0" quotePrefix="0" xfId="1">
      <alignment horizontal="center" vertical="center" wrapText="1"/>
    </xf>
    <xf numFmtId="164" fontId="1" fillId="3" borderId="36" applyAlignment="1" pivotButton="0" quotePrefix="0" xfId="1">
      <alignment vertical="center" wrapText="1"/>
    </xf>
    <xf numFmtId="164" fontId="1" fillId="3" borderId="16" applyAlignment="1" pivotButton="0" quotePrefix="0" xfId="1">
      <alignment vertical="center" wrapText="1"/>
    </xf>
    <xf numFmtId="164" fontId="1" fillId="3" borderId="16" applyAlignment="1" pivotButton="0" quotePrefix="0" xfId="1">
      <alignment horizontal="center" vertical="center" wrapText="1"/>
    </xf>
    <xf numFmtId="0" fontId="10" fillId="0" borderId="34" applyAlignment="1" pivotButton="0" quotePrefix="0" xfId="0">
      <alignment vertical="center" wrapText="1"/>
    </xf>
    <xf numFmtId="0" fontId="36" fillId="0" borderId="34" applyAlignment="1" pivotButton="0" quotePrefix="0" xfId="0">
      <alignment vertical="center" wrapText="1"/>
    </xf>
    <xf numFmtId="0" fontId="11" fillId="2" borderId="30" applyAlignment="1" pivotButton="0" quotePrefix="0" xfId="0">
      <alignment horizontal="center" vertical="center"/>
    </xf>
    <xf numFmtId="0" fontId="1" fillId="3" borderId="23" pivotButton="0" quotePrefix="0" xfId="1"/>
    <xf numFmtId="0" fontId="1" fillId="3" borderId="1" pivotButton="0" quotePrefix="0" xfId="1"/>
    <xf numFmtId="0" fontId="1" fillId="3" borderId="7" pivotButton="0" quotePrefix="0" xfId="1"/>
    <xf numFmtId="2" fontId="10" fillId="0" borderId="3" applyAlignment="1" pivotButton="0" quotePrefix="0" xfId="0">
      <alignment horizontal="center" vertical="center" wrapText="1"/>
    </xf>
    <xf numFmtId="2" fontId="9" fillId="2" borderId="21" pivotButton="0" quotePrefix="0" xfId="3"/>
    <xf numFmtId="2" fontId="4" fillId="3" borderId="57" pivotButton="0" quotePrefix="0" xfId="1"/>
    <xf numFmtId="3" fontId="9" fillId="2" borderId="0" pivotButton="0" quotePrefix="0" xfId="0"/>
    <xf numFmtId="3" fontId="12" fillId="0" borderId="3" applyAlignment="1" pivotButton="0" quotePrefix="0" xfId="0">
      <alignment horizontal="center" vertical="center" wrapText="1"/>
    </xf>
    <xf numFmtId="3" fontId="9" fillId="2" borderId="2" applyAlignment="1" applyProtection="1" pivotButton="0" quotePrefix="0" xfId="0">
      <alignment wrapText="1"/>
      <protection locked="0" hidden="0"/>
    </xf>
    <xf numFmtId="3" fontId="1" fillId="3" borderId="16" applyAlignment="1" pivotButton="0" quotePrefix="0" xfId="1">
      <alignment horizontal="center" vertical="center"/>
    </xf>
    <xf numFmtId="3" fontId="0" fillId="0" borderId="3" applyProtection="1" pivotButton="0" quotePrefix="0" xfId="1">
      <protection locked="0" hidden="0"/>
    </xf>
    <xf numFmtId="3" fontId="0" fillId="0" borderId="3" applyAlignment="1" applyProtection="1" pivotButton="0" quotePrefix="0" xfId="0">
      <alignment vertical="top"/>
      <protection locked="0" hidden="0"/>
    </xf>
    <xf numFmtId="3" fontId="9" fillId="2" borderId="1" applyProtection="1" pivotButton="0" quotePrefix="0" xfId="1">
      <protection locked="0" hidden="0"/>
    </xf>
    <xf numFmtId="3" fontId="0" fillId="0" borderId="3" applyProtection="1" pivotButton="0" quotePrefix="0" xfId="0">
      <protection locked="0" hidden="0"/>
    </xf>
    <xf numFmtId="49" fontId="9" fillId="2" borderId="0" applyAlignment="1" pivotButton="0" quotePrefix="0" xfId="0">
      <alignment horizontal="left"/>
    </xf>
    <xf numFmtId="49" fontId="10" fillId="0" borderId="3" applyAlignment="1" pivotButton="0" quotePrefix="0" xfId="0">
      <alignment horizontal="left" vertical="center" wrapText="1"/>
    </xf>
    <xf numFmtId="49" fontId="0" fillId="0" borderId="3" applyAlignment="1" applyProtection="1" pivotButton="0" quotePrefix="0" xfId="0">
      <alignment horizontal="left"/>
      <protection locked="0" hidden="0"/>
    </xf>
    <xf numFmtId="49" fontId="0" fillId="10" borderId="3" applyAlignment="1" applyProtection="1" pivotButton="0" quotePrefix="0" xfId="1">
      <alignment horizontal="left"/>
      <protection locked="0" hidden="0"/>
    </xf>
    <xf numFmtId="49" fontId="0" fillId="10" borderId="3" applyAlignment="1" applyProtection="1" pivotButton="0" quotePrefix="0" xfId="0">
      <alignment horizontal="left"/>
      <protection locked="0" hidden="0"/>
    </xf>
    <xf numFmtId="49" fontId="1" fillId="3" borderId="16" applyAlignment="1" pivotButton="0" quotePrefix="0" xfId="1">
      <alignment horizontal="left" vertical="center"/>
    </xf>
    <xf numFmtId="3" fontId="9" fillId="2" borderId="2" applyProtection="1" pivotButton="0" quotePrefix="0" xfId="1">
      <protection locked="0" hidden="0"/>
    </xf>
    <xf numFmtId="3" fontId="12" fillId="0" borderId="3" applyAlignment="1" pivotButton="0" quotePrefix="0" xfId="0">
      <alignment horizontal="center" vertical="center"/>
    </xf>
    <xf numFmtId="168" fontId="9" fillId="0" borderId="44" applyAlignment="1" applyProtection="1" pivotButton="0" quotePrefix="0" xfId="0">
      <alignment vertical="center" wrapText="1"/>
      <protection locked="0" hidden="0"/>
    </xf>
    <xf numFmtId="168" fontId="9" fillId="0" borderId="44" applyAlignment="1" applyProtection="1" pivotButton="0" quotePrefix="0" xfId="0">
      <alignment vertical="center"/>
      <protection locked="0" hidden="0"/>
    </xf>
    <xf numFmtId="168" fontId="9" fillId="0" borderId="2" applyAlignment="1" applyProtection="1" pivotButton="0" quotePrefix="0" xfId="0">
      <alignment vertical="center" wrapText="1"/>
      <protection locked="0" hidden="0"/>
    </xf>
    <xf numFmtId="168" fontId="9" fillId="0" borderId="2" applyAlignment="1" applyProtection="1" pivotButton="0" quotePrefix="0" xfId="0">
      <alignment vertical="center"/>
      <protection locked="0" hidden="0"/>
    </xf>
    <xf numFmtId="168" fontId="9" fillId="2" borderId="2" applyProtection="1" pivotButton="0" quotePrefix="0" xfId="0">
      <protection locked="0" hidden="0"/>
    </xf>
    <xf numFmtId="168" fontId="9" fillId="2" borderId="5" applyProtection="1" pivotButton="0" quotePrefix="0" xfId="0">
      <protection locked="0" hidden="0"/>
    </xf>
    <xf numFmtId="168" fontId="9" fillId="2" borderId="61" applyProtection="1" pivotButton="0" quotePrefix="0" xfId="0">
      <protection locked="0" hidden="0"/>
    </xf>
    <xf numFmtId="0" fontId="9" fillId="2" borderId="11" applyAlignment="1" pivotButton="0" quotePrefix="0" xfId="0">
      <alignment horizontal="left"/>
    </xf>
    <xf numFmtId="0" fontId="9" fillId="2" borderId="45" applyAlignment="1" pivotButton="0" quotePrefix="0" xfId="0">
      <alignment horizontal="left"/>
    </xf>
    <xf numFmtId="0" fontId="9" fillId="2" borderId="12" applyAlignment="1" pivotButton="0" quotePrefix="0" xfId="0">
      <alignment horizontal="left"/>
    </xf>
    <xf numFmtId="0" fontId="10" fillId="2" borderId="38" applyAlignment="1" pivotButton="0" quotePrefix="0" xfId="0">
      <alignment horizontal="left"/>
    </xf>
    <xf numFmtId="0" fontId="10" fillId="2" borderId="46" applyAlignment="1" pivotButton="0" quotePrefix="0" xfId="0">
      <alignment horizontal="left"/>
    </xf>
    <xf numFmtId="0" fontId="10" fillId="2" borderId="35" applyAlignment="1" pivotButton="0" quotePrefix="0" xfId="0">
      <alignment horizontal="left"/>
    </xf>
    <xf numFmtId="0" fontId="10" fillId="2" borderId="0" applyAlignment="1" pivotButton="0" quotePrefix="0" xfId="0">
      <alignment horizontal="center"/>
    </xf>
    <xf numFmtId="0" fontId="10" fillId="0" borderId="17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/>
    </xf>
    <xf numFmtId="0" fontId="10" fillId="0" borderId="23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/>
    </xf>
    <xf numFmtId="0" fontId="10" fillId="2" borderId="49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9" fillId="0" borderId="19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64" fontId="10" fillId="0" borderId="2" applyAlignment="1" applyProtection="1" pivotButton="0" quotePrefix="0" xfId="1">
      <alignment horizontal="center" vertical="center"/>
      <protection locked="0" hidden="0"/>
    </xf>
    <xf numFmtId="164" fontId="10" fillId="0" borderId="1" applyAlignment="1" applyProtection="1" pivotButton="0" quotePrefix="0" xfId="1">
      <alignment horizontal="center" vertical="center"/>
      <protection locked="0" hidden="0"/>
    </xf>
    <xf numFmtId="0" fontId="9" fillId="0" borderId="5" applyAlignment="1" pivotButton="0" quotePrefix="0" xfId="0">
      <alignment horizontal="center" vertical="center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10" fillId="0" borderId="7" applyAlignment="1" applyProtection="1" pivotButton="0" quotePrefix="0" xfId="0">
      <alignment horizontal="center" vertical="center"/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0" fontId="10" fillId="0" borderId="2" applyAlignment="1" applyProtection="1" pivotButton="0" quotePrefix="0" xfId="0">
      <alignment horizontal="center" vertical="center"/>
      <protection locked="0" hidden="0"/>
    </xf>
    <xf numFmtId="0" fontId="9" fillId="0" borderId="19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1" fillId="2" borderId="27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0" fillId="0" borderId="21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0" fontId="11" fillId="2" borderId="30" applyAlignment="1" pivotButton="0" quotePrefix="0" xfId="0">
      <alignment horizontal="left"/>
    </xf>
    <xf numFmtId="0" fontId="11" fillId="2" borderId="8" applyAlignment="1" pivotButton="0" quotePrefix="0" xfId="0">
      <alignment horizontal="left"/>
    </xf>
    <xf numFmtId="0" fontId="9" fillId="0" borderId="41" applyAlignment="1" pivotButton="0" quotePrefix="0" xfId="0">
      <alignment horizontal="center" vertical="center"/>
    </xf>
    <xf numFmtId="0" fontId="10" fillId="0" borderId="55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/>
    </xf>
    <xf numFmtId="49" fontId="9" fillId="2" borderId="11" applyAlignment="1" pivotButton="0" quotePrefix="0" xfId="0">
      <alignment horizontal="left"/>
    </xf>
    <xf numFmtId="14" fontId="9" fillId="2" borderId="45" applyAlignment="1" pivotButton="0" quotePrefix="0" xfId="0">
      <alignment horizontal="left"/>
    </xf>
    <xf numFmtId="14" fontId="9" fillId="2" borderId="12" applyAlignment="1" pivotButton="0" quotePrefix="0" xfId="0">
      <alignment horizontal="left"/>
    </xf>
    <xf numFmtId="0" fontId="10" fillId="2" borderId="50" applyAlignment="1" pivotButton="0" quotePrefix="0" xfId="0">
      <alignment horizontal="left"/>
    </xf>
    <xf numFmtId="0" fontId="10" fillId="0" borderId="1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54" applyAlignment="1" pivotButton="0" quotePrefix="0" xfId="0">
      <alignment horizontal="center" vertical="center"/>
    </xf>
    <xf numFmtId="0" fontId="33" fillId="2" borderId="38" applyAlignment="1" pivotButton="0" quotePrefix="0" xfId="0">
      <alignment horizontal="left"/>
    </xf>
    <xf numFmtId="0" fontId="33" fillId="2" borderId="46" applyAlignment="1" pivotButton="0" quotePrefix="0" xfId="0">
      <alignment horizontal="left"/>
    </xf>
    <xf numFmtId="0" fontId="33" fillId="2" borderId="35" applyAlignment="1" pivotButton="0" quotePrefix="0" xfId="0">
      <alignment horizontal="left"/>
    </xf>
    <xf numFmtId="0" fontId="13" fillId="0" borderId="50" applyAlignment="1" pivotButton="0" quotePrefix="0" xfId="0">
      <alignment horizontal="center"/>
    </xf>
    <xf numFmtId="0" fontId="10" fillId="2" borderId="1" applyAlignment="1" pivotButton="0" quotePrefix="0" xfId="0">
      <alignment horizontal="left"/>
    </xf>
    <xf numFmtId="0" fontId="10" fillId="2" borderId="9" applyAlignment="1" pivotButton="0" quotePrefix="0" xfId="0">
      <alignment horizontal="left"/>
    </xf>
    <xf numFmtId="0" fontId="10" fillId="2" borderId="1" applyAlignment="1" pivotButton="0" quotePrefix="0" xfId="0">
      <alignment horizontal="left" vertical="center"/>
    </xf>
    <xf numFmtId="0" fontId="10" fillId="2" borderId="9" applyAlignment="1" pivotButton="0" quotePrefix="0" xfId="0">
      <alignment horizontal="left" vertical="center"/>
    </xf>
    <xf numFmtId="0" fontId="10" fillId="0" borderId="19" applyAlignment="1" pivotButton="0" quotePrefix="0" xfId="0">
      <alignment horizontal="center"/>
    </xf>
    <xf numFmtId="0" fontId="10" fillId="0" borderId="14" applyAlignment="1" pivotButton="0" quotePrefix="0" xfId="0">
      <alignment horizontal="center"/>
    </xf>
    <xf numFmtId="0" fontId="10" fillId="0" borderId="4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13" fillId="2" borderId="5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/>
    </xf>
    <xf numFmtId="49" fontId="9" fillId="2" borderId="45" applyAlignment="1" pivotButton="0" quotePrefix="0" xfId="0">
      <alignment horizontal="left"/>
    </xf>
    <xf numFmtId="0" fontId="10" fillId="0" borderId="51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/>
    </xf>
    <xf numFmtId="0" fontId="10" fillId="0" borderId="50" applyAlignment="1" pivotButton="0" quotePrefix="0" xfId="0">
      <alignment horizontal="center"/>
    </xf>
    <xf numFmtId="0" fontId="10" fillId="2" borderId="45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1" fillId="2" borderId="62" applyAlignment="1" pivotButton="0" quotePrefix="0" xfId="0">
      <alignment horizontal="center"/>
    </xf>
    <xf numFmtId="0" fontId="11" fillId="2" borderId="37" applyAlignment="1" pivotButton="0" quotePrefix="0" xfId="0">
      <alignment horizontal="center"/>
    </xf>
    <xf numFmtId="0" fontId="11" fillId="2" borderId="51" applyAlignment="1" pivotButton="0" quotePrefix="0" xfId="0">
      <alignment horizontal="center"/>
    </xf>
    <xf numFmtId="0" fontId="11" fillId="2" borderId="50" applyAlignment="1" pivotButton="0" quotePrefix="0" xfId="0">
      <alignment horizontal="center"/>
    </xf>
    <xf numFmtId="0" fontId="11" fillId="2" borderId="63" applyAlignment="1" pivotButton="0" quotePrefix="0" xfId="0">
      <alignment horizontal="center"/>
    </xf>
    <xf numFmtId="0" fontId="11" fillId="2" borderId="48" applyAlignment="1" pivotButton="0" quotePrefix="0" xfId="0">
      <alignment horizontal="center"/>
    </xf>
    <xf numFmtId="0" fontId="10" fillId="0" borderId="2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164" fontId="4" fillId="3" borderId="28" applyAlignment="1" pivotButton="0" quotePrefix="0" xfId="1">
      <alignment horizontal="center"/>
    </xf>
    <xf numFmtId="164" fontId="4" fillId="3" borderId="57" applyAlignment="1" pivotButton="0" quotePrefix="0" xfId="1">
      <alignment horizontal="center"/>
    </xf>
    <xf numFmtId="164" fontId="1" fillId="3" borderId="55" applyAlignment="1" pivotButton="0" quotePrefix="0" xfId="1">
      <alignment horizontal="center" vertical="center" wrapText="1"/>
    </xf>
    <xf numFmtId="164" fontId="1" fillId="3" borderId="31" applyAlignment="1" pivotButton="0" quotePrefix="0" xfId="1">
      <alignment horizontal="center" vertical="center" wrapText="1"/>
    </xf>
    <xf numFmtId="164" fontId="1" fillId="3" borderId="20" applyAlignment="1" pivotButton="0" quotePrefix="0" xfId="1">
      <alignment horizontal="center" vertical="center" wrapText="1"/>
    </xf>
    <xf numFmtId="0" fontId="10" fillId="0" borderId="27" applyAlignment="1" pivotButton="0" quotePrefix="0" xfId="0">
      <alignment horizontal="center"/>
    </xf>
    <xf numFmtId="0" fontId="10" fillId="0" borderId="37" applyAlignment="1" pivotButton="0" quotePrefix="0" xfId="0">
      <alignment horizontal="center"/>
    </xf>
    <xf numFmtId="0" fontId="10" fillId="0" borderId="21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" fillId="0" borderId="2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indent="4"/>
    </xf>
    <xf numFmtId="0" fontId="4" fillId="0" borderId="11" applyAlignment="1" pivotButton="0" quotePrefix="0" xfId="0">
      <alignment horizontal="left" vertical="center" indent="4"/>
    </xf>
    <xf numFmtId="0" fontId="4" fillId="0" borderId="2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18" fillId="5" borderId="2" applyAlignment="1" pivotButton="0" quotePrefix="0" xfId="2">
      <alignment vertical="center"/>
    </xf>
    <xf numFmtId="0" fontId="18" fillId="5" borderId="11" applyAlignment="1" pivotButton="0" quotePrefix="0" xfId="2">
      <alignment vertical="center"/>
    </xf>
    <xf numFmtId="0" fontId="10" fillId="0" borderId="5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18" fillId="5" borderId="56" applyAlignment="1" pivotButton="0" quotePrefix="0" xfId="2">
      <alignment horizontal="left" vertical="center"/>
    </xf>
    <xf numFmtId="0" fontId="18" fillId="5" borderId="51" applyAlignment="1" pivotButton="0" quotePrefix="0" xfId="2">
      <alignment horizontal="left" vertical="center"/>
    </xf>
    <xf numFmtId="0" fontId="10" fillId="2" borderId="2" pivotButton="0" quotePrefix="0" xfId="0"/>
    <xf numFmtId="0" fontId="10" fillId="2" borderId="11" pivotButton="0" quotePrefix="0" xfId="0"/>
    <xf numFmtId="0" fontId="4" fillId="0" borderId="55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center"/>
    </xf>
    <xf numFmtId="0" fontId="9" fillId="2" borderId="12" applyAlignment="1" pivotButton="0" quotePrefix="0" xfId="0">
      <alignment horizontal="center"/>
    </xf>
    <xf numFmtId="49" fontId="9" fillId="2" borderId="11" applyAlignment="1" pivotButton="0" quotePrefix="0" xfId="0">
      <alignment horizontal="center"/>
    </xf>
    <xf numFmtId="0" fontId="10" fillId="2" borderId="11" applyAlignment="1" pivotButton="0" quotePrefix="0" xfId="0">
      <alignment horizontal="center"/>
    </xf>
    <xf numFmtId="0" fontId="10" fillId="2" borderId="12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indent="11"/>
    </xf>
    <xf numFmtId="0" fontId="9" fillId="2" borderId="0" applyAlignment="1" pivotButton="0" quotePrefix="0" xfId="0">
      <alignment horizontal="left"/>
    </xf>
    <xf numFmtId="0" fontId="12" fillId="0" borderId="3" applyAlignment="1" pivotButton="0" quotePrefix="0" xfId="0">
      <alignment horizontal="left" vertical="center" wrapText="1"/>
    </xf>
    <xf numFmtId="14" fontId="9" fillId="2" borderId="2" applyAlignment="1" applyProtection="1" pivotButton="0" quotePrefix="0" xfId="0">
      <alignment horizontal="left" wrapText="1"/>
      <protection locked="0" hidden="0"/>
    </xf>
    <xf numFmtId="164" fontId="1" fillId="3" borderId="16" applyAlignment="1" pivotButton="0" quotePrefix="0" xfId="1">
      <alignment horizontal="left" vertical="center"/>
    </xf>
    <xf numFmtId="49" fontId="9" fillId="0" borderId="2" applyProtection="1" pivotButton="0" quotePrefix="0" xfId="0">
      <protection locked="0" hidden="0"/>
    </xf>
    <xf numFmtId="164" fontId="1" fillId="3" borderId="17" applyAlignment="1" pivotButton="0" quotePrefix="0" xfId="1">
      <alignment horizontal="center" vertical="center"/>
    </xf>
    <xf numFmtId="164" fontId="1" fillId="4" borderId="17" applyAlignment="1" pivotButton="0" quotePrefix="0" xfId="1">
      <alignment horizontal="center" vertical="center"/>
    </xf>
    <xf numFmtId="164" fontId="1" fillId="3" borderId="18" applyAlignment="1" pivotButton="0" quotePrefix="0" xfId="1">
      <alignment horizontal="center" vertical="center"/>
    </xf>
    <xf numFmtId="164" fontId="1" fillId="3" borderId="4" applyAlignment="1" pivotButton="0" quotePrefix="0" xfId="1">
      <alignment horizontal="center" vertical="center"/>
    </xf>
    <xf numFmtId="164" fontId="1" fillId="4" borderId="4" applyAlignment="1" pivotButton="0" quotePrefix="0" xfId="1">
      <alignment horizontal="center" vertical="center"/>
    </xf>
    <xf numFmtId="164" fontId="9" fillId="2" borderId="2" applyProtection="1" pivotButton="0" quotePrefix="0" xfId="1">
      <protection locked="0" hidden="0"/>
    </xf>
    <xf numFmtId="164" fontId="9" fillId="2" borderId="2" applyAlignment="1" applyProtection="1" pivotButton="0" quotePrefix="0" xfId="1">
      <alignment horizontal="center" vertical="center"/>
      <protection locked="0" hidden="0"/>
    </xf>
    <xf numFmtId="164" fontId="1" fillId="4" borderId="35" applyAlignment="1" pivotButton="0" quotePrefix="0" xfId="1">
      <alignment horizontal="center" vertical="center"/>
    </xf>
    <xf numFmtId="164" fontId="1" fillId="0" borderId="3" applyAlignment="1" applyProtection="1" pivotButton="0" quotePrefix="0" xfId="1">
      <alignment horizontal="center" vertical="center"/>
      <protection locked="0" hidden="0"/>
    </xf>
    <xf numFmtId="164" fontId="9" fillId="2" borderId="3" applyAlignment="1" applyProtection="1" pivotButton="0" quotePrefix="0" xfId="1">
      <alignment horizontal="center" vertical="center"/>
      <protection locked="0" hidden="0"/>
    </xf>
    <xf numFmtId="164" fontId="1" fillId="0" borderId="4" applyAlignment="1" applyProtection="1" pivotButton="0" quotePrefix="0" xfId="1">
      <alignment horizontal="center" vertical="center"/>
      <protection locked="0" hidden="0"/>
    </xf>
    <xf numFmtId="164" fontId="9" fillId="2" borderId="4" applyAlignment="1" applyProtection="1" pivotButton="0" quotePrefix="0" xfId="1">
      <alignment horizontal="center" vertical="center"/>
      <protection locked="0" hidden="0"/>
    </xf>
    <xf numFmtId="164" fontId="10" fillId="2" borderId="2" applyAlignment="1" applyProtection="1" pivotButton="0" quotePrefix="0" xfId="1">
      <alignment horizontal="center" vertical="center"/>
      <protection locked="0" hidden="0"/>
    </xf>
    <xf numFmtId="164" fontId="4" fillId="0" borderId="4" applyAlignment="1" applyProtection="1" pivotButton="0" quotePrefix="0" xfId="1">
      <alignment horizontal="center" vertical="center"/>
      <protection locked="0" hidden="0"/>
    </xf>
    <xf numFmtId="164" fontId="1" fillId="3" borderId="16" applyAlignment="1" pivotButton="0" quotePrefix="0" xfId="1">
      <alignment horizontal="center" vertical="center"/>
    </xf>
    <xf numFmtId="164" fontId="1" fillId="3" borderId="20" applyAlignment="1" pivotButton="0" quotePrefix="0" xfId="1">
      <alignment horizontal="center" vertical="center"/>
    </xf>
    <xf numFmtId="164" fontId="10" fillId="2" borderId="4" applyAlignment="1" applyProtection="1" pivotButton="0" quotePrefix="0" xfId="1">
      <alignment horizontal="center" vertical="center"/>
      <protection locked="0" hidden="0"/>
    </xf>
    <xf numFmtId="164" fontId="33" fillId="4" borderId="17" applyAlignment="1" pivotButton="0" quotePrefix="0" xfId="1">
      <alignment horizontal="center" vertical="center"/>
    </xf>
    <xf numFmtId="164" fontId="33" fillId="3" borderId="18" applyAlignment="1" pivotButton="0" quotePrefix="0" xfId="1">
      <alignment horizontal="center" vertical="center"/>
    </xf>
    <xf numFmtId="164" fontId="10" fillId="2" borderId="19" applyAlignment="1" applyProtection="1" pivotButton="0" quotePrefix="0" xfId="1">
      <alignment horizontal="center" vertical="center"/>
      <protection locked="0" hidden="0"/>
    </xf>
    <xf numFmtId="164" fontId="1" fillId="4" borderId="21" applyAlignment="1" pivotButton="0" quotePrefix="0" xfId="1">
      <alignment horizontal="center" vertical="center"/>
    </xf>
    <xf numFmtId="164" fontId="1" fillId="3" borderId="24" applyAlignment="1" pivotButton="0" quotePrefix="0" xfId="1">
      <alignment horizontal="center" vertical="center"/>
    </xf>
    <xf numFmtId="164" fontId="1" fillId="4" borderId="3" applyAlignment="1" pivotButton="0" quotePrefix="0" xfId="1">
      <alignment horizontal="center" vertical="center"/>
    </xf>
    <xf numFmtId="164" fontId="1" fillId="3" borderId="23" pivotButton="0" quotePrefix="0" xfId="1"/>
    <xf numFmtId="164" fontId="1" fillId="3" borderId="18" pivotButton="0" quotePrefix="0" xfId="1"/>
    <xf numFmtId="164" fontId="9" fillId="2" borderId="1" applyProtection="1" pivotButton="0" quotePrefix="0" xfId="1">
      <protection locked="0" hidden="0"/>
    </xf>
    <xf numFmtId="164" fontId="9" fillId="2" borderId="6" applyProtection="1" pivotButton="0" quotePrefix="0" xfId="1">
      <protection locked="0" hidden="0"/>
    </xf>
    <xf numFmtId="164" fontId="1" fillId="3" borderId="6" pivotButton="0" quotePrefix="0" xfId="1"/>
    <xf numFmtId="164" fontId="10" fillId="2" borderId="6" applyProtection="1" pivotButton="0" quotePrefix="0" xfId="1">
      <protection locked="0" hidden="0"/>
    </xf>
    <xf numFmtId="164" fontId="1" fillId="3" borderId="1" pivotButton="0" quotePrefix="0" xfId="1"/>
    <xf numFmtId="164" fontId="1" fillId="3" borderId="7" pivotButton="0" quotePrefix="0" xfId="1"/>
    <xf numFmtId="164" fontId="1" fillId="3" borderId="24" pivotButton="0" quotePrefix="0" xfId="1"/>
    <xf numFmtId="164" fontId="4" fillId="0" borderId="24" applyProtection="1" pivotButton="0" quotePrefix="0" xfId="1">
      <protection locked="0" hidden="0"/>
    </xf>
    <xf numFmtId="164" fontId="1" fillId="0" borderId="24" applyProtection="1" pivotButton="0" quotePrefix="0" xfId="1">
      <protection locked="0" hidden="0"/>
    </xf>
    <xf numFmtId="164" fontId="9" fillId="2" borderId="17" applyProtection="1" pivotButton="0" quotePrefix="0" xfId="1">
      <protection locked="0" hidden="0"/>
    </xf>
    <xf numFmtId="164" fontId="9" fillId="2" borderId="33" applyProtection="1" pivotButton="0" quotePrefix="0" xfId="1">
      <protection locked="0" hidden="0"/>
    </xf>
    <xf numFmtId="164" fontId="9" fillId="2" borderId="11" applyProtection="1" pivotButton="0" quotePrefix="0" xfId="1">
      <protection locked="0" hidden="0"/>
    </xf>
    <xf numFmtId="164" fontId="9" fillId="2" borderId="19" applyProtection="1" pivotButton="0" quotePrefix="0" xfId="1">
      <protection locked="0" hidden="0"/>
    </xf>
    <xf numFmtId="164" fontId="9" fillId="2" borderId="39" applyProtection="1" pivotButton="0" quotePrefix="0" xfId="1">
      <protection locked="0" hidden="0"/>
    </xf>
    <xf numFmtId="164" fontId="9" fillId="2" borderId="5" applyProtection="1" pivotButton="0" quotePrefix="0" xfId="1">
      <protection locked="0" hidden="0"/>
    </xf>
    <xf numFmtId="164" fontId="9" fillId="2" borderId="34" applyProtection="1" pivotButton="0" quotePrefix="0" xfId="1">
      <protection locked="0" hidden="0"/>
    </xf>
    <xf numFmtId="164" fontId="1" fillId="3" borderId="16" pivotButton="0" quotePrefix="0" xfId="1"/>
    <xf numFmtId="164" fontId="1" fillId="3" borderId="17" pivotButton="0" quotePrefix="0" xfId="1"/>
    <xf numFmtId="164" fontId="1" fillId="3" borderId="2" pivotButton="0" quotePrefix="0" xfId="1"/>
    <xf numFmtId="164" fontId="1" fillId="3" borderId="5" pivotButton="0" quotePrefix="0" xfId="1"/>
    <xf numFmtId="164" fontId="1" fillId="0" borderId="0" pivotButton="0" quotePrefix="0" xfId="1"/>
    <xf numFmtId="164" fontId="4" fillId="3" borderId="1" pivotButton="0" quotePrefix="0" xfId="1"/>
    <xf numFmtId="0" fontId="0" fillId="0" borderId="45" pivotButton="0" quotePrefix="0" xfId="0"/>
    <xf numFmtId="0" fontId="0" fillId="0" borderId="12" pivotButton="0" quotePrefix="0" xfId="0"/>
    <xf numFmtId="0" fontId="10" fillId="2" borderId="4" applyAlignment="1" pivotButton="0" quotePrefix="0" xfId="0">
      <alignment horizontal="left"/>
    </xf>
    <xf numFmtId="0" fontId="0" fillId="0" borderId="46" pivotButton="0" quotePrefix="0" xfId="0"/>
    <xf numFmtId="0" fontId="0" fillId="0" borderId="35" pivotButton="0" quotePrefix="0" xfId="0"/>
    <xf numFmtId="164" fontId="1" fillId="3" borderId="16" applyAlignment="1" pivotButton="0" quotePrefix="0" xfId="1">
      <alignment horizontal="left" vertical="center"/>
    </xf>
    <xf numFmtId="164" fontId="0" fillId="0" borderId="3" applyProtection="1" pivotButton="0" quotePrefix="0" xfId="1">
      <protection locked="0" hidden="0"/>
    </xf>
    <xf numFmtId="164" fontId="0" fillId="0" borderId="3" applyAlignment="1" applyProtection="1" pivotButton="0" quotePrefix="0" xfId="1">
      <alignment horizontal="center"/>
      <protection locked="0" hidden="0"/>
    </xf>
    <xf numFmtId="164" fontId="0" fillId="10" borderId="3" applyProtection="1" pivotButton="0" quotePrefix="0" xfId="1">
      <protection locked="0" hidden="0"/>
    </xf>
    <xf numFmtId="164" fontId="0" fillId="10" borderId="3" applyAlignment="1" applyProtection="1" pivotButton="0" quotePrefix="0" xfId="1">
      <alignment horizontal="center"/>
      <protection locked="0" hidden="0"/>
    </xf>
    <xf numFmtId="164" fontId="4" fillId="3" borderId="16" pivotButton="0" quotePrefix="0" xfId="1"/>
    <xf numFmtId="164" fontId="4" fillId="3" borderId="24" pivotButton="0" quotePrefix="0" xfId="1"/>
    <xf numFmtId="0" fontId="10" fillId="2" borderId="26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52" pivotButton="0" quotePrefix="0" xfId="0"/>
    <xf numFmtId="0" fontId="0" fillId="0" borderId="7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8" pivotButton="0" quotePrefix="0" xfId="0"/>
    <xf numFmtId="0" fontId="0" fillId="0" borderId="14" pivotButton="0" quotePrefix="0" xfId="0"/>
    <xf numFmtId="0" fontId="0" fillId="0" borderId="6" pivotButton="0" quotePrefix="0" xfId="0"/>
    <xf numFmtId="164" fontId="1" fillId="0" borderId="2" applyAlignment="1" applyProtection="1" pivotButton="0" quotePrefix="0" xfId="1">
      <alignment vertical="center"/>
      <protection locked="0" hidden="0"/>
    </xf>
    <xf numFmtId="164" fontId="10" fillId="0" borderId="2" applyAlignment="1" applyProtection="1" pivotButton="0" quotePrefix="0" xfId="1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9" fillId="0" borderId="42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2" pivotButton="0" quotePrefix="0" xfId="0"/>
    <xf numFmtId="0" fontId="0" fillId="0" borderId="6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4" fontId="4" fillId="3" borderId="4" applyAlignment="1" pivotButton="0" quotePrefix="0" xfId="1">
      <alignment vertical="center"/>
    </xf>
    <xf numFmtId="164" fontId="4" fillId="3" borderId="16" applyAlignment="1" pivotButton="0" quotePrefix="0" xfId="1">
      <alignment vertical="center"/>
    </xf>
    <xf numFmtId="164" fontId="4" fillId="3" borderId="53" applyAlignment="1" pivotButton="0" quotePrefix="0" xfId="1">
      <alignment vertical="center"/>
    </xf>
    <xf numFmtId="164" fontId="4" fillId="3" borderId="23" applyAlignment="1" pivotButton="0" quotePrefix="0" xfId="1">
      <alignment vertical="center"/>
    </xf>
    <xf numFmtId="164" fontId="4" fillId="3" borderId="14" applyAlignment="1" pivotButton="0" quotePrefix="0" xfId="1">
      <alignment vertical="center"/>
    </xf>
    <xf numFmtId="164" fontId="4" fillId="3" borderId="24" applyAlignment="1" pivotButton="0" quotePrefix="0" xfId="1">
      <alignment vertical="center"/>
    </xf>
    <xf numFmtId="164" fontId="4" fillId="3" borderId="6" applyAlignment="1" pivotButton="0" quotePrefix="0" xfId="1">
      <alignment vertical="center"/>
    </xf>
    <xf numFmtId="0" fontId="0" fillId="0" borderId="41" pivotButton="0" quotePrefix="0" xfId="0"/>
    <xf numFmtId="164" fontId="1" fillId="3" borderId="16" applyAlignment="1" pivotButton="0" quotePrefix="0" xfId="1">
      <alignment vertical="center"/>
    </xf>
    <xf numFmtId="164" fontId="9" fillId="6" borderId="3" pivotButton="0" quotePrefix="0" xfId="0"/>
    <xf numFmtId="164" fontId="1" fillId="3" borderId="23" applyAlignment="1" pivotButton="0" quotePrefix="0" xfId="1">
      <alignment vertical="center"/>
    </xf>
    <xf numFmtId="164" fontId="1" fillId="3" borderId="58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164" fontId="4" fillId="0" borderId="58" applyAlignment="1" pivotButton="0" quotePrefix="0" xfId="1">
      <alignment vertical="center"/>
    </xf>
    <xf numFmtId="164" fontId="4" fillId="3" borderId="40" applyAlignment="1" pivotButton="0" quotePrefix="0" xfId="1">
      <alignment vertical="center"/>
    </xf>
    <xf numFmtId="0" fontId="11" fillId="2" borderId="9" applyAlignment="1" pivotButton="0" quotePrefix="0" xfId="0">
      <alignment horizontal="left"/>
    </xf>
    <xf numFmtId="164" fontId="1" fillId="3" borderId="36" applyAlignment="1" pivotButton="0" quotePrefix="0" xfId="1">
      <alignment horizontal="center" vertical="center"/>
    </xf>
    <xf numFmtId="0" fontId="0" fillId="0" borderId="50" pivotButton="0" quotePrefix="0" xfId="0"/>
    <xf numFmtId="164" fontId="4" fillId="7" borderId="1" pivotButton="0" quotePrefix="0" xfId="1"/>
    <xf numFmtId="164" fontId="9" fillId="7" borderId="3" pivotButton="0" quotePrefix="0" xfId="0"/>
    <xf numFmtId="164" fontId="4" fillId="3" borderId="1" pivotButton="0" quotePrefix="0" xfId="3"/>
    <xf numFmtId="164" fontId="4" fillId="3" borderId="55" pivotButton="0" quotePrefix="0" xfId="1"/>
    <xf numFmtId="164" fontId="4" fillId="3" borderId="31" pivotButton="0" quotePrefix="0" xfId="1"/>
    <xf numFmtId="164" fontId="4" fillId="3" borderId="20" pivotButton="0" quotePrefix="0" xfId="1"/>
    <xf numFmtId="164" fontId="9" fillId="2" borderId="0" pivotButton="0" quotePrefix="0" xfId="0"/>
    <xf numFmtId="164" fontId="19" fillId="0" borderId="17" applyProtection="1" pivotButton="0" quotePrefix="0" xfId="1">
      <protection locked="0" hidden="0"/>
    </xf>
    <xf numFmtId="164" fontId="1" fillId="3" borderId="65" pivotButton="0" quotePrefix="0" xfId="1"/>
    <xf numFmtId="164" fontId="9" fillId="2" borderId="50" applyProtection="1" pivotButton="0" quotePrefix="0" xfId="1">
      <protection locked="0" hidden="0"/>
    </xf>
    <xf numFmtId="164" fontId="1" fillId="3" borderId="69" pivotButton="0" quotePrefix="0" xfId="1"/>
    <xf numFmtId="0" fontId="33" fillId="2" borderId="4" applyAlignment="1" pivotButton="0" quotePrefix="0" xfId="0">
      <alignment horizontal="left"/>
    </xf>
    <xf numFmtId="0" fontId="10" fillId="0" borderId="2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13" pivotButton="0" quotePrefix="0" xfId="0"/>
    <xf numFmtId="0" fontId="0" fillId="0" borderId="54" pivotButton="0" quotePrefix="0" xfId="0"/>
    <xf numFmtId="164" fontId="9" fillId="2" borderId="14" applyProtection="1" pivotButton="0" quotePrefix="0" xfId="1">
      <protection locked="0" hidden="0"/>
    </xf>
    <xf numFmtId="0" fontId="0" fillId="0" borderId="59" pivotButton="0" quotePrefix="0" xfId="0"/>
    <xf numFmtId="49" fontId="9" fillId="2" borderId="12" applyAlignment="1" pivotButton="0" quotePrefix="0" xfId="0">
      <alignment horizontal="left"/>
    </xf>
    <xf numFmtId="164" fontId="1" fillId="3" borderId="31" applyAlignment="1" pivotButton="0" quotePrefix="0" xfId="1">
      <alignment vertical="center" wrapText="1"/>
    </xf>
    <xf numFmtId="164" fontId="1" fillId="3" borderId="72" applyAlignment="1" pivotButton="0" quotePrefix="0" xfId="1">
      <alignment horizontal="center" vertical="center" wrapText="1"/>
    </xf>
    <xf numFmtId="164" fontId="1" fillId="3" borderId="31" applyAlignment="1" pivotButton="0" quotePrefix="0" xfId="1">
      <alignment vertical="center"/>
    </xf>
    <xf numFmtId="164" fontId="1" fillId="3" borderId="36" applyAlignment="1" pivotButton="0" quotePrefix="0" xfId="1">
      <alignment vertical="center"/>
    </xf>
    <xf numFmtId="164" fontId="4" fillId="3" borderId="3" pivotButton="0" quotePrefix="0" xfId="1"/>
    <xf numFmtId="164" fontId="4" fillId="3" borderId="6" pivotButton="0" quotePrefix="0" xfId="1"/>
    <xf numFmtId="164" fontId="9" fillId="0" borderId="3" pivotButton="0" quotePrefix="0" xfId="1"/>
    <xf numFmtId="164" fontId="1" fillId="3" borderId="16" applyAlignment="1" pivotButton="0" quotePrefix="0" xfId="1">
      <alignment vertical="center" wrapText="1"/>
    </xf>
    <xf numFmtId="164" fontId="1" fillId="3" borderId="16" applyAlignment="1" pivotButton="0" quotePrefix="0" xfId="1">
      <alignment horizontal="center" vertical="center" wrapText="1"/>
    </xf>
    <xf numFmtId="164" fontId="1" fillId="3" borderId="36" applyAlignment="1" pivotButton="0" quotePrefix="0" xfId="1">
      <alignment vertical="center" wrapText="1"/>
    </xf>
    <xf numFmtId="0" fontId="10" fillId="0" borderId="31" applyAlignment="1" pivotButton="0" quotePrefix="0" xfId="0">
      <alignment horizontal="center"/>
    </xf>
    <xf numFmtId="164" fontId="9" fillId="0" borderId="24" applyProtection="1" pivotButton="0" quotePrefix="0" xfId="1">
      <protection locked="0" hidden="0"/>
    </xf>
    <xf numFmtId="0" fontId="11" fillId="2" borderId="36" applyAlignment="1" pivotButton="0" quotePrefix="0" xfId="0">
      <alignment horizontal="center"/>
    </xf>
    <xf numFmtId="0" fontId="11" fillId="2" borderId="31" applyAlignment="1" pivotButton="0" quotePrefix="0" xfId="0">
      <alignment horizontal="center"/>
    </xf>
    <xf numFmtId="0" fontId="11" fillId="2" borderId="25" applyAlignment="1" pivotButton="0" quotePrefix="0" xfId="0">
      <alignment horizontal="center"/>
    </xf>
    <xf numFmtId="0" fontId="10" fillId="0" borderId="16" applyAlignment="1" pivotButton="0" quotePrefix="0" xfId="0">
      <alignment horizontal="center" vertical="center" wrapText="1"/>
    </xf>
    <xf numFmtId="164" fontId="4" fillId="3" borderId="3" applyAlignment="1" pivotButton="0" quotePrefix="0" xfId="1">
      <alignment horizontal="center"/>
    </xf>
    <xf numFmtId="0" fontId="0" fillId="0" borderId="37" pivotButton="0" quotePrefix="0" xfId="0"/>
    <xf numFmtId="0" fontId="0" fillId="0" borderId="57" pivotButton="0" quotePrefix="0" xfId="0"/>
    <xf numFmtId="164" fontId="4" fillId="0" borderId="23" applyAlignment="1" applyProtection="1" pivotButton="0" quotePrefix="0" xfId="1">
      <alignment vertical="center"/>
      <protection locked="0" hidden="0"/>
    </xf>
    <xf numFmtId="164" fontId="1" fillId="3" borderId="24" applyAlignment="1" pivotButton="0" quotePrefix="0" xfId="1">
      <alignment vertical="center"/>
    </xf>
    <xf numFmtId="164" fontId="4" fillId="3" borderId="22" applyAlignment="1" pivotButton="0" quotePrefix="0" xfId="1">
      <alignment vertical="center"/>
    </xf>
    <xf numFmtId="164" fontId="4" fillId="3" borderId="3" applyAlignment="1" pivotButton="0" quotePrefix="0" xfId="1">
      <alignment vertical="center"/>
    </xf>
    <xf numFmtId="164" fontId="9" fillId="0" borderId="1" applyProtection="1" pivotButton="0" quotePrefix="0" xfId="1">
      <protection locked="0" hidden="0"/>
    </xf>
    <xf numFmtId="164" fontId="9" fillId="0" borderId="2" pivotButton="0" quotePrefix="0" xfId="1"/>
    <xf numFmtId="164" fontId="1" fillId="3" borderId="3" applyAlignment="1" pivotButton="0" quotePrefix="0" xfId="1">
      <alignment horizontal="center" vertical="center" wrapText="1"/>
    </xf>
    <xf numFmtId="0" fontId="0" fillId="0" borderId="20" pivotButton="0" quotePrefix="0" xfId="0"/>
    <xf numFmtId="164" fontId="18" fillId="5" borderId="1" applyAlignment="1" pivotButton="0" quotePrefix="0" xfId="1">
      <alignment horizontal="left" vertical="center"/>
    </xf>
    <xf numFmtId="0" fontId="0" fillId="0" borderId="51" pivotButton="0" quotePrefix="0" xfId="0"/>
    <xf numFmtId="164" fontId="9" fillId="0" borderId="1" applyAlignment="1" applyProtection="1" pivotButton="0" quotePrefix="0" xfId="1">
      <alignment vertical="center"/>
      <protection locked="0" hidden="0"/>
    </xf>
    <xf numFmtId="164" fontId="4" fillId="3" borderId="29" pivotButton="0" quotePrefix="0" xfId="1"/>
    <xf numFmtId="0" fontId="4" fillId="0" borderId="3" applyAlignment="1" pivotButton="0" quotePrefix="0" xfId="0">
      <alignment horizontal="left" vertical="center"/>
    </xf>
    <xf numFmtId="164" fontId="4" fillId="3" borderId="59" pivotButton="0" quotePrefix="0" xfId="1"/>
    <xf numFmtId="164" fontId="4" fillId="3" borderId="67" pivotButton="0" quotePrefix="0" xfId="1"/>
    <xf numFmtId="164" fontId="4" fillId="3" borderId="66" pivotButton="0" quotePrefix="0" xfId="1"/>
    <xf numFmtId="164" fontId="9" fillId="0" borderId="11" pivotButton="0" quotePrefix="0" xfId="0"/>
    <xf numFmtId="164" fontId="10" fillId="0" borderId="11" pivotButton="0" quotePrefix="0" xfId="0"/>
    <xf numFmtId="0" fontId="9" fillId="2" borderId="2" applyAlignment="1" pivotButton="0" quotePrefix="0" xfId="0">
      <alignment horizontal="center"/>
    </xf>
    <xf numFmtId="49" fontId="9" fillId="2" borderId="2" applyAlignment="1" pivotButton="0" quotePrefix="0" xfId="0">
      <alignment horizontal="center"/>
    </xf>
    <xf numFmtId="0" fontId="10" fillId="2" borderId="2" applyAlignment="1" pivotButton="0" quotePrefix="0" xfId="0">
      <alignment horizontal="center"/>
    </xf>
    <xf numFmtId="164" fontId="9" fillId="2" borderId="3" applyProtection="1" pivotButton="0" quotePrefix="0" xfId="1">
      <protection locked="0" hidden="0"/>
    </xf>
    <xf numFmtId="164" fontId="9" fillId="2" borderId="3" applyAlignment="1" applyProtection="1" pivotButton="0" quotePrefix="0" xfId="1">
      <alignment wrapText="1"/>
      <protection locked="0" hidden="0"/>
    </xf>
    <xf numFmtId="164" fontId="4" fillId="3" borderId="36" pivotButton="0" quotePrefix="0" xfId="1"/>
    <xf numFmtId="164" fontId="9" fillId="2" borderId="2" applyAlignment="1" applyProtection="1" pivotButton="0" quotePrefix="0" xfId="1">
      <alignment wrapText="1"/>
      <protection locked="0" hidden="0"/>
    </xf>
    <xf numFmtId="164" fontId="9" fillId="2" borderId="41" applyProtection="1" pivotButton="0" quotePrefix="0" xfId="1">
      <protection locked="0" hidden="0"/>
    </xf>
    <xf numFmtId="164" fontId="1" fillId="3" borderId="25" pivotButton="0" quotePrefix="0" xfId="1"/>
    <xf numFmtId="164" fontId="4" fillId="3" borderId="24" applyAlignment="1" pivotButton="0" quotePrefix="0" xfId="1">
      <alignment horizontal="center" vertical="center"/>
    </xf>
    <xf numFmtId="166" fontId="7" fillId="0" borderId="3" applyAlignment="1" applyProtection="1" pivotButton="0" quotePrefix="0" xfId="4">
      <alignment horizontal="center"/>
      <protection locked="0" hidden="0"/>
    </xf>
    <xf numFmtId="166" fontId="8" fillId="0" borderId="3" applyAlignment="1" pivotButton="0" quotePrefix="0" xfId="4">
      <alignment horizontal="center"/>
    </xf>
    <xf numFmtId="166" fontId="7" fillId="0" borderId="0" applyAlignment="1" pivotButton="0" quotePrefix="0" xfId="4">
      <alignment horizontal="center"/>
    </xf>
    <xf numFmtId="164" fontId="4" fillId="3" borderId="57" pivotButton="0" quotePrefix="0" xfId="1"/>
    <xf numFmtId="164" fontId="1" fillId="3" borderId="16" applyAlignment="1" applyProtection="1" pivotButton="0" quotePrefix="0" xfId="1">
      <alignment horizontal="center" vertical="center"/>
      <protection locked="1" hidden="1"/>
    </xf>
    <xf numFmtId="164" fontId="1" fillId="3" borderId="24" applyAlignment="1" applyProtection="1" pivotButton="0" quotePrefix="0" xfId="1">
      <alignment horizontal="center" vertical="center"/>
      <protection locked="1" hidden="1"/>
    </xf>
  </cellXfs>
  <cellStyles count="5">
    <cellStyle name="Normal" xfId="0" builtinId="0"/>
    <cellStyle name="Milliers" xfId="1" builtinId="3"/>
    <cellStyle name="Normal_Model TRIAS eng def " xfId="2"/>
    <cellStyle name="Pourcentage" xfId="3" builtinId="5"/>
    <cellStyle name="Milliers [0]" xfId="4" builtin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rg@crg,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topLeftCell="A8" workbookViewId="0">
      <selection activeCell="D8" sqref="D8"/>
    </sheetView>
  </sheetViews>
  <sheetFormatPr baseColWidth="10" defaultColWidth="9.109375" defaultRowHeight="13.2"/>
  <cols>
    <col width="11.88671875" customWidth="1" style="1" min="1" max="1"/>
    <col width="35.88671875" customWidth="1" style="1" min="2" max="2"/>
    <col width="54.6640625" customWidth="1" style="444" min="3" max="3"/>
    <col width="9.109375" customWidth="1" style="1" min="4" max="16384"/>
  </cols>
  <sheetData>
    <row r="1" ht="20.1" customHeight="1">
      <c r="B1" s="642" t="inlineStr">
        <is>
          <t>Nom de l'institution</t>
        </is>
      </c>
      <c r="C1" s="382" t="inlineStr">
        <is>
          <t>YETEMALI</t>
        </is>
      </c>
    </row>
    <row r="2" ht="20.1" customHeight="1">
      <c r="B2" s="642" t="inlineStr">
        <is>
          <t>Code de l'institution</t>
        </is>
      </c>
      <c r="C2" s="448" t="inlineStr">
        <is>
          <t>001</t>
        </is>
      </c>
    </row>
    <row r="3" ht="20.1" customHeight="1">
      <c r="B3" s="642" t="inlineStr">
        <is>
          <t>Date des rapports</t>
        </is>
      </c>
      <c r="C3" s="382" t="inlineStr">
        <is>
          <t>31/03/2019</t>
        </is>
      </c>
    </row>
    <row r="4" ht="20.1" customHeight="1">
      <c r="B4" s="642" t="inlineStr">
        <is>
          <t>Rapport</t>
        </is>
      </c>
      <c r="C4" s="449" t="inlineStr">
        <is>
          <t>M.0.INFORMATION GENERALE</t>
        </is>
      </c>
    </row>
    <row r="5" ht="26.25" customHeight="1"/>
    <row r="6" ht="20.1" customFormat="1" customHeight="1" s="9">
      <c r="A6" s="4" t="inlineStr">
        <is>
          <t>CODE</t>
        </is>
      </c>
      <c r="B6" s="4" t="inlineStr">
        <is>
          <t>INFORMATION</t>
        </is>
      </c>
      <c r="C6" s="450" t="inlineStr">
        <is>
          <t>DONNEES</t>
        </is>
      </c>
    </row>
    <row r="7" ht="20.1" customHeight="1">
      <c r="A7" s="10" t="inlineStr">
        <is>
          <t>M.0.LS</t>
        </is>
      </c>
      <c r="B7" s="5" t="inlineStr">
        <is>
          <t>Statut légal</t>
        </is>
      </c>
      <c r="C7" s="451" t="inlineStr">
        <is>
          <t>SA</t>
        </is>
      </c>
    </row>
    <row r="8" ht="20.1" customHeight="1">
      <c r="A8" s="11" t="inlineStr">
        <is>
          <t>M.0.LD</t>
        </is>
      </c>
      <c r="B8" s="3" t="inlineStr">
        <is>
          <t>Date d'agrément</t>
        </is>
      </c>
      <c r="C8" s="452" t="inlineStr">
        <is>
          <t>01/05/23</t>
        </is>
      </c>
    </row>
    <row r="9" ht="20.1" customHeight="1">
      <c r="A9" s="11" t="inlineStr">
        <is>
          <t>M.0.MLO</t>
        </is>
      </c>
      <c r="B9" s="3" t="inlineStr">
        <is>
          <t>Adresse du siège</t>
        </is>
      </c>
      <c r="C9" s="452" t="inlineStr">
        <is>
          <t>Kipé ( En face de la Station Total et à côté du Lycée français)</t>
        </is>
      </c>
    </row>
    <row r="10" ht="20.1" customHeight="1">
      <c r="A10" s="11" t="inlineStr">
        <is>
          <t>M.0.MLO.1</t>
        </is>
      </c>
      <c r="B10" s="6" t="inlineStr">
        <is>
          <t>Ville</t>
        </is>
      </c>
      <c r="C10" s="452" t="inlineStr">
        <is>
          <t>Conakry</t>
        </is>
      </c>
    </row>
    <row r="11" ht="20.1" customHeight="1">
      <c r="A11" s="11" t="inlineStr">
        <is>
          <t>M.0.MLO.2</t>
        </is>
      </c>
      <c r="B11" s="6" t="inlineStr">
        <is>
          <t>Commune</t>
        </is>
      </c>
      <c r="C11" s="452" t="inlineStr">
        <is>
          <t>Ratoma</t>
        </is>
      </c>
      <c r="J11" s="109" t="n"/>
    </row>
    <row r="12" ht="20.1" customHeight="1">
      <c r="A12" s="11" t="inlineStr">
        <is>
          <t>M.0.MLO.3</t>
        </is>
      </c>
      <c r="B12" s="6" t="inlineStr">
        <is>
          <t>Quartier</t>
        </is>
      </c>
      <c r="C12" s="452" t="inlineStr">
        <is>
          <t>Kipé/Kaporo</t>
        </is>
      </c>
    </row>
    <row r="13" ht="20.1" customHeight="1">
      <c r="A13" s="11" t="inlineStr">
        <is>
          <t>M.0.TL</t>
        </is>
      </c>
      <c r="B13" s="3" t="inlineStr">
        <is>
          <t>Numéro de téléphone</t>
        </is>
      </c>
      <c r="C13" s="452" t="inlineStr">
        <is>
          <t>657 66 60 00/628 00 88 04</t>
        </is>
      </c>
    </row>
    <row r="14" ht="20.1" customHeight="1">
      <c r="A14" s="11" t="inlineStr">
        <is>
          <t>M.0.EM</t>
        </is>
      </c>
      <c r="B14" s="3" t="inlineStr">
        <is>
          <t>Email</t>
        </is>
      </c>
      <c r="C14" s="452" t="inlineStr">
        <is>
          <t>cpecg@yetemali-gn.com</t>
        </is>
      </c>
    </row>
    <row r="15" ht="20.1" customHeight="1">
      <c r="A15" s="12" t="inlineStr">
        <is>
          <t>M.0.MD</t>
        </is>
      </c>
      <c r="B15" s="7" t="inlineStr">
        <is>
          <t>Nom du Directeur Général/Responsable</t>
        </is>
      </c>
      <c r="C15" s="453" t="inlineStr">
        <is>
          <t>MAGASSOUBA Diamadi</t>
        </is>
      </c>
    </row>
    <row r="18" ht="14.4" customHeight="1">
      <c r="B18" s="254" t="n"/>
      <c r="C18" s="454" t="inlineStr">
        <is>
          <t>CONTROLE DE COHERENCE</t>
        </is>
      </c>
    </row>
    <row r="19" ht="14.4" customHeight="1">
      <c r="A19" t="n">
        <v>1</v>
      </c>
      <c r="B19" s="255">
        <f>IF(M.I.BILAN!F76=M.I.BILAN!F149,"ok","erreur")</f>
        <v/>
      </c>
      <c r="C19" s="455" t="inlineStr">
        <is>
          <t>Actif = Passif</t>
        </is>
      </c>
    </row>
    <row r="20" ht="14.4" customHeight="1">
      <c r="A20" t="n">
        <v>2</v>
      </c>
      <c r="B20" s="255">
        <f>IF(M.II.RESULTAT!D58=M.II.RESULTAT!D105,"ok","erreur")</f>
        <v/>
      </c>
      <c r="C20" s="455" t="inlineStr">
        <is>
          <t>Charge = Produit</t>
        </is>
      </c>
    </row>
    <row r="21" ht="14.4" customHeight="1">
      <c r="A21" t="n">
        <v>3</v>
      </c>
      <c r="B21" s="255">
        <f>IF(M.I.BILAN!E33&gt;=ABS(M.II.RESULTAT!D46-M.II.RESULTAT!D95),"ok","erreur")</f>
        <v/>
      </c>
      <c r="C21" s="455" t="inlineStr">
        <is>
          <t>Provisions sur le bilan et sur le compte de résultat</t>
        </is>
      </c>
    </row>
    <row r="22" ht="14.4" customHeight="1">
      <c r="A22" t="n">
        <v>4</v>
      </c>
      <c r="B22" s="255">
        <f>IF(M.I.BILAN!F148=M.II.RESULTAT!D57-M.II.RESULTAT!D104,"ok","erreur")</f>
        <v/>
      </c>
      <c r="C22" s="455" t="inlineStr">
        <is>
          <t>Résultat sur le Bilan et sur le Compte de résultat</t>
        </is>
      </c>
    </row>
    <row r="23" ht="14.4" customHeight="1">
      <c r="A23" t="n">
        <v>5</v>
      </c>
      <c r="B23" s="255">
        <f>IF(M.I.BILAN!D33-M.I.BILAN!D40=M.IV.IMPAYE!E14-M.IV.IMPAYE!E13,"ok","erreur")</f>
        <v/>
      </c>
      <c r="C23" s="455" t="inlineStr">
        <is>
          <t>Encours Bilan et Impayé</t>
        </is>
      </c>
    </row>
    <row r="24" ht="14.4" customHeight="1">
      <c r="A24" t="n">
        <v>6</v>
      </c>
      <c r="B24" s="255">
        <f>IF(M.I.BILAN!F106&gt;=M.IV.IMPAYE!G14,"ok","erreur")</f>
        <v/>
      </c>
      <c r="C24" s="455" t="inlineStr">
        <is>
          <t>Dépôt de garantie Bilan et Impayé</t>
        </is>
      </c>
    </row>
    <row r="25" ht="14.4" customHeight="1">
      <c r="A25" t="n">
        <v>7</v>
      </c>
      <c r="B25" s="255">
        <f>IF(M.I.BILAN!D41&gt;=M.IV.IMPAYE!C22-M.IV.IMPAYE!E13,"ok","erreur")</f>
        <v/>
      </c>
      <c r="C25" s="455" t="inlineStr">
        <is>
          <t>Encours en souffrance Bilan et Impayé</t>
        </is>
      </c>
    </row>
    <row r="26" ht="14.4" customHeight="1">
      <c r="A26" t="n">
        <v>8</v>
      </c>
      <c r="B26" s="255">
        <f>IF(M.I.BILAN!F34-M.I.BILAN!F40=M.IV.IMPAYE!E7,"ok","erreur")</f>
        <v/>
      </c>
      <c r="C26" s="455" t="inlineStr">
        <is>
          <t>Encours sain Bilan et Impayé</t>
        </is>
      </c>
    </row>
    <row r="27" ht="14.4" customHeight="1">
      <c r="A27" t="n">
        <v>9</v>
      </c>
      <c r="B27" s="255">
        <f>IF(M.I.BILAN!D33-M.I.BILAN!F40=M.XI.RPCS!I12,"ok","erreur")</f>
        <v/>
      </c>
      <c r="C27" s="455" t="inlineStr">
        <is>
          <t>Encours crédit Bilan et Répartition par secteur</t>
        </is>
      </c>
    </row>
    <row r="28">
      <c r="A28" s="1" t="n">
        <v>10</v>
      </c>
      <c r="B28" s="255">
        <f>IF(M.V.PFC!C7=M.XV.RECAP!D28,"ok","erreur")</f>
        <v/>
      </c>
      <c r="C28" s="455" t="inlineStr">
        <is>
          <t xml:space="preserve">Volume crédit et Répartition par Recap (encours secteur d'activité </t>
        </is>
      </c>
    </row>
  </sheetData>
  <hyperlinks>
    <hyperlink xmlns:r="http://schemas.openxmlformats.org/officeDocument/2006/relationships" ref="C14" display="crg@crg,com" r:id="rId1"/>
  </hyperlinks>
  <pageMargins left="0.7" right="0.7" top="0.75" bottom="0.75" header="0.3" footer="0.3"/>
  <pageSetup orientation="portrait" paperSize="9" scale="85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9"/>
  <sheetViews>
    <sheetView showGridLines="0" topLeftCell="A27" zoomScale="92" zoomScaleNormal="92" workbookViewId="0">
      <selection activeCell="F45" sqref="F45"/>
    </sheetView>
  </sheetViews>
  <sheetFormatPr baseColWidth="10" defaultColWidth="9.109375" defaultRowHeight="13.2"/>
  <cols>
    <col width="11.88671875" customWidth="1" style="1" min="1" max="1"/>
    <col width="7.5546875" customWidth="1" style="1" min="2" max="2"/>
    <col width="54" customWidth="1" style="1" min="3" max="3"/>
    <col width="32" customWidth="1" style="1" min="4" max="4"/>
    <col width="17.6640625" customWidth="1" style="1" min="5" max="5"/>
    <col width="35" customWidth="1" style="1" min="6" max="6"/>
    <col width="9.109375" customWidth="1" style="1" min="7" max="16384"/>
  </cols>
  <sheetData>
    <row r="1" ht="20.1" customHeight="1">
      <c r="B1" s="642" t="inlineStr">
        <is>
          <t>Nom de l'institution</t>
        </is>
      </c>
      <c r="C1" s="642" t="n"/>
      <c r="D1" s="524">
        <f>'M.0.INFO.G'!C1</f>
        <v/>
      </c>
      <c r="E1" s="526" t="n"/>
    </row>
    <row r="2" ht="20.1" customHeight="1">
      <c r="B2" s="642" t="inlineStr">
        <is>
          <t>Code de l'institution</t>
        </is>
      </c>
      <c r="C2" s="642" t="n"/>
      <c r="D2" s="524">
        <f>'M.0.INFO.G'!C2</f>
        <v/>
      </c>
      <c r="E2" s="526" t="n"/>
    </row>
    <row r="3" ht="20.1" customHeight="1">
      <c r="B3" s="642" t="inlineStr">
        <is>
          <t>Date des rapports</t>
        </is>
      </c>
      <c r="C3" s="642" t="n"/>
      <c r="D3" s="524">
        <f>'M.0.INFO.G'!C3</f>
        <v/>
      </c>
      <c r="E3" s="526" t="n"/>
    </row>
    <row r="4" ht="20.1" customHeight="1">
      <c r="B4" s="642" t="inlineStr">
        <is>
          <t xml:space="preserve">Rapport </t>
        </is>
      </c>
      <c r="C4" s="642" t="n"/>
      <c r="D4" s="18" t="inlineStr">
        <is>
          <t>M.I.BILAN</t>
        </is>
      </c>
      <c r="E4" s="526" t="n"/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N° compte</t>
        </is>
      </c>
      <c r="C6" s="15" t="inlineStr">
        <is>
          <t>ACTIF</t>
        </is>
      </c>
      <c r="D6" s="15" t="inlineStr">
        <is>
          <t>Montant brut</t>
        </is>
      </c>
      <c r="E6" s="15" t="inlineStr">
        <is>
          <t>Amortissement &amp; Provisions</t>
        </is>
      </c>
      <c r="F6" s="15" t="inlineStr">
        <is>
          <t xml:space="preserve">Montant net </t>
        </is>
      </c>
    </row>
    <row r="7" ht="29.25" customHeight="1">
      <c r="A7" s="10" t="inlineStr">
        <is>
          <t>M.I.B.A.1</t>
        </is>
      </c>
      <c r="B7" s="186" t="n">
        <v>1</v>
      </c>
      <c r="C7" s="186" t="inlineStr">
        <is>
          <t>OPERATIONS AVEC LE SECTEUR FINACIER</t>
        </is>
      </c>
      <c r="D7" s="661">
        <f>+D8+D16</f>
        <v/>
      </c>
      <c r="E7" s="662" t="n"/>
      <c r="F7" s="663">
        <f>D7-E7</f>
        <v/>
      </c>
    </row>
    <row r="8" ht="24.9" customHeight="1">
      <c r="A8" s="10" t="inlineStr">
        <is>
          <t>M.I.B.A.10</t>
        </is>
      </c>
      <c r="B8" s="186" t="n">
        <v>10</v>
      </c>
      <c r="C8" s="427" t="inlineStr">
        <is>
          <t xml:space="preserve">Encaisses et comptes ordinaires </t>
        </is>
      </c>
      <c r="D8" s="664">
        <f>SUM(D9:D15)</f>
        <v/>
      </c>
      <c r="E8" s="665" t="n"/>
      <c r="F8" s="663">
        <f>D8-E8</f>
        <v/>
      </c>
    </row>
    <row r="9" ht="24.9" customHeight="1">
      <c r="A9" s="10" t="inlineStr">
        <is>
          <t>M.I.B.A.101</t>
        </is>
      </c>
      <c r="B9" s="203" t="n">
        <v>101</v>
      </c>
      <c r="C9" s="203" t="inlineStr">
        <is>
          <t>Caisses</t>
        </is>
      </c>
      <c r="D9" s="666" t="n"/>
      <c r="E9" s="665" t="n"/>
      <c r="F9" s="663">
        <f>D9-E9</f>
        <v/>
      </c>
    </row>
    <row r="10" ht="24.9" customHeight="1">
      <c r="A10" s="10" t="inlineStr">
        <is>
          <t>M.I.B.A.102</t>
        </is>
      </c>
      <c r="B10" s="203" t="n">
        <v>102</v>
      </c>
      <c r="C10" s="203" t="inlineStr">
        <is>
          <t xml:space="preserve">Banque Centrale </t>
        </is>
      </c>
      <c r="D10" s="666" t="n"/>
      <c r="E10" s="665" t="n"/>
      <c r="F10" s="663">
        <f>D10-E10</f>
        <v/>
      </c>
    </row>
    <row r="11" ht="24.9" customHeight="1">
      <c r="A11" s="10" t="inlineStr">
        <is>
          <t>M.I.B.A.103</t>
        </is>
      </c>
      <c r="B11" s="203" t="n">
        <v>103</v>
      </c>
      <c r="C11" s="203" t="inlineStr">
        <is>
          <t>Banques et institutions financières</t>
        </is>
      </c>
      <c r="D11" s="666" t="n"/>
      <c r="E11" s="665" t="n"/>
      <c r="F11" s="663">
        <f>D11-E11</f>
        <v/>
      </c>
    </row>
    <row r="12" ht="24.9" customHeight="1">
      <c r="A12" s="10" t="inlineStr">
        <is>
          <t>M.I.B.A.104</t>
        </is>
      </c>
      <c r="B12" s="203" t="n">
        <v>104</v>
      </c>
      <c r="C12" s="423" t="inlineStr">
        <is>
          <t>Autres comptes de disponibilités (compte de DAT)</t>
        </is>
      </c>
      <c r="D12" s="666" t="n"/>
      <c r="E12" s="665" t="n"/>
      <c r="F12" s="663">
        <f>D12-E12</f>
        <v/>
      </c>
    </row>
    <row r="13" ht="24.9" customHeight="1">
      <c r="A13" s="10" t="inlineStr">
        <is>
          <t>M.I.B.A.105</t>
        </is>
      </c>
      <c r="B13" s="203" t="n">
        <v>105</v>
      </c>
      <c r="C13" s="203" t="inlineStr">
        <is>
          <t>Chèques et effets à l'encaissement</t>
        </is>
      </c>
      <c r="D13" s="667" t="n"/>
      <c r="E13" s="665" t="n"/>
      <c r="F13" s="663">
        <f>D13-E13</f>
        <v/>
      </c>
    </row>
    <row r="14" ht="24.9" customHeight="1">
      <c r="A14" s="10" t="inlineStr">
        <is>
          <t>M.I.B.A.106</t>
        </is>
      </c>
      <c r="B14" s="203" t="n">
        <v>106</v>
      </c>
      <c r="C14" s="203" t="inlineStr">
        <is>
          <t>Organe faîtier/ Caisse Centrale de réseau</t>
        </is>
      </c>
      <c r="D14" s="667" t="n"/>
      <c r="E14" s="665" t="n"/>
      <c r="F14" s="663">
        <f>D14-E14</f>
        <v/>
      </c>
    </row>
    <row r="15" ht="24.9" customHeight="1">
      <c r="A15" s="10" t="inlineStr">
        <is>
          <t>M.I.B.A.108</t>
        </is>
      </c>
      <c r="B15" s="203" t="n">
        <v>108</v>
      </c>
      <c r="C15" s="203" t="inlineStr">
        <is>
          <t>Créances rattachées</t>
        </is>
      </c>
      <c r="D15" s="666" t="n"/>
      <c r="E15" s="665" t="n"/>
      <c r="F15" s="663">
        <f>D15-E15</f>
        <v/>
      </c>
    </row>
    <row r="16" ht="24.9" customHeight="1">
      <c r="A16" s="10" t="inlineStr">
        <is>
          <t>M.I.B.A.11</t>
        </is>
      </c>
      <c r="B16" s="186" t="n">
        <v>11</v>
      </c>
      <c r="C16" s="186" t="inlineStr">
        <is>
          <t>Prêts et titres à court terme ( 0-2ans)</t>
        </is>
      </c>
      <c r="D16" s="664">
        <f>D17+D20+D23+D26+D27</f>
        <v/>
      </c>
      <c r="E16" s="665" t="n"/>
      <c r="F16" s="663">
        <f>D16-E16</f>
        <v/>
      </c>
    </row>
    <row r="17" ht="24.9" customHeight="1">
      <c r="A17" s="10" t="inlineStr">
        <is>
          <t>M.I.B.A.111</t>
        </is>
      </c>
      <c r="B17" s="186" t="n">
        <v>111</v>
      </c>
      <c r="C17" s="186" t="inlineStr">
        <is>
          <t>Banque Centrale</t>
        </is>
      </c>
      <c r="D17" s="664">
        <f>D18+D19</f>
        <v/>
      </c>
      <c r="E17" s="665" t="n"/>
      <c r="F17" s="663">
        <f>D17-E17</f>
        <v/>
      </c>
    </row>
    <row r="18" ht="24.9" customHeight="1">
      <c r="A18" s="10" t="inlineStr">
        <is>
          <t>M.I.B.A.1111</t>
        </is>
      </c>
      <c r="B18" s="203" t="n">
        <v>1111</v>
      </c>
      <c r="C18" s="203" t="inlineStr">
        <is>
          <t>Très court terme</t>
        </is>
      </c>
      <c r="D18" s="666" t="n"/>
      <c r="E18" s="665" t="n"/>
      <c r="F18" s="663">
        <f>D18-E18</f>
        <v/>
      </c>
    </row>
    <row r="19" ht="24.9" customHeight="1">
      <c r="A19" s="10" t="inlineStr">
        <is>
          <t>M.I.B.A.1112</t>
        </is>
      </c>
      <c r="B19" s="203" t="n">
        <v>1112</v>
      </c>
      <c r="C19" s="203" t="inlineStr">
        <is>
          <t>Autres court terme</t>
        </is>
      </c>
      <c r="D19" s="666" t="n"/>
      <c r="E19" s="665" t="n"/>
      <c r="F19" s="663">
        <f>D19-E19</f>
        <v/>
      </c>
    </row>
    <row r="20" ht="24.9" customHeight="1">
      <c r="A20" s="10" t="inlineStr">
        <is>
          <t>M.I.B.A.112</t>
        </is>
      </c>
      <c r="B20" s="186" t="n">
        <v>112</v>
      </c>
      <c r="C20" s="213" t="inlineStr">
        <is>
          <t>Banques et institutions financières</t>
        </is>
      </c>
      <c r="D20" s="664">
        <f>D21+D22</f>
        <v/>
      </c>
      <c r="E20" s="668" t="n"/>
      <c r="F20" s="663">
        <f>D20-E20</f>
        <v/>
      </c>
    </row>
    <row r="21" ht="24.9" customHeight="1">
      <c r="A21" s="10" t="inlineStr">
        <is>
          <t>M.I.B.A.1121</t>
        </is>
      </c>
      <c r="B21" s="203" t="n">
        <v>1121</v>
      </c>
      <c r="C21" s="214" t="inlineStr">
        <is>
          <t>Très court terme</t>
        </is>
      </c>
      <c r="D21" s="669" t="n"/>
      <c r="E21" s="668" t="n"/>
      <c r="F21" s="663">
        <f>D21-E21</f>
        <v/>
      </c>
    </row>
    <row r="22" ht="24.9" customHeight="1">
      <c r="A22" s="10" t="inlineStr">
        <is>
          <t>M.I.B.A.1122</t>
        </is>
      </c>
      <c r="B22" s="203" t="n">
        <v>1122</v>
      </c>
      <c r="C22" s="214" t="inlineStr">
        <is>
          <t>Autres court terme</t>
        </is>
      </c>
      <c r="D22" s="670" t="n"/>
      <c r="E22" s="668" t="n"/>
      <c r="F22" s="663">
        <f>D22-E22</f>
        <v/>
      </c>
    </row>
    <row r="23" ht="24.9" customHeight="1">
      <c r="A23" s="10" t="inlineStr">
        <is>
          <t>M.I.B.A.113</t>
        </is>
      </c>
      <c r="B23" s="186" t="n">
        <v>113</v>
      </c>
      <c r="C23" s="186" t="inlineStr">
        <is>
          <t>Autres secteur financier</t>
        </is>
      </c>
      <c r="D23" s="664">
        <f>D24+D25</f>
        <v/>
      </c>
      <c r="E23" s="665" t="n"/>
      <c r="F23" s="663">
        <f>D23-E23</f>
        <v/>
      </c>
    </row>
    <row r="24" ht="24.9" customHeight="1">
      <c r="A24" s="10" t="inlineStr">
        <is>
          <t>M.I.B.A.1131</t>
        </is>
      </c>
      <c r="B24" s="203" t="n">
        <v>1131</v>
      </c>
      <c r="C24" s="203" t="inlineStr">
        <is>
          <t>Très court terme (obligations, TCN, …)</t>
        </is>
      </c>
      <c r="D24" s="667" t="n"/>
      <c r="E24" s="665" t="n"/>
      <c r="F24" s="663">
        <f>D24-E24</f>
        <v/>
      </c>
    </row>
    <row r="25" ht="24.9" customHeight="1">
      <c r="A25" s="10" t="inlineStr">
        <is>
          <t>M.I.B.A.1132</t>
        </is>
      </c>
      <c r="B25" s="203" t="n">
        <v>1132</v>
      </c>
      <c r="C25" s="203" t="inlineStr">
        <is>
          <t>Autres court terme</t>
        </is>
      </c>
      <c r="D25" s="671" t="n"/>
      <c r="E25" s="665" t="n"/>
      <c r="F25" s="663">
        <f>D25-E25</f>
        <v/>
      </c>
    </row>
    <row r="26" ht="24.9" customHeight="1">
      <c r="A26" s="10" t="inlineStr">
        <is>
          <t>M.I.B.A.114</t>
        </is>
      </c>
      <c r="B26" s="186" t="n">
        <v>114</v>
      </c>
      <c r="C26" s="203" t="inlineStr">
        <is>
          <t>Bons du Trésor et Autres titre émis par une entité publique</t>
        </is>
      </c>
      <c r="D26" s="667" t="n"/>
      <c r="E26" s="665" t="n"/>
      <c r="F26" s="663">
        <f>D26-E26</f>
        <v/>
      </c>
    </row>
    <row r="27" ht="24.9" customHeight="1">
      <c r="A27" s="10" t="inlineStr">
        <is>
          <t>M.I.B.A.118</t>
        </is>
      </c>
      <c r="B27" s="186" t="n">
        <v>118</v>
      </c>
      <c r="C27" s="203" t="inlineStr">
        <is>
          <t>Créances rattachées ( intérêts courus non échus)</t>
        </is>
      </c>
      <c r="D27" s="667" t="n"/>
      <c r="E27" s="665" t="n"/>
      <c r="F27" s="663">
        <f>D27-E27</f>
        <v/>
      </c>
    </row>
    <row r="28" ht="24.9" customHeight="1">
      <c r="A28" s="10" t="inlineStr">
        <is>
          <t>M.I.B.A.12</t>
        </is>
      </c>
      <c r="B28" s="186" t="n">
        <v>12</v>
      </c>
      <c r="C28" s="186" t="inlineStr">
        <is>
          <t>Prêts à moyen et long terme ( 2 ans et +)</t>
        </is>
      </c>
      <c r="D28" s="664">
        <f>D29+D30+D31+D32</f>
        <v/>
      </c>
      <c r="E28" s="665" t="n"/>
      <c r="F28" s="663">
        <f>D28-E28</f>
        <v/>
      </c>
    </row>
    <row r="29" ht="24.9" customHeight="1">
      <c r="A29" s="10" t="inlineStr">
        <is>
          <t>M.I.B.A.122</t>
        </is>
      </c>
      <c r="B29" s="203" t="n">
        <v>122</v>
      </c>
      <c r="C29" s="203" t="inlineStr">
        <is>
          <t>Banques et institutions financières</t>
        </is>
      </c>
      <c r="D29" s="672" t="n"/>
      <c r="E29" s="665" t="n"/>
      <c r="F29" s="663">
        <f>D29-E29</f>
        <v/>
      </c>
    </row>
    <row r="30" ht="24.9" customHeight="1">
      <c r="A30" s="10" t="inlineStr">
        <is>
          <t>M.I.B.A.123</t>
        </is>
      </c>
      <c r="B30" s="203" t="n">
        <v>123</v>
      </c>
      <c r="C30" s="203" t="inlineStr">
        <is>
          <t>Autres secteur financier</t>
        </is>
      </c>
      <c r="D30" s="672" t="n"/>
      <c r="E30" s="665" t="n"/>
      <c r="F30" s="663">
        <f>D30-E30</f>
        <v/>
      </c>
    </row>
    <row r="31" ht="24.9" customHeight="1">
      <c r="A31" s="10" t="inlineStr">
        <is>
          <t>M.I.B.A.124</t>
        </is>
      </c>
      <c r="B31" s="203" t="n">
        <v>124</v>
      </c>
      <c r="C31" s="203" t="inlineStr">
        <is>
          <t>Bons du Trésor et Autres titre émis par une entité publique</t>
        </is>
      </c>
      <c r="D31" s="672" t="n"/>
      <c r="E31" s="665" t="n"/>
      <c r="F31" s="663">
        <f>D31-E31</f>
        <v/>
      </c>
    </row>
    <row r="32" ht="24.9" customHeight="1">
      <c r="A32" s="10" t="inlineStr">
        <is>
          <t>M.I.B.A.128</t>
        </is>
      </c>
      <c r="B32" s="203" t="n">
        <v>128</v>
      </c>
      <c r="C32" s="203" t="inlineStr">
        <is>
          <t>Créances rattachées ( intérêts courus non échus)</t>
        </is>
      </c>
      <c r="D32" s="672" t="n"/>
      <c r="E32" s="665" t="n"/>
      <c r="F32" s="663">
        <f>D32-E32</f>
        <v/>
      </c>
    </row>
    <row r="33" ht="24.9" customHeight="1">
      <c r="A33" s="10" t="inlineStr">
        <is>
          <t>M.I.B.A.2</t>
        </is>
      </c>
      <c r="B33" s="186" t="n">
        <v>2</v>
      </c>
      <c r="C33" s="186" t="inlineStr">
        <is>
          <t>OPERATIONS AVEC LA CLIENTELE</t>
        </is>
      </c>
      <c r="D33" s="664">
        <f>D34+D41</f>
        <v/>
      </c>
      <c r="E33" s="664">
        <f>+E41</f>
        <v/>
      </c>
      <c r="F33" s="663">
        <f>D33-E33</f>
        <v/>
      </c>
    </row>
    <row r="34" ht="24.9" customHeight="1">
      <c r="A34" s="10" t="inlineStr">
        <is>
          <t>M.I.B.A.20</t>
        </is>
      </c>
      <c r="B34" s="186" t="n">
        <v>20</v>
      </c>
      <c r="C34" s="186" t="inlineStr">
        <is>
          <t>Crédit sains ( selon la durée initiale)</t>
        </is>
      </c>
      <c r="D34" s="664">
        <f>D35+D38+D39+D40</f>
        <v/>
      </c>
      <c r="E34" s="665" t="n"/>
      <c r="F34" s="663">
        <f>D34-E34</f>
        <v/>
      </c>
    </row>
    <row r="35" ht="24.9" customHeight="1">
      <c r="A35" s="10" t="inlineStr">
        <is>
          <t>M.I.B.A.201</t>
        </is>
      </c>
      <c r="B35" s="203" t="n">
        <v>201</v>
      </c>
      <c r="C35" s="203" t="inlineStr">
        <is>
          <t>Court terme ( 0-2ans)</t>
        </is>
      </c>
      <c r="D35" s="664">
        <f>D36+D37</f>
        <v/>
      </c>
      <c r="E35" s="665" t="n"/>
      <c r="F35" s="663">
        <f>D35-E35</f>
        <v/>
      </c>
    </row>
    <row r="36" ht="24.9" customHeight="1">
      <c r="A36" s="10" t="inlineStr">
        <is>
          <t>M.I.B.A.2011</t>
        </is>
      </c>
      <c r="B36" s="203" t="n">
        <v>2011</v>
      </c>
      <c r="C36" s="203" t="inlineStr">
        <is>
          <t>Très court terme ( 0-3mois)</t>
        </is>
      </c>
      <c r="D36" s="666" t="n"/>
      <c r="E36" s="665" t="n"/>
      <c r="F36" s="663">
        <f>D36-E36</f>
        <v/>
      </c>
    </row>
    <row r="37" ht="24.9" customHeight="1">
      <c r="A37" s="10" t="inlineStr">
        <is>
          <t>M.I.B.A.2012</t>
        </is>
      </c>
      <c r="B37" s="203" t="n">
        <v>2012</v>
      </c>
      <c r="C37" s="203" t="inlineStr">
        <is>
          <t>Autres court terme ( +3mois à 2ans)</t>
        </is>
      </c>
      <c r="D37" s="666" t="n"/>
      <c r="E37" s="665" t="n"/>
      <c r="F37" s="663">
        <f>D37-E37</f>
        <v/>
      </c>
    </row>
    <row r="38" ht="24.9" customHeight="1">
      <c r="A38" s="10" t="inlineStr">
        <is>
          <t>M.I.B.A.202</t>
        </is>
      </c>
      <c r="B38" s="203" t="n">
        <v>202</v>
      </c>
      <c r="C38" s="203" t="inlineStr">
        <is>
          <t>Moyen terme ( +2 à 5 ans)</t>
        </is>
      </c>
      <c r="D38" s="666" t="n"/>
      <c r="E38" s="665" t="n"/>
      <c r="F38" s="663">
        <f>D38-E38</f>
        <v/>
      </c>
    </row>
    <row r="39" ht="24.9" customHeight="1">
      <c r="A39" s="10" t="inlineStr">
        <is>
          <t>M.I.B.A.203</t>
        </is>
      </c>
      <c r="B39" s="203" t="n">
        <v>203</v>
      </c>
      <c r="C39" s="203" t="inlineStr">
        <is>
          <t>Long terme (plus de 5 ans)</t>
        </is>
      </c>
      <c r="D39" s="672" t="n"/>
      <c r="E39" s="665" t="n"/>
      <c r="F39" s="663">
        <f>D39-E39</f>
        <v/>
      </c>
    </row>
    <row r="40" ht="24.9" customHeight="1">
      <c r="A40" s="10" t="inlineStr">
        <is>
          <t>M.I.B.A.208</t>
        </is>
      </c>
      <c r="B40" s="203" t="n">
        <v>208</v>
      </c>
      <c r="C40" s="203" t="inlineStr">
        <is>
          <t>Créances rattachées ( intérêts courus non échus)</t>
        </is>
      </c>
      <c r="D40" s="672" t="n"/>
      <c r="E40" s="665" t="n"/>
      <c r="F40" s="663">
        <f>D40-E40</f>
        <v/>
      </c>
    </row>
    <row r="41" ht="24.9" customHeight="1">
      <c r="A41" s="10" t="inlineStr">
        <is>
          <t>M.I.B.A.21</t>
        </is>
      </c>
      <c r="B41" s="186" t="n">
        <v>21</v>
      </c>
      <c r="C41" s="186" t="inlineStr">
        <is>
          <t>Créances en souffrance</t>
        </is>
      </c>
      <c r="D41" s="664">
        <f>D42+D43+D44+D45</f>
        <v/>
      </c>
      <c r="E41" s="664">
        <f>SUM(E42:E45)</f>
        <v/>
      </c>
      <c r="F41" s="663">
        <f>D41-E41</f>
        <v/>
      </c>
    </row>
    <row r="42" ht="24.9" customHeight="1">
      <c r="A42" s="10" t="inlineStr">
        <is>
          <t>M.I.B.A.211</t>
        </is>
      </c>
      <c r="B42" s="203" t="n">
        <v>211</v>
      </c>
      <c r="C42" s="203" t="inlineStr">
        <is>
          <t>Crédits impayés</t>
        </is>
      </c>
      <c r="D42" s="667" t="n"/>
      <c r="E42" s="667" t="n"/>
      <c r="F42" s="663">
        <f>D42-E42</f>
        <v/>
      </c>
    </row>
    <row r="43" ht="24.9" customHeight="1">
      <c r="A43" s="10" t="inlineStr">
        <is>
          <t>M.I.B.A.212</t>
        </is>
      </c>
      <c r="B43" s="203" t="n">
        <v>212</v>
      </c>
      <c r="C43" s="203" t="inlineStr">
        <is>
          <t>Créances restructurées ou rééchélonnées</t>
        </is>
      </c>
      <c r="D43" s="667" t="n"/>
      <c r="E43" s="667" t="n"/>
      <c r="F43" s="663">
        <f>D43-E43</f>
        <v/>
      </c>
    </row>
    <row r="44" ht="24.9" customHeight="1">
      <c r="A44" s="10" t="inlineStr">
        <is>
          <t>M.I.B.A.213</t>
        </is>
      </c>
      <c r="B44" s="203" t="n">
        <v>213</v>
      </c>
      <c r="C44" s="203" t="inlineStr">
        <is>
          <t>Autres créances en souffrance</t>
        </is>
      </c>
      <c r="D44" s="667" t="n"/>
      <c r="E44" s="667" t="n"/>
      <c r="F44" s="663">
        <f>D44-E44</f>
        <v/>
      </c>
    </row>
    <row r="45" ht="24.9" customHeight="1">
      <c r="A45" s="10" t="inlineStr">
        <is>
          <t>M.I.B.A.214</t>
        </is>
      </c>
      <c r="B45" s="203" t="n">
        <v>214</v>
      </c>
      <c r="C45" s="203" t="inlineStr">
        <is>
          <t>Intérêts échus, non payés ( brut- provision=0 )</t>
        </is>
      </c>
      <c r="D45" s="672" t="n"/>
      <c r="E45" s="667" t="n"/>
      <c r="F45" s="663">
        <f>D45-E45</f>
        <v/>
      </c>
    </row>
    <row r="46" ht="24.9" customHeight="1">
      <c r="A46" s="10" t="inlineStr">
        <is>
          <t>M.I.B.A.3</t>
        </is>
      </c>
      <c r="B46" s="186" t="n">
        <v>3</v>
      </c>
      <c r="C46" s="186" t="inlineStr">
        <is>
          <t>OPERATIONS DIVERSES</t>
        </is>
      </c>
      <c r="D46" s="664">
        <f>D47+D48+D49+D54</f>
        <v/>
      </c>
      <c r="E46" s="664">
        <f>E47+E48+E49+E54</f>
        <v/>
      </c>
      <c r="F46" s="663">
        <f>D46-E46</f>
        <v/>
      </c>
    </row>
    <row r="47" ht="24.9" customHeight="1">
      <c r="A47" s="10" t="inlineStr">
        <is>
          <t>M.I.B.A.30</t>
        </is>
      </c>
      <c r="B47" s="186" t="n">
        <v>30</v>
      </c>
      <c r="C47" s="186" t="inlineStr">
        <is>
          <t>Stocks</t>
        </is>
      </c>
      <c r="D47" s="671" t="n"/>
      <c r="E47" s="673" t="n">
        <v>0</v>
      </c>
      <c r="F47" s="663">
        <f>D47-E47</f>
        <v/>
      </c>
    </row>
    <row r="48" ht="24.9" customHeight="1">
      <c r="A48" s="10" t="inlineStr">
        <is>
          <t>M.I.B.A.31</t>
        </is>
      </c>
      <c r="B48" s="186" t="n">
        <v>31</v>
      </c>
      <c r="C48" s="186" t="inlineStr">
        <is>
          <t>Titres à court terme ( réalisation de créances)</t>
        </is>
      </c>
      <c r="D48" s="671" t="n">
        <v>0</v>
      </c>
      <c r="E48" s="671" t="n"/>
      <c r="F48" s="663">
        <f>D48-E48</f>
        <v/>
      </c>
    </row>
    <row r="49" ht="24.9" customHeight="1">
      <c r="A49" s="10" t="inlineStr">
        <is>
          <t>M.I.B.A.32</t>
        </is>
      </c>
      <c r="B49" s="186" t="n">
        <v>32</v>
      </c>
      <c r="C49" s="186" t="inlineStr">
        <is>
          <t>Débiteurs divers</t>
        </is>
      </c>
      <c r="D49" s="664">
        <f>D50+D51+D52+D53</f>
        <v/>
      </c>
      <c r="E49" s="664">
        <f>E50+E51+E52+E53</f>
        <v/>
      </c>
      <c r="F49" s="663">
        <f>D49-E49</f>
        <v/>
      </c>
    </row>
    <row r="50" ht="24.9" customHeight="1">
      <c r="A50" s="10" t="inlineStr">
        <is>
          <t>M.I.B.A.321</t>
        </is>
      </c>
      <c r="B50" s="203" t="n">
        <v>321</v>
      </c>
      <c r="C50" s="203" t="inlineStr">
        <is>
          <t>Avance au personnel</t>
        </is>
      </c>
      <c r="D50" s="667" t="n"/>
      <c r="E50" s="667" t="n">
        <v>0</v>
      </c>
      <c r="F50" s="663">
        <f>D50-E50</f>
        <v/>
      </c>
    </row>
    <row r="51" ht="24.9" customHeight="1">
      <c r="A51" s="10" t="inlineStr">
        <is>
          <t>M.I.B.A.322</t>
        </is>
      </c>
      <c r="B51" s="203" t="n">
        <v>322</v>
      </c>
      <c r="C51" s="203" t="inlineStr">
        <is>
          <t>Autres débiteurs divers</t>
        </is>
      </c>
      <c r="D51" s="667" t="n"/>
      <c r="E51" s="667" t="n">
        <v>0</v>
      </c>
      <c r="F51" s="663">
        <f>D51-E51</f>
        <v/>
      </c>
    </row>
    <row r="52" ht="24.9" customHeight="1">
      <c r="A52" s="10" t="inlineStr">
        <is>
          <t>M.I.B.A.323</t>
        </is>
      </c>
      <c r="B52" s="203" t="n">
        <v>323</v>
      </c>
      <c r="C52" s="203" t="inlineStr">
        <is>
          <t>Autres créances en souffrance</t>
        </is>
      </c>
      <c r="D52" s="667" t="n"/>
      <c r="E52" s="667" t="n">
        <v>0</v>
      </c>
      <c r="F52" s="663">
        <f>D52-E52</f>
        <v/>
      </c>
    </row>
    <row r="53" ht="24.9" customHeight="1">
      <c r="A53" s="10" t="inlineStr">
        <is>
          <t>M.I.B.A.324</t>
        </is>
      </c>
      <c r="B53" s="203" t="n">
        <v>324</v>
      </c>
      <c r="C53" s="203" t="inlineStr">
        <is>
          <t>Capital souscrit, non libéré des associés ( contrepartie du compte 571)</t>
        </is>
      </c>
      <c r="D53" s="672" t="n"/>
      <c r="E53" s="672" t="n">
        <v>0</v>
      </c>
      <c r="F53" s="663">
        <f>D53-E53</f>
        <v/>
      </c>
    </row>
    <row r="54" ht="24.9" customHeight="1">
      <c r="A54" s="10" t="inlineStr">
        <is>
          <t>M.I.B.A.33</t>
        </is>
      </c>
      <c r="B54" s="186" t="n">
        <v>33</v>
      </c>
      <c r="C54" s="186" t="inlineStr">
        <is>
          <t xml:space="preserve">Comptes de régularisation - actif </t>
        </is>
      </c>
      <c r="D54" s="664">
        <f>D55+D56+D57+D58</f>
        <v/>
      </c>
      <c r="E54" s="664">
        <f>E55+E56+E57+E58</f>
        <v/>
      </c>
      <c r="F54" s="663">
        <f>D54-E54</f>
        <v/>
      </c>
    </row>
    <row r="55" ht="24.9" customHeight="1">
      <c r="A55" s="10" t="inlineStr">
        <is>
          <t>M.I.B.A.331</t>
        </is>
      </c>
      <c r="B55" s="203" t="n">
        <v>331</v>
      </c>
      <c r="C55" s="203" t="inlineStr">
        <is>
          <t>Charges constatées d'avance</t>
        </is>
      </c>
      <c r="D55" s="667" t="n"/>
      <c r="E55" s="667" t="n"/>
      <c r="F55" s="663">
        <f>D55-E55</f>
        <v/>
      </c>
    </row>
    <row r="56" ht="24.9" customHeight="1">
      <c r="A56" s="10" t="inlineStr">
        <is>
          <t>M.I.B.A.332</t>
        </is>
      </c>
      <c r="B56" s="203" t="n">
        <v>332</v>
      </c>
      <c r="C56" s="203" t="inlineStr">
        <is>
          <t>Produits à recevoir</t>
        </is>
      </c>
      <c r="D56" s="667" t="n"/>
      <c r="E56" s="667" t="n"/>
      <c r="F56" s="663">
        <f>D56-E56</f>
        <v/>
      </c>
    </row>
    <row r="57" ht="24.9" customHeight="1">
      <c r="A57" s="10" t="inlineStr">
        <is>
          <t>M.I.B.A.333</t>
        </is>
      </c>
      <c r="B57" s="203" t="n">
        <v>333</v>
      </c>
      <c r="C57" s="203" t="inlineStr">
        <is>
          <t>Charges à repartir sur plusieurs exercices</t>
        </is>
      </c>
      <c r="D57" s="667" t="n"/>
      <c r="E57" s="673" t="n"/>
      <c r="F57" s="663">
        <f>D57-E57</f>
        <v/>
      </c>
    </row>
    <row r="58" ht="24.9" customHeight="1">
      <c r="A58" s="10" t="inlineStr">
        <is>
          <t>M.I.B.A.336</t>
        </is>
      </c>
      <c r="B58" s="203" t="n">
        <v>336</v>
      </c>
      <c r="C58" s="203" t="inlineStr">
        <is>
          <t>compte de liaison - actif</t>
        </is>
      </c>
      <c r="D58" s="672" t="n"/>
      <c r="E58" s="673" t="n"/>
      <c r="F58" s="663">
        <f>D58-E58</f>
        <v/>
      </c>
    </row>
    <row r="59" ht="24.9" customHeight="1">
      <c r="A59" s="10" t="inlineStr">
        <is>
          <t>M.I.B.A.4</t>
        </is>
      </c>
      <c r="B59" s="186" t="n">
        <v>4</v>
      </c>
      <c r="C59" s="186" t="inlineStr">
        <is>
          <t>IMMOBILISATIONS</t>
        </is>
      </c>
      <c r="D59" s="664">
        <f>D60+D65+D66+D69+D75</f>
        <v/>
      </c>
      <c r="E59" s="664">
        <f>E60+E65+E66+E69+E75</f>
        <v/>
      </c>
      <c r="F59" s="663">
        <f>D59-E59</f>
        <v/>
      </c>
    </row>
    <row r="60" ht="24.9" customHeight="1">
      <c r="A60" s="10" t="inlineStr">
        <is>
          <t>M.I.B.A.40</t>
        </is>
      </c>
      <c r="B60" s="186" t="n">
        <v>40</v>
      </c>
      <c r="C60" s="186" t="inlineStr">
        <is>
          <t>Immobilisations financières</t>
        </is>
      </c>
      <c r="D60" s="664">
        <f>D61+D62+D63+D64</f>
        <v/>
      </c>
      <c r="E60" s="664">
        <f>+E61+E62+E63+E64</f>
        <v/>
      </c>
      <c r="F60" s="663">
        <f>D60-E60</f>
        <v/>
      </c>
    </row>
    <row r="61" ht="24.9" customHeight="1">
      <c r="A61" s="10" t="inlineStr">
        <is>
          <t>M.I.B.A.401</t>
        </is>
      </c>
      <c r="B61" s="203" t="n">
        <v>401</v>
      </c>
      <c r="C61" s="203" t="inlineStr">
        <is>
          <t>Participations dans des institutions financières agréées ( dont FGDR)</t>
        </is>
      </c>
      <c r="D61" s="667" t="n"/>
      <c r="E61" s="671" t="n"/>
      <c r="F61" s="663">
        <f>D61-E61</f>
        <v/>
      </c>
    </row>
    <row r="62" ht="24.9" customHeight="1">
      <c r="A62" s="10" t="inlineStr">
        <is>
          <t>M.I.B.A.402</t>
        </is>
      </c>
      <c r="B62" s="203" t="n">
        <v>402</v>
      </c>
      <c r="C62" s="203" t="inlineStr">
        <is>
          <t>Autres titres de participations</t>
        </is>
      </c>
      <c r="D62" s="667" t="n"/>
      <c r="E62" s="667" t="n"/>
      <c r="F62" s="663">
        <f>D62-E62</f>
        <v/>
      </c>
    </row>
    <row r="63" ht="24.9" customHeight="1">
      <c r="A63" s="10" t="inlineStr">
        <is>
          <t>M.I.B.A.403</t>
        </is>
      </c>
      <c r="B63" s="203" t="n">
        <v>403</v>
      </c>
      <c r="C63" s="203" t="inlineStr">
        <is>
          <t>Autres titres immobilisés à valeur de fonds propres ( Dette subordonnée, prêts participatifs…) dans les institutions financières agréées</t>
        </is>
      </c>
      <c r="D63" s="667" t="n"/>
      <c r="E63" s="667" t="n"/>
      <c r="F63" s="663">
        <f>D63-E63</f>
        <v/>
      </c>
    </row>
    <row r="64" ht="24.9" customHeight="1">
      <c r="A64" s="10" t="inlineStr">
        <is>
          <t>M.I.B.A.404</t>
        </is>
      </c>
      <c r="B64" s="203" t="n">
        <v>404</v>
      </c>
      <c r="C64" s="203" t="inlineStr">
        <is>
          <t>Autres titres immobilisés hors institutions financières</t>
        </is>
      </c>
      <c r="D64" s="667" t="n"/>
      <c r="E64" s="667" t="n"/>
      <c r="F64" s="663">
        <f>D64-E64</f>
        <v/>
      </c>
    </row>
    <row r="65" ht="24.9" customHeight="1">
      <c r="A65" s="10" t="inlineStr">
        <is>
          <t>M.I.B.A.41</t>
        </is>
      </c>
      <c r="B65" s="186" t="n">
        <v>41</v>
      </c>
      <c r="C65" s="186" t="inlineStr">
        <is>
          <t>Dépôts et cautionnement (long terme)</t>
        </is>
      </c>
      <c r="D65" s="667" t="n"/>
      <c r="E65" s="667" t="n"/>
      <c r="F65" s="663">
        <f>D65-E65</f>
        <v/>
      </c>
    </row>
    <row r="66" ht="24.9" customHeight="1">
      <c r="A66" s="10" t="inlineStr">
        <is>
          <t>M.I.B.A.42</t>
        </is>
      </c>
      <c r="B66" s="186" t="n">
        <v>42</v>
      </c>
      <c r="C66" s="186" t="inlineStr">
        <is>
          <t>Immobilisations incorporelles</t>
        </is>
      </c>
      <c r="D66" s="664">
        <f>D67+D68</f>
        <v/>
      </c>
      <c r="E66" s="664">
        <f>E67+E68</f>
        <v/>
      </c>
      <c r="F66" s="663">
        <f>D66-E66</f>
        <v/>
      </c>
    </row>
    <row r="67" ht="24.9" customHeight="1">
      <c r="A67" s="10" t="inlineStr">
        <is>
          <t>M.I.B.A.421</t>
        </is>
      </c>
      <c r="B67" s="203" t="n">
        <v>421</v>
      </c>
      <c r="C67" s="203" t="inlineStr">
        <is>
          <t>Frais immobilisés ( frais d'établissement)</t>
        </is>
      </c>
      <c r="D67" s="667" t="n"/>
      <c r="E67" s="667" t="n"/>
      <c r="F67" s="663">
        <f>D67-E67</f>
        <v/>
      </c>
    </row>
    <row r="68" ht="24.9" customHeight="1">
      <c r="A68" s="10" t="inlineStr">
        <is>
          <t>M.I.B.A.422</t>
        </is>
      </c>
      <c r="B68" s="203" t="n">
        <v>422</v>
      </c>
      <c r="C68" s="203" t="inlineStr">
        <is>
          <t xml:space="preserve">Valeurs immobilisées ( logiciels,,,,) </t>
        </is>
      </c>
      <c r="D68" s="667" t="n"/>
      <c r="E68" s="667" t="n"/>
      <c r="F68" s="663">
        <f>D68-E68</f>
        <v/>
      </c>
    </row>
    <row r="69" ht="24.9" customHeight="1">
      <c r="A69" s="10" t="inlineStr">
        <is>
          <t>M.I.B.A.43</t>
        </is>
      </c>
      <c r="B69" s="186" t="n">
        <v>43</v>
      </c>
      <c r="C69" s="186" t="inlineStr">
        <is>
          <t>Immobilisations corporelles</t>
        </is>
      </c>
      <c r="D69" s="664">
        <f>SUM(D70:D74)</f>
        <v/>
      </c>
      <c r="E69" s="664">
        <f>E70+E71+E72+E73+E74</f>
        <v/>
      </c>
      <c r="F69" s="663">
        <f>D69-E69</f>
        <v/>
      </c>
    </row>
    <row r="70" ht="24.9" customHeight="1">
      <c r="A70" s="10" t="inlineStr">
        <is>
          <t>M.I.B.A.431</t>
        </is>
      </c>
      <c r="B70" s="203" t="n">
        <v>431</v>
      </c>
      <c r="C70" s="203" t="inlineStr">
        <is>
          <t>Térrains et aménagements de térrains</t>
        </is>
      </c>
      <c r="D70" s="667" t="n"/>
      <c r="E70" s="674" t="n">
        <v>0</v>
      </c>
      <c r="F70" s="663">
        <f>D70-E70</f>
        <v/>
      </c>
    </row>
    <row r="71" ht="24.9" customHeight="1">
      <c r="A71" s="10" t="inlineStr">
        <is>
          <t>M.I.B.A.432</t>
        </is>
      </c>
      <c r="B71" s="203" t="n">
        <v>432</v>
      </c>
      <c r="C71" s="203" t="inlineStr">
        <is>
          <t>Constructions et aménagement immobiliers</t>
        </is>
      </c>
      <c r="D71" s="667" t="n"/>
      <c r="E71" s="671" t="n"/>
      <c r="F71" s="663">
        <f>D71-E71</f>
        <v/>
      </c>
    </row>
    <row r="72" ht="24.9" customHeight="1">
      <c r="A72" s="10" t="inlineStr">
        <is>
          <t>M.I.B.A.433</t>
        </is>
      </c>
      <c r="B72" s="203" t="n">
        <v>433</v>
      </c>
      <c r="C72" s="203" t="inlineStr">
        <is>
          <t>Matériels et autres infrastructures informatiques</t>
        </is>
      </c>
      <c r="D72" s="672" t="n"/>
      <c r="E72" s="667" t="n"/>
      <c r="F72" s="663">
        <f>D72-E72</f>
        <v/>
      </c>
    </row>
    <row r="73" ht="24.9" customHeight="1">
      <c r="A73" s="10" t="inlineStr">
        <is>
          <t>M.I.B.A.434</t>
        </is>
      </c>
      <c r="B73" s="203" t="n">
        <v>434</v>
      </c>
      <c r="C73" s="203" t="inlineStr">
        <is>
          <t>Véhicules</t>
        </is>
      </c>
      <c r="D73" s="672" t="n"/>
      <c r="E73" s="667" t="n"/>
      <c r="F73" s="663">
        <f>D73-E73</f>
        <v/>
      </c>
    </row>
    <row r="74" ht="24.9" customHeight="1">
      <c r="A74" s="10" t="inlineStr">
        <is>
          <t>M.I.B.A.435</t>
        </is>
      </c>
      <c r="B74" s="203" t="n">
        <v>435</v>
      </c>
      <c r="C74" s="203" t="inlineStr">
        <is>
          <t>Autres immobilisation corporelles</t>
        </is>
      </c>
      <c r="D74" s="672" t="n"/>
      <c r="E74" s="672" t="n"/>
      <c r="F74" s="663">
        <f>D74-E74</f>
        <v/>
      </c>
    </row>
    <row r="75" ht="24.9" customHeight="1">
      <c r="A75" s="10" t="inlineStr">
        <is>
          <t>M.I.B.A.44</t>
        </is>
      </c>
      <c r="B75" s="186" t="n">
        <v>44</v>
      </c>
      <c r="C75" s="186" t="inlineStr">
        <is>
          <t>Immobilisations en cours</t>
        </is>
      </c>
      <c r="D75" s="672" t="n"/>
      <c r="E75" s="672" t="n"/>
      <c r="F75" s="663">
        <f>D75-E75</f>
        <v/>
      </c>
    </row>
    <row r="76" ht="24.9" customHeight="1">
      <c r="A76" s="20" t="inlineStr">
        <is>
          <t>M.I.B.A.TA</t>
        </is>
      </c>
      <c r="B76" s="207" t="n"/>
      <c r="C76" s="207" t="inlineStr">
        <is>
          <t>TOTAL GENERAL ACTIF</t>
        </is>
      </c>
      <c r="D76" s="675">
        <f>+D7+D33+D46+D59</f>
        <v/>
      </c>
      <c r="E76" s="675">
        <f>+E7+E33+E46+E59</f>
        <v/>
      </c>
      <c r="F76" s="676">
        <f>D76-E76</f>
        <v/>
      </c>
    </row>
    <row r="77" ht="26.25" customHeight="1">
      <c r="B77" s="208" t="n"/>
      <c r="C77" s="208" t="n"/>
      <c r="D77" s="208" t="n"/>
      <c r="E77" s="208" t="n"/>
      <c r="F77" s="208" t="n"/>
    </row>
    <row r="78" ht="26.4" customHeight="1">
      <c r="A78" s="13" t="inlineStr">
        <is>
          <t>CODE</t>
        </is>
      </c>
      <c r="B78" s="15" t="inlineStr">
        <is>
          <t>N° compte</t>
        </is>
      </c>
      <c r="C78" s="15" t="inlineStr">
        <is>
          <t>PASSIF</t>
        </is>
      </c>
      <c r="D78" s="15" t="inlineStr">
        <is>
          <t>Montant brut</t>
        </is>
      </c>
      <c r="E78" s="15" t="inlineStr">
        <is>
          <t>Amortissement &amp; Provisions</t>
        </is>
      </c>
      <c r="F78" s="15" t="inlineStr">
        <is>
          <t xml:space="preserve">Montant net </t>
        </is>
      </c>
    </row>
    <row r="79" ht="29.25" customHeight="1">
      <c r="A79" s="10" t="inlineStr">
        <is>
          <t>M.I.B.P.1</t>
        </is>
      </c>
      <c r="B79" s="186" t="n">
        <v>1</v>
      </c>
      <c r="C79" s="186" t="inlineStr">
        <is>
          <t>OPERATIONS AVEC LE SECTEUR FINANCIER</t>
        </is>
      </c>
      <c r="D79" s="661">
        <f>+D80+D88+D96</f>
        <v/>
      </c>
      <c r="E79" s="662" t="n"/>
      <c r="F79" s="663">
        <f>D79-E79</f>
        <v/>
      </c>
    </row>
    <row r="80" ht="24.9" customHeight="1">
      <c r="A80" s="10" t="inlineStr">
        <is>
          <t>M.I.B.P.16</t>
        </is>
      </c>
      <c r="B80" s="186" t="n">
        <v>16</v>
      </c>
      <c r="C80" s="186" t="inlineStr">
        <is>
          <t>Emprunts à court terme</t>
        </is>
      </c>
      <c r="D80" s="664">
        <f>D81+D84+D87</f>
        <v/>
      </c>
      <c r="E80" s="662" t="n"/>
      <c r="F80" s="663">
        <f>D80-E80</f>
        <v/>
      </c>
    </row>
    <row r="81" ht="24.9" customHeight="1">
      <c r="A81" s="10" t="inlineStr">
        <is>
          <t>M.I.B.P.161</t>
        </is>
      </c>
      <c r="B81" s="186" t="n">
        <v>161</v>
      </c>
      <c r="C81" s="186" t="inlineStr">
        <is>
          <t>Banque Centrale</t>
        </is>
      </c>
      <c r="D81" s="664">
        <f>D82+D83</f>
        <v/>
      </c>
      <c r="E81" s="662" t="n"/>
      <c r="F81" s="663">
        <f>D81-E81</f>
        <v/>
      </c>
    </row>
    <row r="82" ht="24.9" customHeight="1">
      <c r="A82" s="10" t="inlineStr">
        <is>
          <t>M.I.B.P.1611</t>
        </is>
      </c>
      <c r="B82" s="203" t="n">
        <v>1611</v>
      </c>
      <c r="C82" s="203" t="inlineStr">
        <is>
          <t>Très court terme</t>
        </is>
      </c>
      <c r="D82" s="667" t="n"/>
      <c r="E82" s="662" t="n"/>
      <c r="F82" s="663">
        <f>D82-E82</f>
        <v/>
      </c>
    </row>
    <row r="83" ht="24.9" customHeight="1">
      <c r="A83" s="10" t="inlineStr">
        <is>
          <t>M.I.B.P.1612</t>
        </is>
      </c>
      <c r="B83" s="203" t="n">
        <v>1612</v>
      </c>
      <c r="C83" s="203" t="inlineStr">
        <is>
          <t>Autres court terme</t>
        </is>
      </c>
      <c r="D83" s="667" t="n"/>
      <c r="E83" s="662" t="n"/>
      <c r="F83" s="663">
        <f>D83-E83</f>
        <v/>
      </c>
    </row>
    <row r="84" ht="24.9" customHeight="1">
      <c r="A84" s="10" t="inlineStr">
        <is>
          <t>M.I.B.P.162</t>
        </is>
      </c>
      <c r="B84" s="186" t="n">
        <v>162</v>
      </c>
      <c r="C84" s="186" t="inlineStr">
        <is>
          <t>Banques et Institutions Financières</t>
        </is>
      </c>
      <c r="D84" s="664">
        <f>D85+D86</f>
        <v/>
      </c>
      <c r="E84" s="662" t="n"/>
      <c r="F84" s="663">
        <f>D84-E84</f>
        <v/>
      </c>
    </row>
    <row r="85" ht="24.9" customHeight="1">
      <c r="A85" s="10" t="inlineStr">
        <is>
          <t>M.I.B.P.1621</t>
        </is>
      </c>
      <c r="B85" s="203" t="n">
        <v>1621</v>
      </c>
      <c r="C85" s="203" t="inlineStr">
        <is>
          <t>Très court terme</t>
        </is>
      </c>
      <c r="D85" s="672" t="n"/>
      <c r="E85" s="662" t="n"/>
      <c r="F85" s="663">
        <f>D85-E85</f>
        <v/>
      </c>
    </row>
    <row r="86" ht="24.9" customHeight="1">
      <c r="A86" s="10" t="inlineStr">
        <is>
          <t>M.I.B.P.1622</t>
        </is>
      </c>
      <c r="B86" s="203" t="n">
        <v>1622</v>
      </c>
      <c r="C86" s="203" t="inlineStr">
        <is>
          <t>Autres court terme</t>
        </is>
      </c>
      <c r="D86" s="672" t="n"/>
      <c r="E86" s="662" t="n"/>
      <c r="F86" s="663">
        <f>D86-E86</f>
        <v/>
      </c>
    </row>
    <row r="87" ht="24.9" customHeight="1">
      <c r="A87" s="10" t="inlineStr">
        <is>
          <t>M.I.B.P.168</t>
        </is>
      </c>
      <c r="B87" s="186" t="n">
        <v>168</v>
      </c>
      <c r="C87" s="186" t="inlineStr">
        <is>
          <t>Dettes rattachée</t>
        </is>
      </c>
      <c r="D87" s="672" t="n"/>
      <c r="E87" s="662" t="n"/>
      <c r="F87" s="663">
        <f>D87-E87</f>
        <v/>
      </c>
    </row>
    <row r="88" ht="24.9" customHeight="1">
      <c r="A88" s="10" t="inlineStr">
        <is>
          <t>M.I.B.P.17</t>
        </is>
      </c>
      <c r="B88" s="186" t="n">
        <v>17</v>
      </c>
      <c r="C88" s="186" t="inlineStr">
        <is>
          <t>Emprunts à moyen et long terme</t>
        </is>
      </c>
      <c r="D88" s="664">
        <f>D89+D92+D95</f>
        <v/>
      </c>
      <c r="E88" s="662" t="n"/>
      <c r="F88" s="663">
        <f>D88-E88</f>
        <v/>
      </c>
    </row>
    <row r="89" ht="24.9" customHeight="1">
      <c r="A89" s="10" t="inlineStr">
        <is>
          <t>M.I.B.P.171</t>
        </is>
      </c>
      <c r="B89" s="186" t="n">
        <v>171</v>
      </c>
      <c r="C89" s="203" t="inlineStr">
        <is>
          <t>Banques et institutions financières</t>
        </is>
      </c>
      <c r="D89" s="664">
        <f>D90+D91</f>
        <v/>
      </c>
      <c r="E89" s="662" t="n"/>
      <c r="F89" s="663">
        <f>D89-E89</f>
        <v/>
      </c>
    </row>
    <row r="90" ht="24.9" customHeight="1">
      <c r="A90" s="10" t="inlineStr">
        <is>
          <t>M.I.B.P.1711</t>
        </is>
      </c>
      <c r="B90" s="203" t="n">
        <v>1711</v>
      </c>
      <c r="C90" s="203" t="inlineStr">
        <is>
          <t xml:space="preserve">Moyen terme                                 </t>
        </is>
      </c>
      <c r="D90" s="667" t="n"/>
      <c r="E90" s="662" t="n"/>
      <c r="F90" s="663">
        <f>D90-E90</f>
        <v/>
      </c>
    </row>
    <row r="91" ht="24.9" customHeight="1">
      <c r="A91" s="10" t="inlineStr">
        <is>
          <t>M.I.B.P.1712</t>
        </is>
      </c>
      <c r="B91" s="203" t="n">
        <v>1712</v>
      </c>
      <c r="C91" s="203" t="inlineStr">
        <is>
          <t>Long terme</t>
        </is>
      </c>
      <c r="D91" s="667" t="n">
        <v>0</v>
      </c>
      <c r="E91" s="662" t="n"/>
      <c r="F91" s="663">
        <f>D91-E91</f>
        <v/>
      </c>
    </row>
    <row r="92" ht="24.9" customHeight="1">
      <c r="A92" s="10" t="inlineStr">
        <is>
          <t>M.I.B.P.172</t>
        </is>
      </c>
      <c r="B92" s="186" t="n">
        <v>172</v>
      </c>
      <c r="C92" s="203" t="inlineStr">
        <is>
          <t>Autres secteurs financiers ( obligations, TCN,…)</t>
        </is>
      </c>
      <c r="D92" s="664">
        <f>D93+D94</f>
        <v/>
      </c>
      <c r="E92" s="662" t="n"/>
      <c r="F92" s="663">
        <f>D92-E92</f>
        <v/>
      </c>
    </row>
    <row r="93" ht="24.9" customHeight="1">
      <c r="A93" s="10" t="inlineStr">
        <is>
          <t>M.I.B.P.1721</t>
        </is>
      </c>
      <c r="B93" s="203" t="n">
        <v>1721</v>
      </c>
      <c r="C93" s="203" t="inlineStr">
        <is>
          <t>Moyen terme dont (obligation subordonnée non éligibles aux fonds propres)</t>
        </is>
      </c>
      <c r="D93" s="667" t="n"/>
      <c r="E93" s="662" t="n"/>
      <c r="F93" s="663">
        <f>D93-E93</f>
        <v/>
      </c>
    </row>
    <row r="94" ht="24.9" customHeight="1">
      <c r="A94" s="10" t="inlineStr">
        <is>
          <t>M.I.B.P.1722</t>
        </is>
      </c>
      <c r="B94" s="203" t="n">
        <v>1722</v>
      </c>
      <c r="C94" s="203" t="inlineStr">
        <is>
          <t>Long terme</t>
        </is>
      </c>
      <c r="D94" s="667" t="n"/>
      <c r="E94" s="662" t="n"/>
      <c r="F94" s="663">
        <f>D94-E94</f>
        <v/>
      </c>
    </row>
    <row r="95" ht="24.9" customHeight="1">
      <c r="A95" s="10" t="inlineStr">
        <is>
          <t>M.I.B.P.178</t>
        </is>
      </c>
      <c r="B95" s="186" t="n">
        <v>178</v>
      </c>
      <c r="C95" s="203" t="inlineStr">
        <is>
          <t>Dettes rattachées</t>
        </is>
      </c>
      <c r="D95" s="667" t="n"/>
      <c r="E95" s="662" t="n"/>
      <c r="F95" s="663">
        <f>D95-E95</f>
        <v/>
      </c>
    </row>
    <row r="96" ht="24.9" customHeight="1">
      <c r="A96" s="10" t="inlineStr">
        <is>
          <t>M.I.B.P.18</t>
        </is>
      </c>
      <c r="B96" s="186" t="n">
        <v>18</v>
      </c>
      <c r="C96" s="186" t="inlineStr">
        <is>
          <t>Ressources affectées</t>
        </is>
      </c>
      <c r="D96" s="664">
        <f>D97+D98</f>
        <v/>
      </c>
      <c r="E96" s="662" t="n"/>
      <c r="F96" s="663">
        <f>D96-E96</f>
        <v/>
      </c>
    </row>
    <row r="97" ht="24.9" customHeight="1">
      <c r="A97" s="10" t="inlineStr">
        <is>
          <t>M.I.B.P.181</t>
        </is>
      </c>
      <c r="B97" s="186" t="n">
        <v>181</v>
      </c>
      <c r="C97" s="203" t="inlineStr">
        <is>
          <t>Ressources affectées aux risques de l'institution</t>
        </is>
      </c>
      <c r="D97" s="677" t="n"/>
      <c r="E97" s="662" t="n"/>
      <c r="F97" s="663">
        <f>D97-E97</f>
        <v/>
      </c>
    </row>
    <row r="98" ht="24.9" customHeight="1">
      <c r="A98" s="10" t="inlineStr">
        <is>
          <t>M.I.B.P.182</t>
        </is>
      </c>
      <c r="B98" s="186" t="n">
        <v>182</v>
      </c>
      <c r="C98" s="203" t="inlineStr">
        <is>
          <t>Ressources affectées aux risques du prêteur</t>
        </is>
      </c>
      <c r="D98" s="677" t="n"/>
      <c r="E98" s="662" t="n"/>
      <c r="F98" s="663">
        <f>D98-E98</f>
        <v/>
      </c>
    </row>
    <row r="99" ht="24.9" customHeight="1">
      <c r="A99" s="10" t="inlineStr">
        <is>
          <t>M.I.B.P.2</t>
        </is>
      </c>
      <c r="B99" s="186" t="n">
        <v>2</v>
      </c>
      <c r="C99" s="186" t="inlineStr">
        <is>
          <t>OPERATIONS AVEC LA CLIENTELE</t>
        </is>
      </c>
      <c r="D99" s="661">
        <f>D100+D114</f>
        <v/>
      </c>
      <c r="E99" s="662" t="n"/>
      <c r="F99" s="663">
        <f>D99-E99</f>
        <v/>
      </c>
    </row>
    <row r="100" ht="24.9" customHeight="1">
      <c r="A100" s="10" t="inlineStr">
        <is>
          <t>M.I.B.P.24</t>
        </is>
      </c>
      <c r="B100" s="186" t="n">
        <v>24</v>
      </c>
      <c r="C100" s="186" t="inlineStr">
        <is>
          <t>Dépôts de la clientèle</t>
        </is>
      </c>
      <c r="D100" s="664">
        <f>D101+D102+D106+D109+D113</f>
        <v/>
      </c>
      <c r="E100" s="662" t="n"/>
      <c r="F100" s="663">
        <f>D100-E100</f>
        <v/>
      </c>
    </row>
    <row r="101" ht="24.9" customHeight="1">
      <c r="A101" s="10" t="inlineStr">
        <is>
          <t>M.I.B.P.241</t>
        </is>
      </c>
      <c r="B101" s="186" t="n">
        <v>241</v>
      </c>
      <c r="C101" s="186" t="inlineStr">
        <is>
          <t>Dépôts à vue</t>
        </is>
      </c>
      <c r="D101" s="667" t="n"/>
      <c r="E101" s="662" t="n"/>
      <c r="F101" s="663">
        <f>D101-E101</f>
        <v/>
      </c>
    </row>
    <row r="102" ht="24.9" customHeight="1">
      <c r="A102" s="10" t="inlineStr">
        <is>
          <t>M.I.B.P.242</t>
        </is>
      </c>
      <c r="B102" s="427" t="n">
        <v>242</v>
      </c>
      <c r="C102" s="427" t="inlineStr">
        <is>
          <t xml:space="preserve"> Produits d'Epargne Réglémentée</t>
        </is>
      </c>
      <c r="D102" s="664">
        <f>D103+D104+D105</f>
        <v/>
      </c>
      <c r="E102" s="662" t="n"/>
      <c r="F102" s="663">
        <f>D102-E102</f>
        <v/>
      </c>
    </row>
    <row r="103" ht="24.9" customHeight="1">
      <c r="A103" s="10" t="inlineStr">
        <is>
          <t>M.I.B.P.2421</t>
        </is>
      </c>
      <c r="B103" s="203" t="n">
        <v>2421</v>
      </c>
      <c r="C103" s="203" t="inlineStr">
        <is>
          <t>Comptes sur Livret ( Mobilisable à 1 mois)</t>
        </is>
      </c>
      <c r="D103" s="667" t="n"/>
      <c r="E103" s="662" t="n"/>
      <c r="F103" s="663">
        <f>D103-E103</f>
        <v/>
      </c>
    </row>
    <row r="104" ht="24.9" customHeight="1">
      <c r="A104" s="10" t="inlineStr">
        <is>
          <t>M.I.B.P.2422</t>
        </is>
      </c>
      <c r="B104" s="203" t="n">
        <v>2422</v>
      </c>
      <c r="C104" s="203" t="inlineStr">
        <is>
          <t>Plan d'Epargne Logement ( mobilisable à 6 mois)</t>
        </is>
      </c>
      <c r="D104" s="667" t="n"/>
      <c r="E104" s="662" t="n"/>
      <c r="F104" s="663">
        <f>D104-E104</f>
        <v/>
      </c>
    </row>
    <row r="105" ht="24.9" customHeight="1">
      <c r="A105" s="10" t="inlineStr">
        <is>
          <t>M.I.B.P.2423</t>
        </is>
      </c>
      <c r="B105" s="203" t="n">
        <v>2423</v>
      </c>
      <c r="C105" s="203" t="inlineStr">
        <is>
          <t>Plan Epargne Retraite ( mobilisable à 3 ans et +)</t>
        </is>
      </c>
      <c r="D105" s="667" t="n">
        <v>0</v>
      </c>
      <c r="E105" s="662" t="n"/>
      <c r="F105" s="663">
        <f>D105-E105</f>
        <v/>
      </c>
    </row>
    <row r="106" ht="24.9" customHeight="1">
      <c r="A106" s="10" t="inlineStr">
        <is>
          <t>M.I.B.P.243</t>
        </is>
      </c>
      <c r="B106" s="186" t="n">
        <v>243</v>
      </c>
      <c r="C106" s="186" t="inlineStr">
        <is>
          <t xml:space="preserve">Dépôts de garantie </t>
        </is>
      </c>
      <c r="D106" s="663">
        <f>+D107+D108</f>
        <v/>
      </c>
      <c r="E106" s="662" t="n"/>
      <c r="F106" s="663">
        <f>D106-E106</f>
        <v/>
      </c>
    </row>
    <row r="107" ht="24.9" customFormat="1" customHeight="1" s="426">
      <c r="A107" s="422" t="inlineStr">
        <is>
          <t>M.I.B.P.2431</t>
        </is>
      </c>
      <c r="B107" s="423" t="n">
        <v>2431</v>
      </c>
      <c r="C107" s="423" t="inlineStr">
        <is>
          <t>Dépôt de garantie (0 à 2 ans)</t>
        </is>
      </c>
      <c r="D107" s="667" t="n"/>
      <c r="E107" s="678" t="n"/>
      <c r="F107" s="679">
        <f>D107-E107</f>
        <v/>
      </c>
    </row>
    <row r="108" ht="24.9" customFormat="1" customHeight="1" s="426">
      <c r="A108" s="422" t="inlineStr">
        <is>
          <t>M.I.B.P.2432</t>
        </is>
      </c>
      <c r="B108" s="423" t="n">
        <v>2432</v>
      </c>
      <c r="C108" s="423" t="inlineStr">
        <is>
          <t>Dépôt de garantie (+ 2 ans)</t>
        </is>
      </c>
      <c r="D108" s="667" t="n"/>
      <c r="E108" s="678" t="n"/>
      <c r="F108" s="679">
        <f>D108-E108</f>
        <v/>
      </c>
    </row>
    <row r="109" ht="24.9" customHeight="1">
      <c r="A109" s="10" t="inlineStr">
        <is>
          <t>M.I.B.P.244</t>
        </is>
      </c>
      <c r="B109" s="186" t="n">
        <v>244</v>
      </c>
      <c r="C109" s="186" t="inlineStr">
        <is>
          <t>Autres dépots à terme souscrits par la clientèle</t>
        </is>
      </c>
      <c r="D109" s="663">
        <f>+D110+D111</f>
        <v/>
      </c>
      <c r="E109" s="662" t="n"/>
      <c r="F109" s="663">
        <f>D109-E109</f>
        <v/>
      </c>
    </row>
    <row r="110" ht="24.9" customFormat="1" customHeight="1" s="426">
      <c r="A110" s="422" t="inlineStr">
        <is>
          <t>M.I.B.P.2441</t>
        </is>
      </c>
      <c r="B110" s="423" t="n">
        <v>2441</v>
      </c>
      <c r="C110" s="423" t="inlineStr">
        <is>
          <t>Autres dépots à terme (0 à 2 ans)</t>
        </is>
      </c>
      <c r="D110" s="667" t="n"/>
      <c r="E110" s="678" t="n"/>
      <c r="F110" s="679">
        <f>D110-E110</f>
        <v/>
      </c>
    </row>
    <row r="111" ht="24.9" customFormat="1" customHeight="1" s="426">
      <c r="A111" s="422" t="inlineStr">
        <is>
          <t>M.I.B.P.2442</t>
        </is>
      </c>
      <c r="B111" s="423" t="n">
        <v>2442</v>
      </c>
      <c r="C111" s="423" t="inlineStr">
        <is>
          <t>Autres dépots à terme (+2 ans)</t>
        </is>
      </c>
      <c r="D111" s="667" t="n"/>
      <c r="E111" s="678" t="n"/>
      <c r="F111" s="679">
        <f>D111-E111</f>
        <v/>
      </c>
    </row>
    <row r="112" ht="24.9" customHeight="1">
      <c r="A112" s="10" t="inlineStr">
        <is>
          <t>M.I.B.P.245</t>
        </is>
      </c>
      <c r="B112" s="427" t="n">
        <v>245</v>
      </c>
      <c r="C112" s="427" t="inlineStr">
        <is>
          <t>Autres dépôts</t>
        </is>
      </c>
      <c r="D112" s="667" t="n"/>
      <c r="E112" s="662" t="n"/>
      <c r="F112" s="663">
        <f>D112-E112</f>
        <v/>
      </c>
    </row>
    <row r="113" ht="24.9" customHeight="1">
      <c r="A113" s="10" t="inlineStr">
        <is>
          <t>M.I.B.P.248</t>
        </is>
      </c>
      <c r="B113" s="186" t="n">
        <v>248</v>
      </c>
      <c r="C113" s="186" t="inlineStr">
        <is>
          <t>Dettes rattachées ( Intérêts à payer TCT)</t>
        </is>
      </c>
      <c r="D113" s="667" t="n"/>
      <c r="E113" s="662" t="n"/>
      <c r="F113" s="663">
        <f>D113-E113</f>
        <v/>
      </c>
    </row>
    <row r="114" ht="24.9" customHeight="1">
      <c r="A114" s="10" t="inlineStr">
        <is>
          <t>M.I.B.P.25</t>
        </is>
      </c>
      <c r="B114" s="197" t="n">
        <v>25</v>
      </c>
      <c r="C114" s="197" t="inlineStr">
        <is>
          <t>Compte de Monnaie Electronique</t>
        </is>
      </c>
      <c r="D114" s="661">
        <f>D115+D116</f>
        <v/>
      </c>
      <c r="E114" s="662" t="n"/>
      <c r="F114" s="663">
        <f>D114-E114</f>
        <v/>
      </c>
    </row>
    <row r="115" ht="24.9" customHeight="1">
      <c r="A115" s="10" t="inlineStr">
        <is>
          <t>M.I.B.P.251</t>
        </is>
      </c>
      <c r="B115" s="203" t="n">
        <v>251</v>
      </c>
      <c r="C115" s="203" t="inlineStr">
        <is>
          <t>Comptes de Monnaie Electronique ( à vue)</t>
        </is>
      </c>
      <c r="D115" s="672" t="n"/>
      <c r="E115" s="662" t="n"/>
      <c r="F115" s="663">
        <f>D115-E115</f>
        <v/>
      </c>
    </row>
    <row r="116" ht="24.9" customHeight="1">
      <c r="A116" s="10" t="inlineStr">
        <is>
          <t>M.I.B.P.258</t>
        </is>
      </c>
      <c r="B116" s="203" t="n">
        <v>258</v>
      </c>
      <c r="C116" s="203" t="inlineStr">
        <is>
          <t>Dettes rattachées ( Intérêts, Rémises et bonus à payer TCT)</t>
        </is>
      </c>
      <c r="D116" s="672" t="n"/>
      <c r="E116" s="662" t="n"/>
      <c r="F116" s="663">
        <f>D116-E116</f>
        <v/>
      </c>
    </row>
    <row r="117" ht="24.9" customHeight="1">
      <c r="A117" s="10" t="inlineStr">
        <is>
          <t>M.I.B.P.3</t>
        </is>
      </c>
      <c r="B117" s="197" t="n">
        <v>3</v>
      </c>
      <c r="C117" s="197" t="inlineStr">
        <is>
          <t>OPERATIONS DIVERSES</t>
        </is>
      </c>
      <c r="D117" s="661">
        <f>+D118+D122+D127</f>
        <v/>
      </c>
      <c r="E117" s="662" t="n"/>
      <c r="F117" s="663">
        <f>D117-E117</f>
        <v/>
      </c>
    </row>
    <row r="118" ht="24.9" customHeight="1">
      <c r="A118" s="10" t="inlineStr">
        <is>
          <t>M.I.B.P.34</t>
        </is>
      </c>
      <c r="B118" s="186" t="n">
        <v>34</v>
      </c>
      <c r="C118" s="186" t="inlineStr">
        <is>
          <t>Comptes d'associés</t>
        </is>
      </c>
      <c r="D118" s="661">
        <f>D119+D120+D121</f>
        <v/>
      </c>
      <c r="E118" s="662" t="n"/>
      <c r="F118" s="663">
        <f>D118-E118</f>
        <v/>
      </c>
    </row>
    <row r="119" ht="24.9" customHeight="1">
      <c r="A119" s="10" t="inlineStr">
        <is>
          <t>M.I.B.P.341</t>
        </is>
      </c>
      <c r="B119" s="203" t="n">
        <v>341</v>
      </c>
      <c r="C119" s="203" t="inlineStr">
        <is>
          <t>Parts sociales variables remboursables sans condition</t>
        </is>
      </c>
      <c r="D119" s="671" t="n"/>
      <c r="E119" s="662" t="n"/>
      <c r="F119" s="663">
        <f>D119-E119</f>
        <v/>
      </c>
    </row>
    <row r="120" ht="24.9" customHeight="1">
      <c r="A120" s="10" t="inlineStr">
        <is>
          <t>M.I.B.P.342</t>
        </is>
      </c>
      <c r="B120" s="203" t="n">
        <v>342</v>
      </c>
      <c r="C120" s="203" t="inlineStr">
        <is>
          <t>Comptes courants d'associés</t>
        </is>
      </c>
      <c r="D120" s="667" t="n"/>
      <c r="E120" s="662" t="n"/>
      <c r="F120" s="663">
        <f>D120-E120</f>
        <v/>
      </c>
    </row>
    <row r="121" ht="24.9" customHeight="1">
      <c r="A121" s="10" t="inlineStr">
        <is>
          <t>M.I.B.P.343</t>
        </is>
      </c>
      <c r="B121" s="203" t="n">
        <v>343</v>
      </c>
      <c r="C121" s="203" t="inlineStr">
        <is>
          <t>Comptes à terme d'associés n'ayant pas la valeur de fonds propres</t>
        </is>
      </c>
      <c r="D121" s="667" t="n"/>
      <c r="E121" s="662" t="n"/>
      <c r="F121" s="663">
        <f>D121-E121</f>
        <v/>
      </c>
    </row>
    <row r="122" ht="24.9" customHeight="1">
      <c r="A122" s="10" t="inlineStr">
        <is>
          <t>M.I.B.P.35</t>
        </is>
      </c>
      <c r="B122" s="186" t="n">
        <v>35</v>
      </c>
      <c r="C122" s="186" t="inlineStr">
        <is>
          <t>Criditeurs divers ( Autres dettes à très court terme)</t>
        </is>
      </c>
      <c r="D122" s="661">
        <f>D123+D124+D125+D126</f>
        <v/>
      </c>
      <c r="E122" s="662" t="n"/>
      <c r="F122" s="663">
        <f>D122-E122</f>
        <v/>
      </c>
    </row>
    <row r="123" ht="24.9" customHeight="1">
      <c r="A123" s="10" t="inlineStr">
        <is>
          <t>M.I.B.P.351</t>
        </is>
      </c>
      <c r="B123" s="203" t="n">
        <v>351</v>
      </c>
      <c r="C123" s="203" t="inlineStr">
        <is>
          <t>Dettes fiscales &amp; sociales</t>
        </is>
      </c>
      <c r="D123" s="672" t="n"/>
      <c r="E123" s="662" t="n"/>
      <c r="F123" s="663">
        <f>D123-E123</f>
        <v/>
      </c>
    </row>
    <row r="124" ht="24.9" customHeight="1">
      <c r="A124" s="10" t="inlineStr">
        <is>
          <t>M.I.B.P.352</t>
        </is>
      </c>
      <c r="B124" s="203" t="n">
        <v>352</v>
      </c>
      <c r="C124" s="203" t="inlineStr">
        <is>
          <t>Dettes sur le personnel</t>
        </is>
      </c>
      <c r="D124" s="672" t="n"/>
      <c r="E124" s="662" t="n"/>
      <c r="F124" s="663">
        <f>D124-E124</f>
        <v/>
      </c>
    </row>
    <row r="125" ht="24.9" customHeight="1">
      <c r="A125" s="10" t="inlineStr">
        <is>
          <t>M.I.B.P.353</t>
        </is>
      </c>
      <c r="B125" s="203" t="n">
        <v>353</v>
      </c>
      <c r="C125" s="203" t="inlineStr">
        <is>
          <t xml:space="preserve">Dividendes à payer </t>
        </is>
      </c>
      <c r="D125" s="672" t="n"/>
      <c r="E125" s="662" t="n"/>
      <c r="F125" s="663">
        <f>D125-E125</f>
        <v/>
      </c>
    </row>
    <row r="126" ht="24.9" customHeight="1">
      <c r="A126" s="10" t="inlineStr">
        <is>
          <t>M.I.B.P.354</t>
        </is>
      </c>
      <c r="B126" s="423" t="n">
        <v>354</v>
      </c>
      <c r="C126" s="423" t="inlineStr">
        <is>
          <t>Autres créditeurs divers</t>
        </is>
      </c>
      <c r="D126" s="672" t="n"/>
      <c r="E126" s="662" t="n"/>
      <c r="F126" s="663">
        <f>D126-E126</f>
        <v/>
      </c>
    </row>
    <row r="127" ht="24.9" customHeight="1">
      <c r="A127" s="10" t="inlineStr">
        <is>
          <t>M.I.B.P.36</t>
        </is>
      </c>
      <c r="B127" s="186" t="n">
        <v>36</v>
      </c>
      <c r="C127" s="186" t="inlineStr">
        <is>
          <t xml:space="preserve">Comptes de régularisations - passif </t>
        </is>
      </c>
      <c r="D127" s="664">
        <f>D128+D129+D130</f>
        <v/>
      </c>
      <c r="E127" s="662" t="n"/>
      <c r="F127" s="663">
        <f>D127-E127</f>
        <v/>
      </c>
    </row>
    <row r="128" ht="24.9" customHeight="1">
      <c r="A128" s="10" t="inlineStr">
        <is>
          <t>M.I.B.P.361</t>
        </is>
      </c>
      <c r="B128" s="203" t="n">
        <v>361</v>
      </c>
      <c r="C128" s="203" t="inlineStr">
        <is>
          <t xml:space="preserve">Produits constatés d'avance </t>
        </is>
      </c>
      <c r="D128" s="672" t="n"/>
      <c r="E128" s="662" t="n"/>
      <c r="F128" s="663">
        <f>D128-E128</f>
        <v/>
      </c>
    </row>
    <row r="129" ht="24.9" customHeight="1">
      <c r="A129" s="10" t="inlineStr">
        <is>
          <t>M.I.B.P.362</t>
        </is>
      </c>
      <c r="B129" s="203" t="n">
        <v>362</v>
      </c>
      <c r="C129" s="203" t="inlineStr">
        <is>
          <t>Charges à payer</t>
        </is>
      </c>
      <c r="D129" s="672" t="n"/>
      <c r="E129" s="662" t="n"/>
      <c r="F129" s="663">
        <f>D129-E129</f>
        <v/>
      </c>
    </row>
    <row r="130" ht="24.9" customHeight="1">
      <c r="A130" s="10" t="inlineStr">
        <is>
          <t>M.I.B.P.366</t>
        </is>
      </c>
      <c r="B130" s="203" t="n">
        <v>366</v>
      </c>
      <c r="C130" s="203" t="inlineStr">
        <is>
          <t>Compte de liaison - passif</t>
        </is>
      </c>
      <c r="D130" s="672" t="n"/>
      <c r="E130" s="662" t="n"/>
      <c r="F130" s="663">
        <f>D130-E130</f>
        <v/>
      </c>
    </row>
    <row r="131" ht="24.9" customHeight="1">
      <c r="A131" s="10" t="inlineStr">
        <is>
          <t>M.I.B.P.5</t>
        </is>
      </c>
      <c r="B131" s="186" t="n">
        <v>5</v>
      </c>
      <c r="C131" s="186" t="inlineStr">
        <is>
          <t>Capitaux propres</t>
        </is>
      </c>
      <c r="D131" s="664">
        <f>D132+D133+D134+D135+D141+D142+D143+D144+D147+D148</f>
        <v/>
      </c>
      <c r="E131" s="662" t="n"/>
      <c r="F131" s="663">
        <f>D131-E131</f>
        <v/>
      </c>
    </row>
    <row r="132" ht="24.9" customHeight="1">
      <c r="A132" s="10" t="inlineStr">
        <is>
          <t>M.I.B.P.50</t>
        </is>
      </c>
      <c r="B132" s="186" t="n">
        <v>50</v>
      </c>
      <c r="C132" s="186" t="inlineStr">
        <is>
          <t>Provisions du passif ( fonds pour risques bancaires généraux)</t>
        </is>
      </c>
      <c r="D132" s="673" t="n"/>
      <c r="E132" s="662" t="n"/>
      <c r="F132" s="663">
        <f>D132-E132</f>
        <v/>
      </c>
    </row>
    <row r="133" ht="24.9" customHeight="1">
      <c r="A133" s="10" t="inlineStr">
        <is>
          <t>M.I.B.P.51</t>
        </is>
      </c>
      <c r="B133" s="186" t="n">
        <v>51</v>
      </c>
      <c r="C133" s="186" t="inlineStr">
        <is>
          <t>Subventions d'investissement</t>
        </is>
      </c>
      <c r="D133" s="673" t="n"/>
      <c r="E133" s="662" t="n"/>
      <c r="F133" s="663">
        <f>D133-E133</f>
        <v/>
      </c>
    </row>
    <row r="134" ht="24.9" customHeight="1">
      <c r="A134" s="10" t="inlineStr">
        <is>
          <t>M.I.B.P.52</t>
        </is>
      </c>
      <c r="B134" s="186" t="n">
        <v>52</v>
      </c>
      <c r="C134" s="186" t="inlineStr">
        <is>
          <t>Report à nouveau</t>
        </is>
      </c>
      <c r="D134" s="671" t="n"/>
      <c r="E134" s="662" t="n"/>
      <c r="F134" s="663">
        <f>D134-E134</f>
        <v/>
      </c>
    </row>
    <row r="135" ht="24.9" customHeight="1">
      <c r="A135" s="10" t="inlineStr">
        <is>
          <t>M.I.B.P.53</t>
        </is>
      </c>
      <c r="B135" s="186" t="n">
        <v>53</v>
      </c>
      <c r="C135" s="186" t="inlineStr">
        <is>
          <t>Dettes subordonnées &amp; assilées éligibles au FP</t>
        </is>
      </c>
      <c r="D135" s="664">
        <f>D136+D137+D138+D139+D140</f>
        <v/>
      </c>
      <c r="E135" s="662" t="n"/>
      <c r="F135" s="663">
        <f>D135-E135</f>
        <v/>
      </c>
    </row>
    <row r="136" ht="24.9" customHeight="1">
      <c r="A136" s="10" t="inlineStr">
        <is>
          <t>M.I.B.P.531</t>
        </is>
      </c>
      <c r="B136" s="203" t="n">
        <v>531</v>
      </c>
      <c r="C136" s="203" t="inlineStr">
        <is>
          <t>Dettes bancaires subordonnées à durée inderminée ou terme ≥ 5 ans</t>
        </is>
      </c>
      <c r="D136" s="673" t="n"/>
      <c r="E136" s="662" t="n"/>
      <c r="F136" s="663">
        <f>D136-E136</f>
        <v/>
      </c>
    </row>
    <row r="137" ht="24.9" customHeight="1">
      <c r="A137" s="10" t="inlineStr">
        <is>
          <t>M.I.B.P.532</t>
        </is>
      </c>
      <c r="B137" s="203" t="n">
        <v>532</v>
      </c>
      <c r="C137" s="203" t="inlineStr">
        <is>
          <t>Obligations subordonnées à terme ≥ 5 ans</t>
        </is>
      </c>
      <c r="D137" s="677" t="n"/>
      <c r="E137" s="662" t="n"/>
      <c r="F137" s="663">
        <f>D137-E137</f>
        <v/>
      </c>
    </row>
    <row r="138" ht="24.9" customHeight="1">
      <c r="A138" s="10" t="inlineStr">
        <is>
          <t>M.I.B.P.533</t>
        </is>
      </c>
      <c r="B138" s="203" t="n">
        <v>533</v>
      </c>
      <c r="C138" s="203" t="inlineStr">
        <is>
          <t>Obligations convertibles en action sur démande de l'émeteur</t>
        </is>
      </c>
      <c r="D138" s="677" t="n"/>
      <c r="E138" s="662" t="n"/>
      <c r="F138" s="663">
        <f>D138-E138</f>
        <v/>
      </c>
    </row>
    <row r="139" ht="24.9" customHeight="1">
      <c r="A139" s="10" t="inlineStr">
        <is>
          <t>M.I.B.P.534</t>
        </is>
      </c>
      <c r="B139" s="203" t="n">
        <v>534</v>
      </c>
      <c r="C139" s="203" t="inlineStr">
        <is>
          <t xml:space="preserve">Prêt participatif des associés ou actionnaires </t>
        </is>
      </c>
      <c r="D139" s="677" t="n"/>
      <c r="E139" s="662" t="n"/>
      <c r="F139" s="663">
        <f>D139-E139</f>
        <v/>
      </c>
    </row>
    <row r="140" ht="24.9" customHeight="1">
      <c r="A140" s="10" t="inlineStr">
        <is>
          <t>M.I.B.P.535</t>
        </is>
      </c>
      <c r="B140" s="203" t="n">
        <v>535</v>
      </c>
      <c r="C140" s="203" t="inlineStr">
        <is>
          <t xml:space="preserve">Autres valeurs subordonnées à long terme, et éligibles </t>
        </is>
      </c>
      <c r="D140" s="677" t="n"/>
      <c r="E140" s="662" t="n"/>
      <c r="F140" s="663">
        <f>D140-E140</f>
        <v/>
      </c>
    </row>
    <row r="141" ht="24.9" customHeight="1">
      <c r="A141" s="10" t="inlineStr">
        <is>
          <t>M.I.B.P.54</t>
        </is>
      </c>
      <c r="B141" s="186" t="n">
        <v>54</v>
      </c>
      <c r="C141" s="186" t="inlineStr">
        <is>
          <t>Réserves facultatives</t>
        </is>
      </c>
      <c r="D141" s="673" t="n"/>
      <c r="E141" s="662" t="n"/>
      <c r="F141" s="663">
        <f>D141-E141</f>
        <v/>
      </c>
    </row>
    <row r="142" ht="24.9" customHeight="1">
      <c r="A142" s="10" t="inlineStr">
        <is>
          <t>M.I.B.P.55</t>
        </is>
      </c>
      <c r="B142" s="186" t="n">
        <v>55</v>
      </c>
      <c r="C142" s="186" t="inlineStr">
        <is>
          <t>Réserves générales</t>
        </is>
      </c>
      <c r="D142" s="673" t="n"/>
      <c r="E142" s="662" t="n"/>
      <c r="F142" s="663">
        <f>D142-E142</f>
        <v/>
      </c>
    </row>
    <row r="143" ht="24.9" customHeight="1">
      <c r="A143" s="10" t="inlineStr">
        <is>
          <t>M.I.B.P.56</t>
        </is>
      </c>
      <c r="B143" s="186" t="n">
        <v>56</v>
      </c>
      <c r="C143" s="186" t="inlineStr">
        <is>
          <t>Fonds de dotation impartageable, à caractère de réserve</t>
        </is>
      </c>
      <c r="D143" s="673" t="n"/>
      <c r="E143" s="662" t="n"/>
      <c r="F143" s="663">
        <f>D143-E143</f>
        <v/>
      </c>
    </row>
    <row r="144" ht="24.9" customHeight="1">
      <c r="A144" s="10" t="inlineStr">
        <is>
          <t>M.I.B.P.57</t>
        </is>
      </c>
      <c r="B144" s="186" t="n">
        <v>57</v>
      </c>
      <c r="C144" s="186" t="inlineStr">
        <is>
          <t>Capital social</t>
        </is>
      </c>
      <c r="D144" s="664">
        <f>D145+D146</f>
        <v/>
      </c>
      <c r="E144" s="662" t="n"/>
      <c r="F144" s="663">
        <f>D144-E144</f>
        <v/>
      </c>
    </row>
    <row r="145" ht="24.9" customHeight="1">
      <c r="A145" s="10" t="inlineStr">
        <is>
          <t>M.I.B.P.571</t>
        </is>
      </c>
      <c r="B145" s="203" t="n">
        <v>571</v>
      </c>
      <c r="C145" s="203" t="inlineStr">
        <is>
          <t>Capital social souscrit, non libéré</t>
        </is>
      </c>
      <c r="D145" s="680" t="n"/>
      <c r="E145" s="681" t="n"/>
      <c r="F145" s="663">
        <f>D145-E145</f>
        <v/>
      </c>
    </row>
    <row r="146" ht="24.9" customHeight="1">
      <c r="A146" s="10" t="inlineStr">
        <is>
          <t>M.I.B.P.572</t>
        </is>
      </c>
      <c r="B146" s="203" t="n">
        <v>572</v>
      </c>
      <c r="C146" s="203" t="inlineStr">
        <is>
          <t>Capital social ( libéré) fixe ou dont le remboursement peut-être bloqué</t>
        </is>
      </c>
      <c r="D146" s="680" t="n"/>
      <c r="E146" s="681" t="n"/>
      <c r="F146" s="663">
        <f>D146-E146</f>
        <v/>
      </c>
    </row>
    <row r="147" ht="24.9" customHeight="1">
      <c r="A147" s="10" t="inlineStr">
        <is>
          <t>M.I.B.P.58</t>
        </is>
      </c>
      <c r="B147" s="197" t="n">
        <v>58</v>
      </c>
      <c r="C147" s="197" t="inlineStr">
        <is>
          <t xml:space="preserve">Fonds de solidarités financières des réseaux </t>
        </is>
      </c>
      <c r="D147" s="680" t="n"/>
      <c r="E147" s="681" t="n"/>
      <c r="F147" s="663">
        <f>D147-E147</f>
        <v/>
      </c>
    </row>
    <row r="148" ht="24.9" customHeight="1">
      <c r="A148" s="10" t="inlineStr">
        <is>
          <t>M.I.B.P.59</t>
        </is>
      </c>
      <c r="B148" s="362" t="n">
        <v>59</v>
      </c>
      <c r="C148" s="197" t="inlineStr">
        <is>
          <t>Excedent ou déficit (en cours d'affectation)</t>
        </is>
      </c>
      <c r="D148" s="680" t="n"/>
      <c r="E148" s="681" t="n"/>
      <c r="F148" s="663">
        <f>D148-E148</f>
        <v/>
      </c>
    </row>
    <row r="149" ht="24.9" customHeight="1">
      <c r="A149" s="12" t="inlineStr">
        <is>
          <t>M.I.B.P.TP</t>
        </is>
      </c>
      <c r="B149" s="363" t="n"/>
      <c r="C149" s="207" t="inlineStr">
        <is>
          <t>TOTAL GENERAL PASSIF</t>
        </is>
      </c>
      <c r="D149" s="682">
        <f>D79+D99+D117+D131</f>
        <v/>
      </c>
      <c r="E149" s="683" t="n"/>
      <c r="F149" s="663">
        <f>D149-E149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yIzHoZV0OMA3jmzv4O+aw==" formatRows="1" sort="1" spinCount="100000" hashValue="9BMlPe4H4JTswRDV+m6uj4iloN79EdBfRn+eEPqNiA0RntScV1brQYsNBwWdVC/Rl3pgi1vS4H1PcJHPA+H+BA=="/>
  <pageMargins left="0.7" right="0.7" top="0.75" bottom="0.75" header="0.3" footer="0.3"/>
  <pageSetup orientation="portrait" paperSize="9" scale="2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5"/>
  <sheetViews>
    <sheetView showGridLines="0" topLeftCell="C2" workbookViewId="0">
      <selection activeCell="D8" sqref="D8"/>
    </sheetView>
  </sheetViews>
  <sheetFormatPr baseColWidth="10" defaultColWidth="9.109375" defaultRowHeight="13.2"/>
  <cols>
    <col width="14" bestFit="1" customWidth="1" style="1" min="1" max="1"/>
    <col width="7.5546875" customWidth="1" style="444" min="2" max="2"/>
    <col width="78" customWidth="1" style="1" min="3" max="3"/>
    <col width="31.109375" customWidth="1" style="1" min="4" max="4"/>
    <col width="18.88671875" customWidth="1" style="1" min="5" max="5"/>
    <col width="9.109375" customWidth="1" style="1" min="6" max="16384"/>
  </cols>
  <sheetData>
    <row r="1" ht="20.1" customHeight="1">
      <c r="B1" s="449" t="inlineStr">
        <is>
          <t>Nom de l'institution</t>
        </is>
      </c>
      <c r="C1" s="642" t="n"/>
      <c r="D1" s="524">
        <f>'M.0.INFO.G'!C1</f>
        <v/>
      </c>
      <c r="E1" s="526" t="n"/>
    </row>
    <row r="2" ht="20.1" customHeight="1">
      <c r="B2" s="449" t="inlineStr">
        <is>
          <t>Code de l'institution</t>
        </is>
      </c>
      <c r="C2" s="642" t="n"/>
      <c r="D2" s="524">
        <f>'M.0.INFO.G'!C2</f>
        <v/>
      </c>
      <c r="E2" s="526" t="n"/>
    </row>
    <row r="3" ht="20.1" customHeight="1">
      <c r="B3" s="449" t="inlineStr">
        <is>
          <t>Date des rapports</t>
        </is>
      </c>
      <c r="C3" s="642" t="n"/>
      <c r="D3" s="580">
        <f>'M.0.INFO.G'!C3</f>
        <v/>
      </c>
      <c r="E3" s="526" t="n"/>
    </row>
    <row r="4" ht="20.1" customHeight="1">
      <c r="B4" s="449" t="inlineStr">
        <is>
          <t xml:space="preserve">Rapport </t>
        </is>
      </c>
      <c r="C4" s="642" t="n"/>
      <c r="D4" s="18" t="inlineStr">
        <is>
          <t>M.II.COMPTE DE RESULTAT</t>
        </is>
      </c>
      <c r="E4" s="526" t="n"/>
    </row>
    <row r="5" ht="26.25" customHeight="1"/>
    <row r="6" ht="30.75" customFormat="1" customHeight="1" s="14">
      <c r="A6" s="13" t="inlineStr">
        <is>
          <t>CODE</t>
        </is>
      </c>
      <c r="B6" s="468" t="inlineStr">
        <is>
          <t>N° compte</t>
        </is>
      </c>
      <c r="C6" s="15" t="inlineStr">
        <is>
          <t>CHARGES</t>
        </is>
      </c>
      <c r="D6" s="15" t="inlineStr">
        <is>
          <t>Montant</t>
        </is>
      </c>
    </row>
    <row r="7" ht="30.75" customFormat="1" customHeight="1" s="14">
      <c r="A7" s="217" t="inlineStr">
        <is>
          <t>M.II.R.C.6</t>
        </is>
      </c>
      <c r="B7" s="469" t="n">
        <v>6</v>
      </c>
      <c r="C7" s="239" t="inlineStr">
        <is>
          <t>OPERATIONS DE CHARGES</t>
        </is>
      </c>
      <c r="D7" s="684">
        <f>D8+D18+D26+D33+D37+D40+D44+D52+D55</f>
        <v/>
      </c>
    </row>
    <row r="8" ht="29.25" customHeight="1">
      <c r="A8" s="10" t="inlineStr">
        <is>
          <t>M.II.R.C.60</t>
        </is>
      </c>
      <c r="B8" s="470" t="n">
        <v>60</v>
      </c>
      <c r="C8" s="17" t="inlineStr">
        <is>
          <t>CHARGES FINANCIERES</t>
        </is>
      </c>
      <c r="D8" s="685">
        <f>D9+D15</f>
        <v/>
      </c>
    </row>
    <row r="9" ht="24.9" customHeight="1">
      <c r="A9" s="10" t="inlineStr">
        <is>
          <t>M.II.R.C.601</t>
        </is>
      </c>
      <c r="B9" s="471" t="n">
        <v>601</v>
      </c>
      <c r="C9" s="17" t="inlineStr">
        <is>
          <t>Intérêts</t>
        </is>
      </c>
      <c r="D9" s="685">
        <f>D10+D11+D12+D13+D14</f>
        <v/>
      </c>
    </row>
    <row r="10" ht="24.9" customHeight="1">
      <c r="A10" s="10" t="inlineStr">
        <is>
          <t>M.II.R.C.6011</t>
        </is>
      </c>
      <c r="B10" s="472" t="n">
        <v>6011</v>
      </c>
      <c r="C10" s="16" t="inlineStr">
        <is>
          <t>Intérêts sur dépôt à vue</t>
        </is>
      </c>
      <c r="D10" s="686" t="n"/>
    </row>
    <row r="11" ht="24.9" customHeight="1">
      <c r="A11" s="10" t="inlineStr">
        <is>
          <t>M.II.R.C.6012</t>
        </is>
      </c>
      <c r="B11" s="472" t="n">
        <v>6012</v>
      </c>
      <c r="C11" s="16" t="inlineStr">
        <is>
          <t>Intérêts sur dépôts à terme</t>
        </is>
      </c>
      <c r="D11" s="687" t="n"/>
    </row>
    <row r="12" ht="24.9" customHeight="1">
      <c r="A12" s="10" t="inlineStr">
        <is>
          <t>M.II.R.C.6013</t>
        </is>
      </c>
      <c r="B12" s="472" t="n">
        <v>6013</v>
      </c>
      <c r="C12" s="16" t="inlineStr">
        <is>
          <t>Intérêts sur emprunts à moins d'un an</t>
        </is>
      </c>
      <c r="D12" s="687" t="n"/>
    </row>
    <row r="13" ht="24.9" customHeight="1">
      <c r="A13" s="10" t="inlineStr">
        <is>
          <t>M.II.R.C.6014</t>
        </is>
      </c>
      <c r="B13" s="472" t="n">
        <v>6014</v>
      </c>
      <c r="C13" s="16" t="inlineStr">
        <is>
          <t>Intérêts sur emprunts à terme</t>
        </is>
      </c>
      <c r="D13" s="687" t="n"/>
    </row>
    <row r="14" ht="24.9" customHeight="1">
      <c r="A14" s="10" t="inlineStr">
        <is>
          <t>M.II.R.C.6015</t>
        </is>
      </c>
      <c r="B14" s="472" t="n">
        <v>6015</v>
      </c>
      <c r="C14" s="16" t="inlineStr">
        <is>
          <t xml:space="preserve">Autres intérêts </t>
        </is>
      </c>
      <c r="D14" s="687" t="n"/>
    </row>
    <row r="15" ht="24.9" customHeight="1">
      <c r="A15" s="10" t="inlineStr">
        <is>
          <t>M.II.R.C.602</t>
        </is>
      </c>
      <c r="B15" s="471" t="n">
        <v>602</v>
      </c>
      <c r="C15" s="17" t="inlineStr">
        <is>
          <t xml:space="preserve">Autres charges financières </t>
        </is>
      </c>
      <c r="D15" s="685">
        <f>D16+D17</f>
        <v/>
      </c>
    </row>
    <row r="16" ht="24.9" customHeight="1">
      <c r="A16" s="10" t="inlineStr">
        <is>
          <t>M.II.R.C.6021</t>
        </is>
      </c>
      <c r="B16" s="472" t="n">
        <v>6021</v>
      </c>
      <c r="C16" s="16" t="inlineStr">
        <is>
          <t xml:space="preserve">Commissions </t>
        </is>
      </c>
      <c r="D16" s="687" t="n"/>
    </row>
    <row r="17" ht="24.9" customHeight="1">
      <c r="A17" s="10" t="inlineStr">
        <is>
          <t>M.II.R.C.6022</t>
        </is>
      </c>
      <c r="B17" s="472" t="n">
        <v>6022</v>
      </c>
      <c r="C17" s="16" t="inlineStr">
        <is>
          <t>Charge nette/cession de titres à court terme</t>
        </is>
      </c>
      <c r="D17" s="687" t="n">
        <v>0</v>
      </c>
    </row>
    <row r="18" ht="24.9" customHeight="1">
      <c r="A18" s="10" t="inlineStr">
        <is>
          <t>M.II.R.C.61</t>
        </is>
      </c>
      <c r="B18" s="473" t="n">
        <v>61</v>
      </c>
      <c r="C18" s="115" t="inlineStr">
        <is>
          <t>ACHATS DE FOURNITURE DE BUREAU</t>
        </is>
      </c>
      <c r="D18" s="688">
        <f>D19+D22+D23+D24+D25</f>
        <v/>
      </c>
    </row>
    <row r="19" ht="24.9" customHeight="1">
      <c r="A19" s="10" t="inlineStr">
        <is>
          <t>M.II.R.C.611</t>
        </is>
      </c>
      <c r="B19" s="471" t="n">
        <v>611</v>
      </c>
      <c r="C19" s="17" t="inlineStr">
        <is>
          <t>Achats de fourniture de bureau</t>
        </is>
      </c>
      <c r="D19" s="688">
        <f>+D20+D21</f>
        <v/>
      </c>
    </row>
    <row r="20" ht="24.9" customHeight="1">
      <c r="A20" s="10" t="inlineStr">
        <is>
          <t>M.II.R.C.6110</t>
        </is>
      </c>
      <c r="B20" s="472" t="n">
        <v>6110</v>
      </c>
      <c r="C20" s="428" t="inlineStr">
        <is>
          <t>Achats</t>
        </is>
      </c>
      <c r="D20" s="686" t="n"/>
    </row>
    <row r="21" ht="24.9" customHeight="1">
      <c r="A21" s="10" t="inlineStr">
        <is>
          <t>M.II.R.C.6111</t>
        </is>
      </c>
      <c r="B21" s="472" t="n">
        <v>6111</v>
      </c>
      <c r="C21" s="16" t="inlineStr">
        <is>
          <t>Variations de stock (a)</t>
        </is>
      </c>
      <c r="D21" s="686" t="n"/>
    </row>
    <row r="22" ht="24.9" customHeight="1">
      <c r="A22" s="10" t="inlineStr">
        <is>
          <t>M.II.R.C.612</t>
        </is>
      </c>
      <c r="B22" s="472" t="n">
        <v>612</v>
      </c>
      <c r="C22" s="16" t="inlineStr">
        <is>
          <t>Eau et électricité</t>
        </is>
      </c>
      <c r="D22" s="686" t="n"/>
    </row>
    <row r="23" ht="24.9" customHeight="1">
      <c r="A23" s="10" t="inlineStr">
        <is>
          <t>M.II.R.C.613</t>
        </is>
      </c>
      <c r="B23" s="472" t="n">
        <v>613</v>
      </c>
      <c r="C23" s="16" t="inlineStr">
        <is>
          <t>Locations</t>
        </is>
      </c>
      <c r="D23" s="686" t="n"/>
    </row>
    <row r="24" ht="24.9" customHeight="1">
      <c r="A24" s="10" t="inlineStr">
        <is>
          <t>M.II.R.C.614</t>
        </is>
      </c>
      <c r="B24" s="472" t="n">
        <v>614</v>
      </c>
      <c r="C24" s="16" t="inlineStr">
        <is>
          <t>Entretiens et réparations</t>
        </is>
      </c>
      <c r="D24" s="686" t="n"/>
    </row>
    <row r="25" ht="24.9" customHeight="1">
      <c r="A25" s="10" t="inlineStr">
        <is>
          <t>M.II.R.C.615</t>
        </is>
      </c>
      <c r="B25" s="472" t="n">
        <v>615</v>
      </c>
      <c r="C25" s="16" t="inlineStr">
        <is>
          <t>Primes d'assurance</t>
        </is>
      </c>
      <c r="D25" s="686" t="n"/>
    </row>
    <row r="26" ht="24.9" customHeight="1">
      <c r="A26" s="10" t="inlineStr">
        <is>
          <t>M.II.R.C.62</t>
        </is>
      </c>
      <c r="B26" s="473" t="n">
        <v>62</v>
      </c>
      <c r="C26" s="17" t="inlineStr">
        <is>
          <t>AUTRES SERVICES EXTERIEURS</t>
        </is>
      </c>
      <c r="D26" s="688">
        <f>SUM(D27:D32)</f>
        <v/>
      </c>
    </row>
    <row r="27" ht="24.9" customHeight="1">
      <c r="A27" s="10" t="inlineStr">
        <is>
          <t>M.II.R.C.621</t>
        </is>
      </c>
      <c r="B27" s="472" t="n">
        <v>621</v>
      </c>
      <c r="C27" s="16" t="inlineStr">
        <is>
          <t>Publicité et rélations publiques</t>
        </is>
      </c>
      <c r="D27" s="686" t="n"/>
    </row>
    <row r="28" ht="24.9" customHeight="1">
      <c r="A28" s="10" t="inlineStr">
        <is>
          <t>M.II.R.C.622</t>
        </is>
      </c>
      <c r="B28" s="472" t="n">
        <v>622</v>
      </c>
      <c r="C28" s="16" t="inlineStr">
        <is>
          <t>Transports et déplacements</t>
        </is>
      </c>
      <c r="D28" s="686" t="n"/>
    </row>
    <row r="29" ht="24.9" customHeight="1">
      <c r="A29" s="10" t="inlineStr">
        <is>
          <t>M.II.R.C.623</t>
        </is>
      </c>
      <c r="B29" s="472" t="n">
        <v>623</v>
      </c>
      <c r="C29" s="16" t="inlineStr">
        <is>
          <t>Frais postaux et de télécommunications</t>
        </is>
      </c>
      <c r="D29" s="686" t="n"/>
    </row>
    <row r="30" ht="24.9" customHeight="1">
      <c r="A30" s="10" t="inlineStr">
        <is>
          <t>M.II.R.C.624</t>
        </is>
      </c>
      <c r="B30" s="472" t="n">
        <v>624</v>
      </c>
      <c r="C30" s="16" t="inlineStr">
        <is>
          <t>Services bancaires</t>
        </is>
      </c>
      <c r="D30" s="686" t="n"/>
    </row>
    <row r="31" ht="24.9" customHeight="1">
      <c r="A31" s="10" t="inlineStr">
        <is>
          <t>M.II.R.C.625</t>
        </is>
      </c>
      <c r="B31" s="472" t="n">
        <v>625</v>
      </c>
      <c r="C31" s="16" t="inlineStr">
        <is>
          <t>Frais de formation, d'éducation, d'études et de recherche</t>
        </is>
      </c>
      <c r="D31" s="686" t="n"/>
    </row>
    <row r="32" ht="24.9" customHeight="1">
      <c r="A32" s="10" t="inlineStr">
        <is>
          <t>M.II.R.C.626</t>
        </is>
      </c>
      <c r="B32" s="472" t="n">
        <v>626</v>
      </c>
      <c r="C32" s="16" t="inlineStr">
        <is>
          <t>Autres</t>
        </is>
      </c>
      <c r="D32" s="686" t="n"/>
    </row>
    <row r="33" ht="24.9" customHeight="1">
      <c r="A33" s="10" t="inlineStr">
        <is>
          <t>M.II.R.C.63</t>
        </is>
      </c>
      <c r="B33" s="473" t="n">
        <v>63</v>
      </c>
      <c r="C33" s="114" t="inlineStr">
        <is>
          <t>IMPÔTS ET TAXES</t>
        </is>
      </c>
      <c r="D33" s="688">
        <f>D34+D35+D36</f>
        <v/>
      </c>
    </row>
    <row r="34" ht="24.9" customHeight="1">
      <c r="A34" s="10" t="inlineStr">
        <is>
          <t>M.II.R.C.631</t>
        </is>
      </c>
      <c r="B34" s="474" t="n">
        <v>631</v>
      </c>
      <c r="C34" s="16" t="inlineStr">
        <is>
          <t>Impôts et Taxes locales</t>
        </is>
      </c>
      <c r="D34" s="689" t="n"/>
    </row>
    <row r="35" ht="24.9" customHeight="1">
      <c r="A35" s="10" t="inlineStr">
        <is>
          <t>M.II.R.C.632</t>
        </is>
      </c>
      <c r="B35" s="474" t="n">
        <v>632</v>
      </c>
      <c r="C35" s="16" t="inlineStr">
        <is>
          <t>Impôts sur ____</t>
        </is>
      </c>
      <c r="D35" s="689" t="n"/>
    </row>
    <row r="36" ht="24.9" customHeight="1">
      <c r="A36" s="10" t="inlineStr">
        <is>
          <t>M.II.R.C.633</t>
        </is>
      </c>
      <c r="B36" s="475" t="n">
        <v>633</v>
      </c>
      <c r="C36" s="118" t="inlineStr">
        <is>
          <t>Autres impôts et Taxes</t>
        </is>
      </c>
      <c r="D36" s="689" t="n"/>
    </row>
    <row r="37" ht="24.9" customHeight="1">
      <c r="A37" s="10" t="inlineStr">
        <is>
          <t>M.II.R.C.64</t>
        </is>
      </c>
      <c r="B37" s="473" t="n">
        <v>64</v>
      </c>
      <c r="C37" s="17" t="inlineStr">
        <is>
          <t>CHARGES DE PERSONNEL</t>
        </is>
      </c>
      <c r="D37" s="688">
        <f>SUM(D38:D39)</f>
        <v/>
      </c>
    </row>
    <row r="38" ht="24.9" customHeight="1">
      <c r="A38" s="10" t="inlineStr">
        <is>
          <t>M.II.R.C.641</t>
        </is>
      </c>
      <c r="B38" s="472" t="n">
        <v>641</v>
      </c>
      <c r="C38" s="16" t="inlineStr">
        <is>
          <t>Frais de personnel</t>
        </is>
      </c>
      <c r="D38" s="686" t="n"/>
    </row>
    <row r="39" ht="24.9" customHeight="1">
      <c r="A39" s="10" t="inlineStr">
        <is>
          <t>M.II.R.C.642</t>
        </is>
      </c>
      <c r="B39" s="472" t="n">
        <v>642</v>
      </c>
      <c r="C39" s="16" t="inlineStr">
        <is>
          <t>Charges sociales</t>
        </is>
      </c>
      <c r="D39" s="686" t="n"/>
    </row>
    <row r="40" ht="24.9" customHeight="1">
      <c r="A40" s="10" t="inlineStr">
        <is>
          <t>M.II.R.C.65</t>
        </is>
      </c>
      <c r="B40" s="473" t="n">
        <v>65</v>
      </c>
      <c r="C40" s="17" t="inlineStr">
        <is>
          <t>AUTRES CHARGES</t>
        </is>
      </c>
      <c r="D40" s="688">
        <f>SUM(D41:D43)</f>
        <v/>
      </c>
    </row>
    <row r="41" ht="24.9" customHeight="1">
      <c r="A41" s="10" t="inlineStr">
        <is>
          <t>M.II.R.C.651</t>
        </is>
      </c>
      <c r="B41" s="472" t="n">
        <v>651</v>
      </c>
      <c r="C41" s="16" t="inlineStr">
        <is>
          <t>Remboursement de frais</t>
        </is>
      </c>
      <c r="D41" s="686" t="n"/>
    </row>
    <row r="42" ht="24.9" customHeight="1">
      <c r="A42" s="10" t="inlineStr">
        <is>
          <t>M.II.R.C.652</t>
        </is>
      </c>
      <c r="B42" s="472" t="n">
        <v>652</v>
      </c>
      <c r="C42" s="16" t="inlineStr">
        <is>
          <t>Charges diverses</t>
        </is>
      </c>
      <c r="D42" s="686" t="n"/>
    </row>
    <row r="43" ht="24.9" customHeight="1">
      <c r="A43" s="10" t="inlineStr">
        <is>
          <t>M.II.R.C.653</t>
        </is>
      </c>
      <c r="B43" s="472" t="n">
        <v>653</v>
      </c>
      <c r="C43" s="16" t="inlineStr">
        <is>
          <t>Pertes sur portefeuille de crédit</t>
        </is>
      </c>
      <c r="D43" s="687" t="n"/>
    </row>
    <row r="44" ht="24.9" customHeight="1">
      <c r="A44" s="10" t="inlineStr">
        <is>
          <t>M.II.R.C.66</t>
        </is>
      </c>
      <c r="B44" s="476" t="n">
        <v>66</v>
      </c>
      <c r="C44" s="114" t="inlineStr">
        <is>
          <t>DOTATIONS AUX AMORTISSEMENTS ET PROVISIONS</t>
        </is>
      </c>
      <c r="D44" s="688">
        <f>SUM(D45+D46)</f>
        <v/>
      </c>
    </row>
    <row r="45" ht="24.9" customHeight="1">
      <c r="A45" s="10" t="inlineStr">
        <is>
          <t>M.II.R.C.661</t>
        </is>
      </c>
      <c r="B45" s="472" t="n">
        <v>661</v>
      </c>
      <c r="C45" s="16" t="inlineStr">
        <is>
          <t xml:space="preserve">Dotation aux amortissements </t>
        </is>
      </c>
      <c r="D45" s="686" t="n"/>
    </row>
    <row r="46" ht="24.9" customHeight="1">
      <c r="A46" s="10" t="inlineStr">
        <is>
          <t>M.II.R.C.662</t>
        </is>
      </c>
      <c r="B46" s="472" t="n">
        <v>662</v>
      </c>
      <c r="C46" s="16" t="inlineStr">
        <is>
          <t>Dotation aux provisions</t>
        </is>
      </c>
      <c r="D46" s="688">
        <f>D47+D48+D49+D50+D51</f>
        <v/>
      </c>
    </row>
    <row r="47" ht="24.9" customHeight="1">
      <c r="A47" s="10" t="inlineStr">
        <is>
          <t>M.II.R.C.6621</t>
        </is>
      </c>
      <c r="B47" s="472" t="n">
        <v>6621</v>
      </c>
      <c r="C47" s="16" t="inlineStr">
        <is>
          <t xml:space="preserve">Provisions sur créances impayées ( 211) </t>
        </is>
      </c>
      <c r="D47" s="687" t="n"/>
    </row>
    <row r="48" ht="24.9" customHeight="1">
      <c r="A48" s="10" t="inlineStr">
        <is>
          <t>M.II.R.C.6622</t>
        </is>
      </c>
      <c r="B48" s="472" t="n">
        <v>6622</v>
      </c>
      <c r="C48" s="16" t="inlineStr">
        <is>
          <t>Provisions sur créances restructurées ( 212)</t>
        </is>
      </c>
      <c r="D48" s="687" t="n"/>
    </row>
    <row r="49" ht="24.9" customHeight="1">
      <c r="A49" s="10" t="inlineStr">
        <is>
          <t>M.II.R.C.6623</t>
        </is>
      </c>
      <c r="B49" s="472" t="n">
        <v>6623</v>
      </c>
      <c r="C49" s="16" t="inlineStr">
        <is>
          <t>Provisions sur autres créances en souffrance ( 213)</t>
        </is>
      </c>
      <c r="D49" s="687" t="n"/>
    </row>
    <row r="50" ht="24.9" customHeight="1">
      <c r="A50" s="10" t="inlineStr">
        <is>
          <t>M.II.R.C.6624</t>
        </is>
      </c>
      <c r="B50" s="472" t="n">
        <v>6624</v>
      </c>
      <c r="C50" s="16" t="inlineStr">
        <is>
          <t>Provisiosns sur interêts échus, non payés (214)</t>
        </is>
      </c>
      <c r="D50" s="687" t="n"/>
    </row>
    <row r="51" ht="24.9" customHeight="1">
      <c r="A51" s="10" t="inlineStr">
        <is>
          <t>M.II.R.C.6625</t>
        </is>
      </c>
      <c r="B51" s="472" t="n">
        <v>6625</v>
      </c>
      <c r="C51" s="16" t="inlineStr">
        <is>
          <t>Autres Provisions</t>
        </is>
      </c>
      <c r="D51" s="687" t="n"/>
    </row>
    <row r="52" ht="24.9" customHeight="1">
      <c r="A52" s="10" t="inlineStr">
        <is>
          <t>M.II.R.C.67</t>
        </is>
      </c>
      <c r="B52" s="476" t="n">
        <v>67</v>
      </c>
      <c r="C52" s="115" t="inlineStr">
        <is>
          <t xml:space="preserve">CHARGES EXCEPTIONNELLES </t>
        </is>
      </c>
      <c r="D52" s="688">
        <f>SUM(D53:D54)</f>
        <v/>
      </c>
    </row>
    <row r="53" ht="24.9" customHeight="1">
      <c r="A53" s="10" t="inlineStr">
        <is>
          <t>M.II.R.C.671</t>
        </is>
      </c>
      <c r="B53" s="472" t="n">
        <v>671</v>
      </c>
      <c r="C53" s="16" t="inlineStr">
        <is>
          <t xml:space="preserve">Valeur comptable des éléments d'actif cédés </t>
        </is>
      </c>
      <c r="D53" s="686" t="n"/>
    </row>
    <row r="54" ht="24.9" customHeight="1">
      <c r="A54" s="10" t="inlineStr">
        <is>
          <t>M.II.R.C.672</t>
        </is>
      </c>
      <c r="B54" s="472" t="n">
        <v>672</v>
      </c>
      <c r="C54" s="16" t="inlineStr">
        <is>
          <t xml:space="preserve">Autres charges exceptionnelles </t>
        </is>
      </c>
      <c r="D54" s="686" t="n"/>
    </row>
    <row r="55" ht="24.9" customHeight="1">
      <c r="A55" s="10" t="inlineStr">
        <is>
          <t>M.II.R.C.68</t>
        </is>
      </c>
      <c r="B55" s="476" t="n">
        <v>68</v>
      </c>
      <c r="C55" s="115" t="inlineStr">
        <is>
          <t>Impôts sur bénéfice net fiscal ( IS - 25 % )</t>
        </is>
      </c>
      <c r="D55" s="686" t="n"/>
    </row>
    <row r="56" ht="24.9" customHeight="1">
      <c r="A56" s="19" t="inlineStr">
        <is>
          <t>M.II.R.C.591</t>
        </is>
      </c>
      <c r="B56" s="477" t="n">
        <v>591</v>
      </c>
      <c r="C56" s="431" t="inlineStr">
        <is>
          <t>EXCEDENT OU DEFICIT  avant impôt ( IS)</t>
        </is>
      </c>
      <c r="D56" s="690">
        <f>IF(D57&gt;0,(D61-D7+D55),0)</f>
        <v/>
      </c>
    </row>
    <row r="57" ht="24.9" customHeight="1">
      <c r="A57" s="19" t="inlineStr">
        <is>
          <t>M.II.R.C.592</t>
        </is>
      </c>
      <c r="B57" s="478" t="n">
        <v>592</v>
      </c>
      <c r="C57" s="432" t="inlineStr">
        <is>
          <t>EXCEDENT OU DEFICIT après IS ou crédit d'IS</t>
        </is>
      </c>
      <c r="D57" s="691">
        <f>IF(D61&gt;D7,D61-D7,0)</f>
        <v/>
      </c>
    </row>
    <row r="58" ht="24.9" customHeight="1">
      <c r="A58" s="97" t="inlineStr">
        <is>
          <t>M.II.R.C.TC</t>
        </is>
      </c>
      <c r="B58" s="479" t="n"/>
      <c r="C58" s="207" t="inlineStr">
        <is>
          <t>TOTAL CHARGES</t>
        </is>
      </c>
      <c r="D58" s="692">
        <f>D7+D57</f>
        <v/>
      </c>
    </row>
    <row r="59" ht="26.25" customHeight="1"/>
    <row r="60" ht="26.4" customHeight="1">
      <c r="A60" s="13" t="inlineStr">
        <is>
          <t>CODE</t>
        </is>
      </c>
      <c r="B60" s="468" t="inlineStr">
        <is>
          <t>N° compte</t>
        </is>
      </c>
      <c r="C60" s="15" t="inlineStr">
        <is>
          <t>PRODUITS</t>
        </is>
      </c>
      <c r="D60" s="15" t="inlineStr">
        <is>
          <t>Montant</t>
        </is>
      </c>
    </row>
    <row r="61" ht="24.75" customHeight="1">
      <c r="A61" s="217" t="inlineStr">
        <is>
          <t>M.II.R.P.7</t>
        </is>
      </c>
      <c r="B61" s="469" t="n">
        <v>7</v>
      </c>
      <c r="C61" s="239" t="inlineStr">
        <is>
          <t>OPERATIONS DE PRODUITS</t>
        </is>
      </c>
      <c r="D61" s="684">
        <f>D62+D73+D81+D88+D93+D98</f>
        <v/>
      </c>
    </row>
    <row r="62" ht="24.9" customHeight="1">
      <c r="A62" s="10" t="inlineStr">
        <is>
          <t>M.II.R.P.70</t>
        </is>
      </c>
      <c r="B62" s="473" t="n">
        <v>70</v>
      </c>
      <c r="C62" s="17" t="inlineStr">
        <is>
          <t xml:space="preserve">PRODUITS FINANCIERS LIES AU CREDIT ET PLACEMENTS </t>
        </is>
      </c>
      <c r="D62" s="688">
        <f>SUM(D63+D67+D70)</f>
        <v/>
      </c>
    </row>
    <row r="63" ht="24.9" customHeight="1">
      <c r="A63" s="10" t="inlineStr">
        <is>
          <t>M.II.R.P.701</t>
        </is>
      </c>
      <c r="B63" s="472" t="n">
        <v>701</v>
      </c>
      <c r="C63" s="16" t="inlineStr">
        <is>
          <t>Intérêts sur crédits à la clientèle (classe 2 )</t>
        </is>
      </c>
      <c r="D63" s="688">
        <f>D64+D65+D66</f>
        <v/>
      </c>
    </row>
    <row r="64" ht="24.9" customHeight="1">
      <c r="A64" s="10" t="inlineStr">
        <is>
          <t>M.II.R.P.7011</t>
        </is>
      </c>
      <c r="B64" s="472" t="n">
        <v>7011</v>
      </c>
      <c r="C64" s="16" t="inlineStr">
        <is>
          <t xml:space="preserve">Intérêts sur crédits à courts terme </t>
        </is>
      </c>
      <c r="D64" s="686" t="n"/>
    </row>
    <row r="65" ht="24.9" customHeight="1">
      <c r="A65" s="10" t="inlineStr">
        <is>
          <t>M.II.R.P.7012</t>
        </is>
      </c>
      <c r="B65" s="472" t="n">
        <v>7012</v>
      </c>
      <c r="C65" s="16" t="inlineStr">
        <is>
          <t>Intérêts sur crédits à moyen et long termes</t>
        </is>
      </c>
      <c r="D65" s="687" t="n"/>
    </row>
    <row r="66" ht="24.9" customHeight="1">
      <c r="A66" s="10" t="inlineStr">
        <is>
          <t>M.II.R.P.7015</t>
        </is>
      </c>
      <c r="B66" s="472" t="n">
        <v>7015</v>
      </c>
      <c r="C66" s="16" t="inlineStr">
        <is>
          <t>Autres intérêts</t>
        </is>
      </c>
      <c r="D66" s="687" t="n"/>
    </row>
    <row r="67" ht="24.9" customHeight="1">
      <c r="A67" s="10" t="inlineStr">
        <is>
          <t>M.II.R.P.702</t>
        </is>
      </c>
      <c r="B67" s="472" t="n">
        <v>702</v>
      </c>
      <c r="C67" s="16" t="inlineStr">
        <is>
          <t>Intérêts sur crédit au secteur financier</t>
        </is>
      </c>
      <c r="D67" s="688">
        <f>D68+D69</f>
        <v/>
      </c>
    </row>
    <row r="68" ht="24.9" customHeight="1">
      <c r="A68" s="10" t="inlineStr">
        <is>
          <t>M.II.R.P.7021</t>
        </is>
      </c>
      <c r="B68" s="472" t="n">
        <v>7021</v>
      </c>
      <c r="C68" s="16" t="inlineStr">
        <is>
          <t>Intérêts sur dépôts à vue ( secteur financier)</t>
        </is>
      </c>
      <c r="D68" s="687" t="n"/>
    </row>
    <row r="69" ht="24.9" customHeight="1">
      <c r="A69" s="10" t="inlineStr">
        <is>
          <t>M.II.R.P.7022</t>
        </is>
      </c>
      <c r="B69" s="472" t="n">
        <v>7022</v>
      </c>
      <c r="C69" s="16" t="inlineStr">
        <is>
          <t>Intérêts sur  dépôts à terme ( secteur financier)</t>
        </is>
      </c>
      <c r="D69" s="687" t="n"/>
    </row>
    <row r="70" ht="24.9" customHeight="1">
      <c r="A70" s="10" t="inlineStr">
        <is>
          <t>M.II.R.P.703</t>
        </is>
      </c>
      <c r="B70" s="472" t="n">
        <v>703</v>
      </c>
      <c r="C70" s="16" t="inlineStr">
        <is>
          <t xml:space="preserve">Produits financioers liés aux placements (de classe 1 / 4 ) </t>
        </is>
      </c>
      <c r="D70" s="688">
        <f>D71+D72</f>
        <v/>
      </c>
    </row>
    <row r="71" ht="24.9" customHeight="1">
      <c r="A71" s="10" t="inlineStr">
        <is>
          <t>M.II.R.P.7031</t>
        </is>
      </c>
      <c r="B71" s="472" t="n">
        <v>7031</v>
      </c>
      <c r="C71" s="16" t="inlineStr">
        <is>
          <t>Produits nets / cession des titres à court terme ou disponibles à la vente ( plus-value)</t>
        </is>
      </c>
      <c r="D71" s="687" t="n"/>
    </row>
    <row r="72" ht="24.9" customHeight="1">
      <c r="A72" s="10" t="inlineStr">
        <is>
          <t>M.II.R.P.7032</t>
        </is>
      </c>
      <c r="B72" s="472" t="n">
        <v>7032</v>
      </c>
      <c r="C72" s="16" t="inlineStr">
        <is>
          <t>Produits des immobilisations financières ( dividendes et plus-value entrant au compte de résultat)</t>
        </is>
      </c>
      <c r="D72" s="687" t="n"/>
    </row>
    <row r="73" ht="24.9" customHeight="1">
      <c r="A73" s="10" t="inlineStr">
        <is>
          <t>M.II.R.P.71</t>
        </is>
      </c>
      <c r="B73" s="473" t="n">
        <v>71</v>
      </c>
      <c r="C73" s="115" t="inlineStr">
        <is>
          <t>AUTRES PRODUITS FINANCIERS</t>
        </is>
      </c>
      <c r="D73" s="688">
        <f>SUM(D74:D80)</f>
        <v/>
      </c>
    </row>
    <row r="74" ht="24.9" customHeight="1">
      <c r="A74" s="10" t="inlineStr">
        <is>
          <t>M.II.R.P.711</t>
        </is>
      </c>
      <c r="B74" s="472" t="n">
        <v>711</v>
      </c>
      <c r="C74" s="16" t="inlineStr">
        <is>
          <t>Frais d'adhésions</t>
        </is>
      </c>
      <c r="D74" s="686" t="n"/>
    </row>
    <row r="75" ht="24.9" customHeight="1">
      <c r="A75" s="10" t="inlineStr">
        <is>
          <t>M.II.R.P.712</t>
        </is>
      </c>
      <c r="B75" s="472" t="n">
        <v>712</v>
      </c>
      <c r="C75" s="16" t="inlineStr">
        <is>
          <t>Frais de tenue de compte</t>
        </is>
      </c>
      <c r="D75" s="686" t="n"/>
    </row>
    <row r="76" ht="24.9" customHeight="1">
      <c r="A76" s="10" t="inlineStr">
        <is>
          <t>M.II.R.P.713</t>
        </is>
      </c>
      <c r="B76" s="472" t="n">
        <v>713</v>
      </c>
      <c r="C76" s="16" t="inlineStr">
        <is>
          <t>Frais de dépôt ou de retrait</t>
        </is>
      </c>
      <c r="D76" s="686" t="n"/>
    </row>
    <row r="77" ht="24.9" customHeight="1">
      <c r="A77" s="10" t="inlineStr">
        <is>
          <t>M.II.R.P.714</t>
        </is>
      </c>
      <c r="B77" s="472" t="n">
        <v>714</v>
      </c>
      <c r="C77" s="16" t="inlineStr">
        <is>
          <t>Frais de paiement ou de transfert</t>
        </is>
      </c>
      <c r="D77" s="686" t="n"/>
    </row>
    <row r="78" ht="24.9" customHeight="1">
      <c r="A78" s="10" t="inlineStr">
        <is>
          <t>M.II.R.P.715</t>
        </is>
      </c>
      <c r="B78" s="472" t="n">
        <v>715</v>
      </c>
      <c r="C78" s="16" t="inlineStr">
        <is>
          <t>Pénalités de retard</t>
        </is>
      </c>
      <c r="D78" s="686" t="n"/>
    </row>
    <row r="79" ht="24.9" customHeight="1">
      <c r="A79" s="10" t="inlineStr">
        <is>
          <t>M.II.R.P.716</t>
        </is>
      </c>
      <c r="B79" s="472" t="n">
        <v>716</v>
      </c>
      <c r="C79" s="16" t="inlineStr">
        <is>
          <t>Remplacement de carnet ou de carte de paiement</t>
        </is>
      </c>
      <c r="D79" s="686" t="n"/>
    </row>
    <row r="80" ht="24.9" customHeight="1">
      <c r="A80" s="10" t="inlineStr">
        <is>
          <t>M.II.R.P.717</t>
        </is>
      </c>
      <c r="B80" s="480" t="n">
        <v>717</v>
      </c>
      <c r="C80" s="428" t="inlineStr">
        <is>
          <t>Autres commissions</t>
        </is>
      </c>
      <c r="D80" s="687" t="n"/>
    </row>
    <row r="81" ht="24.9" customHeight="1">
      <c r="A81" s="10" t="inlineStr">
        <is>
          <t>M.II.R.P.72</t>
        </is>
      </c>
      <c r="B81" s="473" t="n">
        <v>72</v>
      </c>
      <c r="C81" s="17" t="inlineStr">
        <is>
          <t xml:space="preserve">PRODUITS LIES A DES COMPTES ET OPERATIONS DE MONNAIE ELECTRONIQUE (ME) </t>
        </is>
      </c>
      <c r="D81" s="688">
        <f>SUM(D82:D87)</f>
        <v/>
      </c>
    </row>
    <row r="82" ht="24.9" customHeight="1">
      <c r="A82" s="10" t="inlineStr">
        <is>
          <t>M.II.R.P.721</t>
        </is>
      </c>
      <c r="B82" s="472" t="n">
        <v>721</v>
      </c>
      <c r="C82" s="16" t="inlineStr">
        <is>
          <t xml:space="preserve">Frais d'ouverture de comptes ou d'adhésion </t>
        </is>
      </c>
      <c r="D82" s="686" t="n"/>
    </row>
    <row r="83" ht="24.9" customHeight="1">
      <c r="A83" s="10" t="inlineStr">
        <is>
          <t>M.II.R.P.722</t>
        </is>
      </c>
      <c r="B83" s="472" t="n">
        <v>722</v>
      </c>
      <c r="C83" s="16" t="inlineStr">
        <is>
          <t>Commission de paiement ( envoi / réception)</t>
        </is>
      </c>
      <c r="D83" s="686" t="n"/>
    </row>
    <row r="84" ht="24.9" customHeight="1">
      <c r="A84" s="10" t="inlineStr">
        <is>
          <t>M.II.R.P.723</t>
        </is>
      </c>
      <c r="B84" s="472" t="n">
        <v>723</v>
      </c>
      <c r="C84" s="16" t="inlineStr">
        <is>
          <t>Frais de chargement de compte de ME</t>
        </is>
      </c>
      <c r="D84" s="687" t="n"/>
    </row>
    <row r="85" ht="24.9" customHeight="1">
      <c r="A85" s="10" t="inlineStr">
        <is>
          <t>M.II.R.P.724</t>
        </is>
      </c>
      <c r="B85" s="472" t="n">
        <v>724</v>
      </c>
      <c r="C85" s="16" t="inlineStr">
        <is>
          <t>Frais de retrait de compte de ME</t>
        </is>
      </c>
      <c r="D85" s="687" t="n"/>
    </row>
    <row r="86" ht="24.9" customHeight="1">
      <c r="A86" s="10" t="inlineStr">
        <is>
          <t>M.II.R.P.725</t>
        </is>
      </c>
      <c r="B86" s="472" t="n">
        <v>725</v>
      </c>
      <c r="C86" s="16" t="inlineStr">
        <is>
          <t>Frais de clôture de compte de ME</t>
        </is>
      </c>
      <c r="D86" s="687" t="n"/>
    </row>
    <row r="87" ht="24.9" customHeight="1">
      <c r="A87" s="10" t="inlineStr">
        <is>
          <t>M.II.R.P.726</t>
        </is>
      </c>
      <c r="B87" s="472" t="n">
        <v>726</v>
      </c>
      <c r="C87" s="16" t="inlineStr">
        <is>
          <t>Autres frais liés à un service de ME</t>
        </is>
      </c>
      <c r="D87" s="687" t="n"/>
    </row>
    <row r="88" ht="24.9" customHeight="1">
      <c r="A88" s="10" t="inlineStr">
        <is>
          <t>M.II.R.P.73</t>
        </is>
      </c>
      <c r="B88" s="481" t="n">
        <v>73</v>
      </c>
      <c r="C88" s="114" t="inlineStr">
        <is>
          <t>AUTRES PRODUITS NON FINANCIERS</t>
        </is>
      </c>
      <c r="D88" s="688">
        <f>D89+D90+D91+D92</f>
        <v/>
      </c>
    </row>
    <row r="89" ht="24.9" customHeight="1">
      <c r="A89" s="10" t="inlineStr">
        <is>
          <t>M.II.R.P.731</t>
        </is>
      </c>
      <c r="B89" s="472" t="n">
        <v>731</v>
      </c>
      <c r="C89" s="16" t="inlineStr">
        <is>
          <t>Production immobilisée</t>
        </is>
      </c>
      <c r="D89" s="687" t="n"/>
    </row>
    <row r="90" ht="24.9" customHeight="1">
      <c r="A90" s="10" t="inlineStr">
        <is>
          <t>M.II.R.P.732</t>
        </is>
      </c>
      <c r="B90" s="472" t="n">
        <v>732</v>
      </c>
      <c r="C90" s="16" t="inlineStr">
        <is>
          <t>Produits divers</t>
        </is>
      </c>
      <c r="D90" s="687" t="n"/>
    </row>
    <row r="91" ht="24.9" customHeight="1">
      <c r="A91" s="10" t="inlineStr">
        <is>
          <t>M.II.R.P.733</t>
        </is>
      </c>
      <c r="B91" s="472" t="n">
        <v>733</v>
      </c>
      <c r="C91" s="16" t="inlineStr">
        <is>
          <t>Surplus de caisse</t>
        </is>
      </c>
      <c r="D91" s="687" t="n"/>
    </row>
    <row r="92" ht="24.9" customHeight="1">
      <c r="A92" s="10" t="inlineStr">
        <is>
          <t>M.II.R.P.734</t>
        </is>
      </c>
      <c r="B92" s="472" t="n">
        <v>734</v>
      </c>
      <c r="C92" s="16" t="inlineStr">
        <is>
          <t>Variation de Stock</t>
        </is>
      </c>
      <c r="D92" s="687" t="n"/>
    </row>
    <row r="93" ht="24.9" customHeight="1">
      <c r="A93" s="10" t="inlineStr">
        <is>
          <t>M.II.R.P.76</t>
        </is>
      </c>
      <c r="B93" s="471" t="n">
        <v>76</v>
      </c>
      <c r="C93" s="17" t="inlineStr">
        <is>
          <t>REPRISE SUR AMORTISSEMENTS ET PROVISIOSNS</t>
        </is>
      </c>
      <c r="D93" s="688">
        <f>D94+D95</f>
        <v/>
      </c>
    </row>
    <row r="94" ht="24.9" customHeight="1">
      <c r="A94" s="10" t="inlineStr">
        <is>
          <t>M.II.R.P.761</t>
        </is>
      </c>
      <c r="B94" s="472" t="n">
        <v>761</v>
      </c>
      <c r="C94" s="16" t="inlineStr">
        <is>
          <t xml:space="preserve">Reprise sur amortissements </t>
        </is>
      </c>
      <c r="D94" s="687" t="n"/>
    </row>
    <row r="95" ht="24.9" customHeight="1">
      <c r="A95" s="10" t="inlineStr">
        <is>
          <t>M.II.R.P.762</t>
        </is>
      </c>
      <c r="B95" s="472" t="n">
        <v>762</v>
      </c>
      <c r="C95" s="16" t="inlineStr">
        <is>
          <t>Reprise sur provisions</t>
        </is>
      </c>
      <c r="D95" s="688">
        <f>D96+D97</f>
        <v/>
      </c>
    </row>
    <row r="96" ht="24.9" customHeight="1">
      <c r="A96" s="10" t="inlineStr">
        <is>
          <t>M.II.R.P.7621</t>
        </is>
      </c>
      <c r="B96" s="472" t="n">
        <v>7621</v>
      </c>
      <c r="C96" s="16" t="inlineStr">
        <is>
          <t>Reprise sur provisions  sur portefeuille de créances en souffrrance</t>
        </is>
      </c>
      <c r="D96" s="687" t="n"/>
    </row>
    <row r="97" ht="24.9" customHeight="1">
      <c r="A97" s="10" t="inlineStr">
        <is>
          <t>M.II.R.P.7622</t>
        </is>
      </c>
      <c r="B97" s="472" t="n">
        <v>7622</v>
      </c>
      <c r="C97" s="16" t="inlineStr">
        <is>
          <t>Reprise sur autres provisions</t>
        </is>
      </c>
      <c r="D97" s="687" t="n"/>
    </row>
    <row r="98" ht="24.9" customHeight="1">
      <c r="A98" s="10" t="inlineStr">
        <is>
          <t>M.II.R.P.77</t>
        </is>
      </c>
      <c r="B98" s="473" t="n">
        <v>77</v>
      </c>
      <c r="C98" s="17" t="inlineStr">
        <is>
          <t>PRODUITS EXCEPTIONNELS</t>
        </is>
      </c>
      <c r="D98" s="688">
        <f>SUM(D99:D102)</f>
        <v/>
      </c>
    </row>
    <row r="99" ht="24.9" customHeight="1">
      <c r="A99" s="10" t="inlineStr">
        <is>
          <t>M.II.R.P.771</t>
        </is>
      </c>
      <c r="B99" s="472" t="n">
        <v>771</v>
      </c>
      <c r="C99" s="16" t="inlineStr">
        <is>
          <t>Produits de cession des éléments d'actif</t>
        </is>
      </c>
      <c r="D99" s="686" t="n"/>
    </row>
    <row r="100" ht="24.9" customHeight="1">
      <c r="A100" s="10" t="inlineStr">
        <is>
          <t>M.II.R.P.772</t>
        </is>
      </c>
      <c r="B100" s="472" t="n">
        <v>772</v>
      </c>
      <c r="C100" s="16" t="inlineStr">
        <is>
          <t>Quote part des subventions virées au compte de résultat</t>
        </is>
      </c>
      <c r="D100" s="686" t="n"/>
    </row>
    <row r="101" ht="24.9" customHeight="1">
      <c r="A101" s="10" t="inlineStr">
        <is>
          <t>M.II.R.P.773</t>
        </is>
      </c>
      <c r="B101" s="472" t="n">
        <v>773</v>
      </c>
      <c r="C101" s="16" t="inlineStr">
        <is>
          <t>Subventions d'exploitation</t>
        </is>
      </c>
      <c r="D101" s="686" t="n"/>
    </row>
    <row r="102" ht="24.9" customHeight="1">
      <c r="A102" s="10" t="inlineStr">
        <is>
          <t>M.II.R.P.774</t>
        </is>
      </c>
      <c r="B102" s="472" t="n">
        <v>774</v>
      </c>
      <c r="C102" s="16" t="inlineStr">
        <is>
          <t>Recouvrement de créances passées en pertes</t>
        </is>
      </c>
      <c r="D102" s="686" t="n"/>
    </row>
    <row r="103" ht="24.9" customHeight="1">
      <c r="A103" s="10" t="inlineStr">
        <is>
          <t>M.II.R.P.591</t>
        </is>
      </c>
      <c r="B103" s="482" t="n">
        <v>591</v>
      </c>
      <c r="C103" s="429" t="inlineStr">
        <is>
          <t>EXECEDENT OU DEFICIT avant impôt ( IS)</t>
        </is>
      </c>
      <c r="D103" s="692">
        <f>IF(D104&gt;0,(D7-D55-D61),0)</f>
        <v/>
      </c>
    </row>
    <row r="104" ht="24.9" customHeight="1">
      <c r="A104" s="10" t="inlineStr">
        <is>
          <t>M.II.R.P.592</t>
        </is>
      </c>
      <c r="B104" s="482" t="n">
        <v>592</v>
      </c>
      <c r="C104" s="430" t="inlineStr">
        <is>
          <t>EXECENT OU DEFICIT après IS ou crédit d'IS</t>
        </is>
      </c>
      <c r="D104" s="692">
        <f>IF(D7&gt;D61,D7-D61,0)</f>
        <v/>
      </c>
    </row>
    <row r="105" ht="27" customHeight="1">
      <c r="A105" s="10" t="inlineStr">
        <is>
          <t>M.II.R.P.TP</t>
        </is>
      </c>
      <c r="B105" s="483" t="n"/>
      <c r="C105" s="207" t="inlineStr">
        <is>
          <t>TOTAL PRODUITS</t>
        </is>
      </c>
      <c r="D105" s="692">
        <f>D104+D61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npAe3sRqPKF+mk6fDAxhQ==" formatRows="1" sort="1" spinCount="100000" hashValue="vHfeu7z/DuzIQk2k98sNIZ8QDIWqcfyXE+jSaJEUKOIZhu3KDxBYSy14dndlsjLRoJSzS1J7ofdikc2jBVoyYw=="/>
  <pageMargins left="0.7" right="0.7" top="0.75" bottom="0.75" header="0.3" footer="0.3"/>
  <pageSetup orientation="portrait" paperSize="9" scale="3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selection activeCell="D8" sqref="D8"/>
    </sheetView>
  </sheetViews>
  <sheetFormatPr baseColWidth="10" defaultColWidth="9.109375" defaultRowHeight="13.2"/>
  <cols>
    <col width="13" bestFit="1" customWidth="1" style="1" min="1" max="1"/>
    <col width="7.5546875" customWidth="1" style="1" min="2" max="2"/>
    <col width="54" customWidth="1" style="1" min="3" max="3"/>
    <col width="40.44140625" customWidth="1" style="1" min="4" max="4"/>
    <col width="18.88671875" customWidth="1" style="1" min="5" max="5"/>
    <col width="9.109375" customWidth="1" style="1" min="6" max="16384"/>
  </cols>
  <sheetData>
    <row r="1" ht="20.1" customHeight="1">
      <c r="B1" s="642" t="inlineStr">
        <is>
          <t>Nom de l'institution</t>
        </is>
      </c>
      <c r="C1" s="642" t="n"/>
      <c r="D1" s="524">
        <f>'M.0.INFO.G'!C1</f>
        <v/>
      </c>
      <c r="E1" s="526" t="n"/>
    </row>
    <row r="2" ht="20.1" customHeight="1">
      <c r="B2" s="642" t="inlineStr">
        <is>
          <t>Code de l'institution</t>
        </is>
      </c>
      <c r="C2" s="642" t="n"/>
      <c r="D2" s="524">
        <f>'M.0.INFO.G'!C2</f>
        <v/>
      </c>
      <c r="E2" s="526" t="n"/>
    </row>
    <row r="3" ht="20.1" customHeight="1">
      <c r="B3" s="642" t="inlineStr">
        <is>
          <t>Date des rapports</t>
        </is>
      </c>
      <c r="C3" s="642" t="n"/>
      <c r="D3" s="524">
        <f>'M.0.INFO.G'!C3</f>
        <v/>
      </c>
      <c r="E3" s="526" t="n"/>
    </row>
    <row r="4" ht="20.1" customHeight="1">
      <c r="B4" s="642" t="inlineStr">
        <is>
          <t xml:space="preserve">Rapport </t>
        </is>
      </c>
      <c r="C4" s="642" t="n"/>
      <c r="D4" s="18" t="inlineStr">
        <is>
          <t>M.III.ENGAGEMENT HORS BILAN</t>
        </is>
      </c>
      <c r="E4" s="526" t="n"/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N° compte</t>
        </is>
      </c>
      <c r="C6" s="15" t="inlineStr">
        <is>
          <t>LIBELLES</t>
        </is>
      </c>
      <c r="D6" s="15" t="inlineStr">
        <is>
          <t>Montant</t>
        </is>
      </c>
    </row>
    <row r="7" ht="29.25" customHeight="1">
      <c r="A7" s="10" t="inlineStr">
        <is>
          <t>M.III.HB.901</t>
        </is>
      </c>
      <c r="B7" s="114" t="n">
        <v>90</v>
      </c>
      <c r="C7" s="114" t="inlineStr">
        <is>
          <t>ENGAGEMENTS DONNES</t>
        </is>
      </c>
      <c r="D7" s="692" t="n">
        <v>4000000</v>
      </c>
    </row>
    <row r="8" ht="30" customHeight="1">
      <c r="A8" s="10" t="inlineStr">
        <is>
          <t>M.III.HB.9011</t>
        </is>
      </c>
      <c r="B8" s="16" t="n">
        <v>901</v>
      </c>
      <c r="C8" s="16" t="inlineStr">
        <is>
          <t xml:space="preserve"> Engagements de financement </t>
        </is>
      </c>
      <c r="D8" s="686" t="n">
        <v>1500000</v>
      </c>
    </row>
    <row r="9" ht="24.9" customHeight="1">
      <c r="A9" s="10" t="inlineStr">
        <is>
          <t>M.III.HB.9012</t>
        </is>
      </c>
      <c r="B9" s="16" t="n">
        <v>902</v>
      </c>
      <c r="C9" s="16" t="inlineStr">
        <is>
          <t>Engagements de garanties</t>
        </is>
      </c>
      <c r="D9" s="686" t="n">
        <v>2300000</v>
      </c>
    </row>
    <row r="10" ht="24.9" customHeight="1">
      <c r="A10" s="10" t="inlineStr">
        <is>
          <t>M.III.HB.902</t>
        </is>
      </c>
      <c r="B10" s="16" t="n">
        <v>909</v>
      </c>
      <c r="C10" s="16" t="inlineStr">
        <is>
          <t>Autres engagements donnés</t>
        </is>
      </c>
      <c r="D10" s="693" t="n">
        <v>200000</v>
      </c>
    </row>
    <row r="11" ht="24.9" customHeight="1">
      <c r="A11" s="10" t="inlineStr">
        <is>
          <t>M.III.HB.9021</t>
        </is>
      </c>
      <c r="B11" s="114" t="n">
        <v>91</v>
      </c>
      <c r="C11" s="114" t="inlineStr">
        <is>
          <t>ENGAGEMENTS RECUS</t>
        </is>
      </c>
      <c r="D11" s="692" t="n">
        <v>2050000</v>
      </c>
    </row>
    <row r="12" ht="24.9" customHeight="1">
      <c r="A12" s="10" t="inlineStr">
        <is>
          <t>M.III.HB.9022</t>
        </is>
      </c>
      <c r="B12" s="16" t="n">
        <v>911</v>
      </c>
      <c r="C12" s="16" t="inlineStr">
        <is>
          <t>Engagements de financement</t>
        </is>
      </c>
      <c r="D12" s="686" t="n">
        <v>900000</v>
      </c>
    </row>
    <row r="13" ht="24.9" customHeight="1">
      <c r="A13" s="10" t="inlineStr">
        <is>
          <t>M.III.HB.91</t>
        </is>
      </c>
      <c r="B13" s="16" t="n">
        <v>912</v>
      </c>
      <c r="C13" s="16" t="inlineStr">
        <is>
          <t>Engagements de garanties</t>
        </is>
      </c>
      <c r="D13" s="694" t="n">
        <v>1100000</v>
      </c>
    </row>
    <row r="14" ht="24.9" customHeight="1">
      <c r="A14" s="10" t="inlineStr">
        <is>
          <t>M.III.HB.911</t>
        </is>
      </c>
      <c r="B14" s="16" t="n">
        <v>919</v>
      </c>
      <c r="C14" s="16" t="inlineStr">
        <is>
          <t>Autres engagements reçus</t>
        </is>
      </c>
      <c r="D14" s="686" t="n">
        <v>50000</v>
      </c>
    </row>
    <row r="15" ht="24.9" customHeight="1">
      <c r="A15" s="10" t="inlineStr">
        <is>
          <t>M.III.HB.912</t>
        </is>
      </c>
      <c r="B15" s="115" t="n">
        <v>97</v>
      </c>
      <c r="C15" s="115" t="inlineStr">
        <is>
          <t>ENGAGEMENTS DE CREDIT-BAIL</t>
        </is>
      </c>
      <c r="D15" s="692" t="n">
        <v>2000000</v>
      </c>
    </row>
    <row r="16" ht="24.9" customHeight="1">
      <c r="A16" s="10" t="inlineStr">
        <is>
          <t>M.III.HB.97</t>
        </is>
      </c>
      <c r="B16" s="16" t="n">
        <v>971</v>
      </c>
      <c r="C16" s="16" t="inlineStr">
        <is>
          <t>Engagements de credit-bail mobilier</t>
        </is>
      </c>
      <c r="D16" s="694" t="n">
        <v>750000</v>
      </c>
    </row>
    <row r="17" ht="24.9" customHeight="1">
      <c r="A17" s="10" t="inlineStr">
        <is>
          <t>M.III.HB.971</t>
        </is>
      </c>
      <c r="B17" s="16" t="n">
        <v>972</v>
      </c>
      <c r="C17" s="16" t="inlineStr">
        <is>
          <t>Engagements de credit-bail immobilier</t>
        </is>
      </c>
      <c r="D17" s="686" t="n">
        <v>1250000</v>
      </c>
    </row>
    <row r="18" ht="24.9" customHeight="1">
      <c r="A18" s="20" t="inlineStr">
        <is>
          <t>M.III.HB.T</t>
        </is>
      </c>
      <c r="B18" s="30" t="n"/>
      <c r="C18" s="21" t="inlineStr">
        <is>
          <t>TOTAL GENERAL</t>
        </is>
      </c>
      <c r="D18" s="692" t="n">
        <v>8050000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0axohEZIhOddPNNT1zZGQ==" formatRows="1" sort="1" spinCount="100000" hashValue="mAK9XBBrfqWYEo8VsIg7dQ9TJ47BYKroQB6np2ydiS5K2uxZlraEY5hJcMG6VnWiuM+t4YcD0n9bz8SMHo8qKQ=="/>
  <pageMargins left="0.7" right="0.7" top="0.75" bottom="0.75" header="0.3" footer="0.3"/>
  <pageSetup orientation="portrait" paperSize="9" scale="78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topLeftCell="C1" zoomScale="98" zoomScaleNormal="98" workbookViewId="0">
      <selection activeCell="D8" sqref="D8"/>
    </sheetView>
  </sheetViews>
  <sheetFormatPr baseColWidth="10" defaultColWidth="9.109375" defaultRowHeight="13.2"/>
  <cols>
    <col width="11.88671875" customWidth="1" style="1" min="1" max="1"/>
    <col width="54" customWidth="1" style="1" min="2" max="2"/>
    <col width="39.88671875" customWidth="1" style="1" min="3" max="3"/>
    <col width="17.109375" customWidth="1" style="1" min="4" max="4"/>
    <col width="24.6640625" customWidth="1" style="1" min="5" max="5"/>
    <col width="12.33203125" customWidth="1" style="1" min="6" max="6"/>
    <col width="23.5546875" customWidth="1" style="1" min="7" max="7"/>
    <col width="12" bestFit="1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524">
        <f>'M.0.INFO.G'!C1</f>
        <v/>
      </c>
      <c r="D1" s="35" t="n"/>
    </row>
    <row r="2" ht="20.1" customHeight="1">
      <c r="B2" s="642" t="inlineStr">
        <is>
          <t>Code de l'institution</t>
        </is>
      </c>
      <c r="C2" s="524">
        <f>'M.0.INFO.G'!C2</f>
        <v/>
      </c>
      <c r="D2" s="35" t="n"/>
    </row>
    <row r="3" ht="20.1" customHeight="1">
      <c r="B3" s="642" t="inlineStr">
        <is>
          <t>Date des rapports</t>
        </is>
      </c>
      <c r="C3" s="580">
        <f>'M.0.INFO.G'!C3</f>
        <v/>
      </c>
      <c r="D3" s="35" t="n"/>
    </row>
    <row r="4" ht="20.1" customHeight="1">
      <c r="B4" s="642" t="inlineStr">
        <is>
          <t xml:space="preserve">Rapport </t>
        </is>
      </c>
      <c r="C4" s="36" t="inlineStr">
        <is>
          <t>M.IV.SITUATION DES IMPAYES SUR CREDIT</t>
        </is>
      </c>
      <c r="D4" s="35" t="n"/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ELEMENT</t>
        </is>
      </c>
      <c r="C6" s="15" t="inlineStr">
        <is>
          <t>Nombres de prêts</t>
        </is>
      </c>
      <c r="D6" s="15" t="inlineStr">
        <is>
          <t>%</t>
        </is>
      </c>
      <c r="E6" s="15" t="inlineStr">
        <is>
          <t>Capital restant dû</t>
        </is>
      </c>
      <c r="F6" s="15" t="inlineStr">
        <is>
          <t>%</t>
        </is>
      </c>
      <c r="G6" s="15" t="inlineStr">
        <is>
          <t>Montant des dépôts nantis ou en garantie</t>
        </is>
      </c>
      <c r="H6" s="41" t="inlineStr">
        <is>
          <t>% du capital couvert</t>
        </is>
      </c>
    </row>
    <row r="7" ht="29.25" customHeight="1">
      <c r="A7" s="34" t="inlineStr">
        <is>
          <t>M.IV.IMP.1</t>
        </is>
      </c>
      <c r="B7" s="178" t="inlineStr">
        <is>
          <t>A jour</t>
        </is>
      </c>
      <c r="C7" s="695" t="n"/>
      <c r="D7" s="43">
        <f>IF($C$14=0,0,C7/$C$14)</f>
        <v/>
      </c>
      <c r="E7" s="695" t="n"/>
      <c r="F7" s="43">
        <f>IF($E$14=0,0,E7/$E$14)</f>
        <v/>
      </c>
      <c r="G7" s="696" t="n"/>
      <c r="H7" s="42">
        <f>IF(E7=0,0,G7/E7)</f>
        <v/>
      </c>
    </row>
    <row r="8" ht="24.9" customHeight="1">
      <c r="A8" s="11" t="inlineStr">
        <is>
          <t>M.IV.IMP.2</t>
        </is>
      </c>
      <c r="B8" s="179" t="inlineStr">
        <is>
          <t>Retards de 1 à 29 jours</t>
        </is>
      </c>
      <c r="C8" s="666" t="n"/>
      <c r="D8" s="43">
        <f>IF($C$14=0,0,C8/$C$14)</f>
        <v/>
      </c>
      <c r="E8" s="666" t="n"/>
      <c r="F8" s="43">
        <f>IF($E$14=0,0,E8/$E$14)</f>
        <v/>
      </c>
      <c r="G8" s="697" t="n"/>
      <c r="H8" s="42">
        <f>IF(E8=0,0,G8/E8)</f>
        <v/>
      </c>
    </row>
    <row r="9" ht="24.9" customHeight="1">
      <c r="A9" s="11" t="inlineStr">
        <is>
          <t>M.IV.IMP.3</t>
        </is>
      </c>
      <c r="B9" s="256" t="inlineStr">
        <is>
          <t>Retards de 30 à 89 jours</t>
        </is>
      </c>
      <c r="C9" s="667" t="n"/>
      <c r="D9" s="43">
        <f>IF($C$14=0,0,C9/$C$14)</f>
        <v/>
      </c>
      <c r="E9" s="667" t="n"/>
      <c r="F9" s="43">
        <f>IF($E$14=0,0,E9/$E$14)</f>
        <v/>
      </c>
      <c r="G9" s="697" t="n"/>
      <c r="H9" s="42">
        <f>IF(E9=0,0,G9/E9)</f>
        <v/>
      </c>
    </row>
    <row r="10" ht="24.9" customHeight="1">
      <c r="A10" s="11" t="inlineStr">
        <is>
          <t>M.IV.IMP.4</t>
        </is>
      </c>
      <c r="B10" s="256" t="inlineStr">
        <is>
          <t>Retards de 90 à 179 jours</t>
        </is>
      </c>
      <c r="C10" s="666" t="n"/>
      <c r="D10" s="43">
        <f>IF($C$14=0,0,C10/$C$14)</f>
        <v/>
      </c>
      <c r="E10" s="666" t="n"/>
      <c r="F10" s="43">
        <f>IF($E$14=0,0,E10/$E$14)</f>
        <v/>
      </c>
      <c r="G10" s="697" t="n"/>
      <c r="H10" s="42">
        <f>IF(E10=0,0,G10/E10)</f>
        <v/>
      </c>
    </row>
    <row r="11" ht="24.9" customHeight="1">
      <c r="A11" s="11" t="inlineStr">
        <is>
          <t>M.IV.IMP.5</t>
        </is>
      </c>
      <c r="B11" s="256" t="inlineStr">
        <is>
          <t>Retards de 180 à 359 jours</t>
        </is>
      </c>
      <c r="C11" s="666" t="n"/>
      <c r="D11" s="43">
        <f>IF($C$14=0,0,C11/$C$14)</f>
        <v/>
      </c>
      <c r="E11" s="666" t="n"/>
      <c r="F11" s="43">
        <f>IF($E$14=0,0,E11/$E$14)</f>
        <v/>
      </c>
      <c r="G11" s="697" t="n"/>
      <c r="H11" s="42">
        <f>IF(E11=0,0,G11/E11)</f>
        <v/>
      </c>
    </row>
    <row r="12" ht="24.9" customHeight="1">
      <c r="A12" s="11" t="inlineStr">
        <is>
          <t>M.IV.IMP.6</t>
        </is>
      </c>
      <c r="B12" s="257" t="inlineStr">
        <is>
          <t>Retards de 360 à 719 jours</t>
        </is>
      </c>
      <c r="C12" s="698" t="n"/>
      <c r="D12" s="43">
        <f>IF($C$14=0,0,C12/$C$14)</f>
        <v/>
      </c>
      <c r="E12" s="698" t="n"/>
      <c r="F12" s="43">
        <f>IF($E$14=0,0,E12/$E$14)</f>
        <v/>
      </c>
      <c r="G12" s="699" t="n"/>
      <c r="H12" s="42">
        <f>IF(E12=0,0,G12/E12)</f>
        <v/>
      </c>
    </row>
    <row r="13" ht="24.9" customHeight="1">
      <c r="A13" s="11" t="inlineStr">
        <is>
          <t>M.IV.IMP.7</t>
        </is>
      </c>
      <c r="B13" s="258" t="inlineStr">
        <is>
          <t>Retards de plus de 720 jours</t>
        </is>
      </c>
      <c r="C13" s="700" t="n"/>
      <c r="D13" s="43">
        <f>IF($C$14=0,0,C13/$C$14)</f>
        <v/>
      </c>
      <c r="E13" s="700" t="n"/>
      <c r="F13" s="43">
        <f>IF($E$14=0,0,E13/$E$14)</f>
        <v/>
      </c>
      <c r="G13" s="701" t="n"/>
      <c r="H13" s="42">
        <f>IF(E13=0,0,G13/E13)</f>
        <v/>
      </c>
    </row>
    <row r="14" ht="24.9" customHeight="1">
      <c r="A14" s="11" t="inlineStr">
        <is>
          <t>M.IV.IMP.8</t>
        </is>
      </c>
      <c r="B14" s="259" t="inlineStr">
        <is>
          <t>Total de l'encours</t>
        </is>
      </c>
      <c r="C14" s="702">
        <f>C7+C8+C9+C10+C11+C12+C13</f>
        <v/>
      </c>
      <c r="D14" s="44">
        <f>IF($C$14=0,0,C14/$C$14)</f>
        <v/>
      </c>
      <c r="E14" s="702">
        <f>E7+E8+E9+E10+E11+E12+E13</f>
        <v/>
      </c>
      <c r="F14" s="44">
        <f>IF($E$14=0,0,E14/$E$14)</f>
        <v/>
      </c>
      <c r="G14" s="702">
        <f>G7+G8+G9+G10+G11+G12+G13</f>
        <v/>
      </c>
      <c r="H14" s="42">
        <f>IF(E14=0,0,G14/E14)</f>
        <v/>
      </c>
    </row>
    <row r="20" ht="24.9" customHeight="1">
      <c r="A20" s="40" t="inlineStr">
        <is>
          <t>CODE</t>
        </is>
      </c>
      <c r="B20" s="39" t="inlineStr">
        <is>
          <t>ELEMENT</t>
        </is>
      </c>
      <c r="C20" s="39" t="inlineStr">
        <is>
          <t>Capital restant dû</t>
        </is>
      </c>
      <c r="D20" s="39" t="inlineStr">
        <is>
          <t>%</t>
        </is>
      </c>
      <c r="E20" s="38" t="inlineStr">
        <is>
          <t>Norme</t>
        </is>
      </c>
    </row>
    <row r="21" ht="24.9" customHeight="1">
      <c r="A21" s="10" t="inlineStr">
        <is>
          <t>M.IV.IMP.9</t>
        </is>
      </c>
      <c r="B21" s="55" t="inlineStr">
        <is>
          <t>Retard de plus de 1 jour (PAR 1)</t>
        </is>
      </c>
      <c r="C21" s="703">
        <f>SUM(E8:E13)</f>
        <v/>
      </c>
      <c r="D21" s="43">
        <f>IF($E$14=0,0,C21/$E$14)</f>
        <v/>
      </c>
      <c r="E21" s="495" t="n">
        <v>0.1</v>
      </c>
    </row>
    <row r="22" ht="24.9" customHeight="1">
      <c r="A22" s="11" t="inlineStr">
        <is>
          <t>M.IV.IMP.10</t>
        </is>
      </c>
      <c r="B22" s="32" t="inlineStr">
        <is>
          <t>Retard de plus de 30 jours (PAR 30)</t>
        </is>
      </c>
      <c r="C22" s="704">
        <f>SUM(E9:E13)</f>
        <v/>
      </c>
      <c r="D22" s="43">
        <f>IF($E$14=0,0,C22/$E$14)</f>
        <v/>
      </c>
      <c r="E22" s="496" t="n">
        <v>0.05</v>
      </c>
    </row>
    <row r="23" ht="24.9" customHeight="1">
      <c r="A23" s="12" t="inlineStr">
        <is>
          <t>M.IV.IMP.11</t>
        </is>
      </c>
      <c r="B23" s="31" t="inlineStr">
        <is>
          <t>Rétards de plus de 90 jours (PAR 90)</t>
        </is>
      </c>
      <c r="C23" s="705">
        <f>SUM(E10:E13)</f>
        <v/>
      </c>
      <c r="D23" s="44">
        <f>IF($E$14=0,0,C23/$E$14)</f>
        <v/>
      </c>
      <c r="E23" s="497" t="n">
        <v>0.02</v>
      </c>
    </row>
    <row r="24" ht="24.9" customHeight="1">
      <c r="A24" s="97" t="n"/>
      <c r="B24" s="122" t="n"/>
      <c r="C24" s="706" t="n"/>
      <c r="D24" s="124" t="n"/>
      <c r="E24" s="706" t="n"/>
    </row>
    <row r="25">
      <c r="C25" s="89" t="n"/>
      <c r="D25" s="89" t="n"/>
      <c r="E25" s="8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K4dXSNIcoT/rKg3sZ3jIg==" formatRows="1" sort="1" spinCount="100000" hashValue="33bC/dbzYBNoFNJ2rgjdK/TMgPGk/gkw8rGdNG8ZhqrquaNW0HkeAyfO5Tp71HtUfFc+ALDv8X/evmBuunVlbg=="/>
  <pageMargins left="0.7" right="0.7" top="0.75" bottom="0.75" header="0.3" footer="0.3"/>
  <pageSetup orientation="portrait" paperSize="9" scale="44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topLeftCell="A5" workbookViewId="0">
      <selection activeCell="C7" sqref="C7"/>
    </sheetView>
  </sheetViews>
  <sheetFormatPr baseColWidth="10" defaultColWidth="9.109375" defaultRowHeight="13.2"/>
  <cols>
    <col width="11.88671875" customWidth="1" style="1" min="1" max="1"/>
    <col width="54" customWidth="1" style="1" min="2" max="2"/>
    <col width="41.109375" customWidth="1" style="1" min="3" max="3"/>
    <col width="9.109375" customWidth="1" style="1" min="4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</row>
    <row r="2" ht="20.1" customHeight="1">
      <c r="B2" s="642" t="inlineStr">
        <is>
          <t>Code de l'institution</t>
        </is>
      </c>
      <c r="C2" s="99">
        <f>'M.0.INFO.G'!C2</f>
        <v/>
      </c>
    </row>
    <row r="3" ht="20.1" customHeight="1">
      <c r="B3" s="642" t="inlineStr">
        <is>
          <t>Date des rapports</t>
        </is>
      </c>
      <c r="C3" s="99">
        <f>'M.0.INFO.G'!C3</f>
        <v/>
      </c>
    </row>
    <row r="4" ht="20.1" customHeight="1">
      <c r="B4" s="642" t="inlineStr">
        <is>
          <t xml:space="preserve">Rapport </t>
        </is>
      </c>
      <c r="C4" s="36" t="inlineStr">
        <is>
          <t>M.V.DONNES SUR LE PORTEFEUILLE CREDIT</t>
        </is>
      </c>
    </row>
    <row r="5" ht="26.25" customHeight="1"/>
    <row r="6" ht="30.75" customFormat="1" customHeight="1" s="14">
      <c r="A6" s="13" t="inlineStr">
        <is>
          <t>CODE</t>
        </is>
      </c>
      <c r="B6" s="15" t="inlineStr">
        <is>
          <t>ELEMENT</t>
        </is>
      </c>
      <c r="C6" s="15" t="inlineStr">
        <is>
          <t>Montant</t>
        </is>
      </c>
    </row>
    <row r="7" ht="29.25" customHeight="1">
      <c r="A7" s="34" t="inlineStr">
        <is>
          <t>M.V.PFC.1</t>
        </is>
      </c>
      <c r="B7" s="33" t="inlineStr">
        <is>
          <t>Valeur totale des prêts débloqués depuis le 1er janvier de l'année en cours</t>
        </is>
      </c>
      <c r="C7" s="686">
        <f>+M.XV.RECAP!D28</f>
        <v/>
      </c>
    </row>
    <row r="8" ht="24.9" customHeight="1">
      <c r="A8" s="11" t="inlineStr">
        <is>
          <t>M.V.PFC.2</t>
        </is>
      </c>
      <c r="B8" s="45" t="inlineStr">
        <is>
          <t>Nombre de crédits en cours</t>
        </is>
      </c>
      <c r="C8" s="690">
        <f>M.IV.IMPAYE!C14</f>
        <v/>
      </c>
    </row>
    <row r="9" ht="24.9" customHeight="1">
      <c r="A9" s="11" t="inlineStr">
        <is>
          <t>M.V.PFC.3</t>
        </is>
      </c>
      <c r="B9" s="45" t="inlineStr">
        <is>
          <t>Solde de crédits sains en cours</t>
        </is>
      </c>
      <c r="C9" s="690">
        <f>C10+C11+C12</f>
        <v/>
      </c>
    </row>
    <row r="10" ht="24.9" customHeight="1">
      <c r="A10" s="11" t="inlineStr">
        <is>
          <t>M.V.PFC.4</t>
        </is>
      </c>
      <c r="B10" s="45" t="inlineStr">
        <is>
          <t>Court terme :</t>
        </is>
      </c>
      <c r="C10" s="707">
        <f>+M.I.BILAN!D35</f>
        <v/>
      </c>
    </row>
    <row r="11" ht="24.9" customHeight="1">
      <c r="A11" s="11" t="inlineStr">
        <is>
          <t>M.V.PFC.5</t>
        </is>
      </c>
      <c r="B11" s="45" t="inlineStr">
        <is>
          <t>Moyen terme :</t>
        </is>
      </c>
      <c r="C11" s="707">
        <f>+M.I.BILAN!D38</f>
        <v/>
      </c>
    </row>
    <row r="12" ht="24.9" customHeight="1">
      <c r="A12" s="11" t="inlineStr">
        <is>
          <t>M.V.PFC.6</t>
        </is>
      </c>
      <c r="B12" s="45" t="inlineStr">
        <is>
          <t>Long terme :</t>
        </is>
      </c>
      <c r="C12" s="707">
        <f>+M.I.BILAN!D39</f>
        <v/>
      </c>
    </row>
    <row r="13" ht="29.25" customHeight="1">
      <c r="A13" s="11" t="inlineStr">
        <is>
          <t>M.V.PFC.7</t>
        </is>
      </c>
      <c r="B13" s="45" t="inlineStr">
        <is>
          <t>Solde  brut des crédits en souffrance de 30 jours et plus (en fin de période)</t>
        </is>
      </c>
      <c r="C13" s="707">
        <f>+M.I.BILAN!D41</f>
        <v/>
      </c>
    </row>
    <row r="14" ht="24.9" customHeight="1">
      <c r="A14" s="11" t="inlineStr">
        <is>
          <t>M.V.PFC.8</t>
        </is>
      </c>
      <c r="B14" s="45" t="inlineStr">
        <is>
          <t>Provisions</t>
        </is>
      </c>
      <c r="C14" s="707">
        <f>+M.I.BILAN!E41</f>
        <v/>
      </c>
    </row>
    <row r="15" ht="24.9" customHeight="1">
      <c r="A15" s="12" t="inlineStr">
        <is>
          <t>M.V.PFC.9</t>
        </is>
      </c>
      <c r="B15" s="37" t="inlineStr">
        <is>
          <t>Solde net des crédits en souffrance</t>
        </is>
      </c>
      <c r="C15" s="691">
        <f>+C13-C14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3QM2fanKAU1if//nu1zSA==" formatRows="1" sort="1" spinCount="100000" hashValue="BJs5szgZFzBLfjsZ0s5JGHorISupZtqM+C7iMMaSJBSEbnQ3hZMHqLmmccz+EzaCYQJe97JROZAA9JvJxavPnw=="/>
  <pageMargins left="0.7" right="0.7" top="0.75" bottom="0.75" header="0.3" footer="0.3"/>
  <pageSetup orientation="portrait" paperSize="9" scale="81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2"/>
  <sheetViews>
    <sheetView showGridLines="0" topLeftCell="F1" workbookViewId="0">
      <selection activeCell="I8" sqref="I8"/>
    </sheetView>
  </sheetViews>
  <sheetFormatPr baseColWidth="10" defaultColWidth="9.109375" defaultRowHeight="13.2"/>
  <cols>
    <col width="15.44140625" customWidth="1" style="1" min="1" max="1"/>
    <col width="31.44140625" customWidth="1" style="1" min="2" max="2"/>
    <col width="22" bestFit="1" customWidth="1" style="1" min="3" max="3"/>
    <col width="18.5546875" customWidth="1" style="444" min="4" max="4"/>
    <col width="35.109375" customWidth="1" style="501" min="5" max="5"/>
    <col width="32.109375" customWidth="1" style="501" min="6" max="6"/>
    <col width="36.21875" customWidth="1" style="501" min="7" max="7"/>
    <col width="32.88671875" customWidth="1" style="501" min="8" max="8"/>
    <col width="32.109375" customWidth="1" style="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  <c r="I1" s="1" t="inlineStr">
        <is>
          <t>s</t>
        </is>
      </c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M.VI.SITUATION DES CREDITS ACCORDES AUX DIRIGEANTS ET ADMINISTRATEURS (A)</t>
        </is>
      </c>
      <c r="D4" s="711" t="n"/>
      <c r="E4" s="711" t="n"/>
      <c r="F4" s="711" t="n"/>
      <c r="G4" s="712" t="n"/>
    </row>
    <row r="5" ht="26.25" customHeight="1"/>
    <row r="6" ht="40.5" customHeight="1">
      <c r="A6" s="260" t="inlineStr">
        <is>
          <t>N°.</t>
        </is>
      </c>
      <c r="B6" s="260" t="inlineStr">
        <is>
          <t xml:space="preserve">Nom et prénoms </t>
        </is>
      </c>
      <c r="C6" s="260" t="inlineStr">
        <is>
          <t>Fonction</t>
        </is>
      </c>
      <c r="D6" s="460" t="inlineStr">
        <is>
          <t>Date d'octroi</t>
        </is>
      </c>
      <c r="E6" s="502" t="inlineStr">
        <is>
          <t>Montant initial</t>
        </is>
      </c>
      <c r="F6" s="502" t="inlineStr">
        <is>
          <t>Solde</t>
        </is>
      </c>
      <c r="G6" s="502" t="inlineStr">
        <is>
          <t>Retard en capital</t>
        </is>
      </c>
      <c r="H6" s="502" t="inlineStr">
        <is>
          <t>Provision comptabilisée</t>
        </is>
      </c>
      <c r="I6" s="260" t="inlineStr">
        <is>
          <t>Garantie</t>
        </is>
      </c>
    </row>
    <row r="7" ht="24.9" customHeight="1">
      <c r="A7" s="261" t="n">
        <v>1</v>
      </c>
      <c r="B7" s="464" t="n"/>
      <c r="C7" s="464" t="n"/>
      <c r="D7" s="446" t="n"/>
      <c r="E7" s="505" t="n"/>
      <c r="F7" s="508" t="n"/>
      <c r="G7" s="508" t="n"/>
      <c r="H7" s="508" t="n"/>
      <c r="I7" s="466" t="n"/>
    </row>
    <row r="8" ht="24.9" customHeight="1">
      <c r="A8" s="261" t="n">
        <v>2</v>
      </c>
      <c r="B8" s="433" t="n"/>
      <c r="C8" s="433" t="n"/>
      <c r="D8" s="461" t="n"/>
      <c r="E8" s="506" t="n"/>
      <c r="F8" s="506" t="n"/>
      <c r="G8" s="506" t="n"/>
      <c r="H8" s="506" t="n"/>
      <c r="I8" s="466" t="n"/>
    </row>
    <row r="9" ht="24.9" customHeight="1">
      <c r="A9" s="261" t="n">
        <v>3</v>
      </c>
      <c r="B9" s="433" t="n"/>
      <c r="C9" s="433" t="n"/>
      <c r="D9" s="461" t="n"/>
      <c r="E9" s="506" t="n"/>
      <c r="F9" s="506" t="n"/>
      <c r="G9" s="506" t="n"/>
      <c r="H9" s="506" t="n"/>
      <c r="I9" s="467" t="n"/>
    </row>
    <row r="10" ht="24.9" customHeight="1">
      <c r="A10" s="261" t="n">
        <v>4</v>
      </c>
      <c r="B10" s="433" t="n"/>
      <c r="C10" s="433" t="n"/>
      <c r="D10" s="461" t="n"/>
      <c r="E10" s="506" t="n"/>
      <c r="F10" s="506" t="n"/>
      <c r="G10" s="506" t="n"/>
      <c r="H10" s="506" t="n"/>
      <c r="I10" s="467" t="n"/>
    </row>
    <row r="11" ht="24.9" customHeight="1">
      <c r="A11" s="261" t="n">
        <v>5</v>
      </c>
      <c r="B11" s="433" t="n"/>
      <c r="C11" s="433" t="n"/>
      <c r="D11" s="461" t="n"/>
      <c r="E11" s="506" t="n"/>
      <c r="F11" s="506" t="n"/>
      <c r="G11" s="506" t="n"/>
      <c r="H11" s="506" t="n"/>
      <c r="I11" s="467" t="n"/>
    </row>
    <row r="12" ht="24.9" customHeight="1">
      <c r="A12" s="261" t="n">
        <v>6</v>
      </c>
      <c r="B12" s="433" t="n"/>
      <c r="C12" s="433" t="n"/>
      <c r="D12" s="461" t="n"/>
      <c r="E12" s="506" t="n"/>
      <c r="F12" s="506" t="n"/>
      <c r="G12" s="506" t="n"/>
      <c r="H12" s="506" t="n"/>
      <c r="I12" s="467" t="n"/>
    </row>
    <row r="13" ht="24.9" customHeight="1">
      <c r="A13" s="261" t="n">
        <v>7</v>
      </c>
      <c r="B13" s="433" t="n"/>
      <c r="C13" s="433" t="n"/>
      <c r="D13" s="461" t="n"/>
      <c r="E13" s="506" t="n"/>
      <c r="F13" s="506" t="n"/>
      <c r="G13" s="506" t="n"/>
      <c r="H13" s="506" t="n"/>
      <c r="I13" s="466" t="n"/>
    </row>
    <row r="14" ht="24.9" customHeight="1">
      <c r="A14" s="261" t="n">
        <v>8</v>
      </c>
      <c r="B14" s="433" t="n"/>
      <c r="C14" s="433" t="n"/>
      <c r="D14" s="461" t="n"/>
      <c r="E14" s="506" t="n"/>
      <c r="F14" s="506" t="n"/>
      <c r="G14" s="506" t="n"/>
      <c r="H14" s="506" t="n"/>
      <c r="I14" s="467" t="n"/>
    </row>
    <row r="15" ht="24.9" customHeight="1">
      <c r="A15" s="261" t="n">
        <v>9</v>
      </c>
      <c r="B15" s="433" t="n"/>
      <c r="C15" s="433" t="n"/>
      <c r="D15" s="461" t="n"/>
      <c r="E15" s="506" t="n"/>
      <c r="F15" s="506" t="n"/>
      <c r="G15" s="506" t="n"/>
      <c r="H15" s="506" t="n"/>
      <c r="I15" s="467" t="n"/>
    </row>
    <row r="16" ht="24.9" customHeight="1">
      <c r="A16" s="261" t="n">
        <v>10</v>
      </c>
      <c r="B16" s="433" t="n"/>
      <c r="C16" s="433" t="n"/>
      <c r="D16" s="461" t="n"/>
      <c r="E16" s="506" t="n"/>
      <c r="F16" s="506" t="n"/>
      <c r="G16" s="506" t="n"/>
      <c r="H16" s="506" t="n"/>
      <c r="I16" s="466" t="n"/>
    </row>
    <row r="17" ht="24.9" customHeight="1">
      <c r="A17" s="261" t="n">
        <v>11</v>
      </c>
      <c r="B17" s="433" t="n"/>
      <c r="C17" s="433" t="n"/>
      <c r="D17" s="461" t="n"/>
      <c r="E17" s="506" t="n"/>
      <c r="F17" s="506" t="n"/>
      <c r="G17" s="506" t="n"/>
      <c r="H17" s="506" t="n"/>
      <c r="I17" s="467" t="n"/>
    </row>
    <row r="18" ht="24.9" customHeight="1">
      <c r="A18" s="261" t="n">
        <v>12</v>
      </c>
      <c r="B18" s="433" t="n"/>
      <c r="C18" s="433" t="n"/>
      <c r="D18" s="461" t="n"/>
      <c r="E18" s="506" t="n"/>
      <c r="F18" s="506" t="n"/>
      <c r="G18" s="506" t="n"/>
      <c r="H18" s="506" t="n"/>
      <c r="I18" s="466" t="n"/>
    </row>
    <row r="19" ht="24.9" customHeight="1">
      <c r="A19" s="261" t="n">
        <v>13</v>
      </c>
      <c r="B19" s="433" t="n"/>
      <c r="C19" s="433" t="n"/>
      <c r="D19" s="461" t="n"/>
      <c r="E19" s="506" t="n"/>
      <c r="F19" s="506" t="n"/>
      <c r="G19" s="506" t="n"/>
      <c r="H19" s="506" t="n"/>
      <c r="I19" s="466" t="n"/>
    </row>
    <row r="20" ht="24.9" customHeight="1">
      <c r="A20" s="261" t="n">
        <v>14</v>
      </c>
      <c r="B20" s="433" t="n"/>
      <c r="C20" s="433" t="n"/>
      <c r="D20" s="461" t="n"/>
      <c r="E20" s="506" t="n"/>
      <c r="F20" s="506" t="n"/>
      <c r="G20" s="506" t="n"/>
      <c r="H20" s="506" t="n"/>
      <c r="I20" s="467" t="n"/>
    </row>
    <row r="21" ht="24.9" customHeight="1">
      <c r="A21" s="261" t="n">
        <v>15</v>
      </c>
      <c r="B21" s="433" t="n"/>
      <c r="C21" s="433" t="n"/>
      <c r="D21" s="461" t="n"/>
      <c r="E21" s="506" t="n"/>
      <c r="F21" s="506" t="n"/>
      <c r="G21" s="506" t="n"/>
      <c r="H21" s="506" t="n"/>
      <c r="I21" s="466" t="n"/>
    </row>
    <row r="22" ht="24.9" customHeight="1">
      <c r="A22" s="261" t="n">
        <v>16</v>
      </c>
      <c r="B22" s="433" t="n"/>
      <c r="C22" s="433" t="n"/>
      <c r="D22" s="461" t="n"/>
      <c r="E22" s="506" t="n"/>
      <c r="F22" s="506" t="n"/>
      <c r="G22" s="506" t="n"/>
      <c r="H22" s="506" t="n"/>
      <c r="I22" s="467" t="n"/>
    </row>
    <row r="23" ht="24.9" customHeight="1">
      <c r="A23" s="261" t="n">
        <v>17</v>
      </c>
      <c r="B23" s="433" t="n"/>
      <c r="C23" s="433" t="n"/>
      <c r="D23" s="461" t="n"/>
      <c r="E23" s="506" t="n"/>
      <c r="F23" s="506" t="n"/>
      <c r="G23" s="506" t="n"/>
      <c r="H23" s="506" t="n"/>
      <c r="I23" s="467" t="n"/>
    </row>
    <row r="24" ht="24.9" customHeight="1">
      <c r="A24" s="261" t="n">
        <v>18</v>
      </c>
      <c r="B24" s="433" t="n"/>
      <c r="C24" s="433" t="n"/>
      <c r="D24" s="461" t="n"/>
      <c r="E24" s="506" t="n"/>
      <c r="F24" s="506" t="n"/>
      <c r="G24" s="506" t="n"/>
      <c r="H24" s="506" t="n"/>
      <c r="I24" s="467" t="n"/>
    </row>
    <row r="25" ht="24.9" customHeight="1">
      <c r="A25" s="261" t="n">
        <v>19</v>
      </c>
      <c r="B25" s="433" t="n"/>
      <c r="C25" s="433" t="n"/>
      <c r="D25" s="461" t="n"/>
      <c r="E25" s="506" t="n"/>
      <c r="F25" s="506" t="n"/>
      <c r="G25" s="506" t="n"/>
      <c r="H25" s="506" t="n"/>
      <c r="I25" s="466" t="n"/>
    </row>
    <row r="26" ht="24.9" customHeight="1">
      <c r="A26" s="261" t="n">
        <v>20</v>
      </c>
      <c r="B26" s="433" t="n"/>
      <c r="C26" s="433" t="n"/>
      <c r="D26" s="461" t="n"/>
      <c r="E26" s="506" t="n"/>
      <c r="F26" s="506" t="n"/>
      <c r="G26" s="506" t="n"/>
      <c r="H26" s="506" t="n"/>
      <c r="I26" s="466" t="n"/>
    </row>
    <row r="27" ht="24.9" customHeight="1">
      <c r="A27" s="261" t="n">
        <v>21</v>
      </c>
      <c r="B27" s="433" t="n"/>
      <c r="C27" s="433" t="n"/>
      <c r="D27" s="461" t="n"/>
      <c r="E27" s="506" t="n"/>
      <c r="F27" s="506" t="n"/>
      <c r="G27" s="506" t="n"/>
      <c r="H27" s="506" t="n"/>
      <c r="I27" s="466" t="n"/>
    </row>
    <row r="28" ht="24.9" customHeight="1">
      <c r="A28" s="261" t="n">
        <v>22</v>
      </c>
      <c r="B28" s="433" t="n"/>
      <c r="C28" s="433" t="n"/>
      <c r="D28" s="461" t="n"/>
      <c r="E28" s="506" t="n"/>
      <c r="F28" s="506" t="n"/>
      <c r="G28" s="506" t="n"/>
      <c r="H28" s="506" t="n"/>
      <c r="I28" s="466" t="n"/>
    </row>
    <row r="29" ht="24.9" customHeight="1">
      <c r="A29" s="261" t="n">
        <v>23</v>
      </c>
      <c r="B29" s="433" t="n"/>
      <c r="C29" s="433" t="n"/>
      <c r="D29" s="461" t="n"/>
      <c r="E29" s="506" t="n"/>
      <c r="F29" s="506" t="n"/>
      <c r="G29" s="506" t="n"/>
      <c r="H29" s="506" t="n"/>
      <c r="I29" s="466" t="n"/>
    </row>
    <row r="30" ht="24.9" customHeight="1">
      <c r="A30" s="261" t="n">
        <v>24</v>
      </c>
      <c r="B30" s="433" t="n"/>
      <c r="C30" s="433" t="n"/>
      <c r="D30" s="461" t="n"/>
      <c r="E30" s="506" t="n"/>
      <c r="F30" s="506" t="n"/>
      <c r="G30" s="506" t="n"/>
      <c r="H30" s="506" t="n"/>
      <c r="I30" s="467" t="n"/>
    </row>
    <row r="31" ht="24.9" customHeight="1">
      <c r="A31" s="261" t="n">
        <v>25</v>
      </c>
      <c r="B31" s="433" t="n"/>
      <c r="C31" s="433" t="n"/>
      <c r="D31" s="461" t="n"/>
      <c r="E31" s="506" t="n"/>
      <c r="F31" s="506" t="n"/>
      <c r="G31" s="506" t="n"/>
      <c r="H31" s="506" t="n"/>
      <c r="I31" s="466" t="n"/>
    </row>
    <row r="32" ht="24.9" customHeight="1">
      <c r="A32" s="261" t="n">
        <v>26</v>
      </c>
      <c r="B32" s="433" t="n"/>
      <c r="C32" s="433" t="n"/>
      <c r="D32" s="461" t="n"/>
      <c r="E32" s="506" t="n"/>
      <c r="F32" s="506" t="n"/>
      <c r="G32" s="506" t="n"/>
      <c r="H32" s="506" t="n"/>
      <c r="I32" s="466" t="n"/>
    </row>
    <row r="33" ht="24.9" customHeight="1">
      <c r="A33" s="261" t="n">
        <v>27</v>
      </c>
      <c r="B33" s="433" t="n"/>
      <c r="C33" s="433" t="n"/>
      <c r="D33" s="461" t="n"/>
      <c r="E33" s="506" t="n"/>
      <c r="F33" s="506" t="n"/>
      <c r="G33" s="506" t="n"/>
      <c r="H33" s="506" t="n"/>
      <c r="I33" s="466" t="n"/>
    </row>
    <row r="34" ht="24.9" customHeight="1">
      <c r="A34" s="261" t="n">
        <v>28</v>
      </c>
      <c r="B34" s="433" t="n"/>
      <c r="C34" s="433" t="n"/>
      <c r="D34" s="461" t="n"/>
      <c r="E34" s="506" t="n"/>
      <c r="F34" s="506" t="n"/>
      <c r="G34" s="506" t="n"/>
      <c r="H34" s="506" t="n"/>
      <c r="I34" s="466" t="n"/>
    </row>
    <row r="35" ht="24.9" customHeight="1">
      <c r="A35" s="261" t="n">
        <v>29</v>
      </c>
      <c r="B35" s="433" t="n"/>
      <c r="C35" s="433" t="n"/>
      <c r="D35" s="461" t="n"/>
      <c r="E35" s="506" t="n"/>
      <c r="F35" s="506" t="n"/>
      <c r="G35" s="506" t="n"/>
      <c r="H35" s="506" t="n"/>
      <c r="I35" s="466" t="n"/>
    </row>
    <row r="36" ht="24.9" customHeight="1">
      <c r="A36" s="261" t="n">
        <v>30</v>
      </c>
      <c r="B36" s="433" t="n"/>
      <c r="C36" s="433" t="n"/>
      <c r="D36" s="461" t="n"/>
      <c r="E36" s="506" t="n"/>
      <c r="F36" s="506" t="n"/>
      <c r="G36" s="506" t="n"/>
      <c r="H36" s="506" t="n"/>
      <c r="I36" s="466" t="n"/>
    </row>
    <row r="37" ht="24.9" customHeight="1">
      <c r="A37" s="261" t="n">
        <v>31</v>
      </c>
      <c r="B37" s="433" t="n"/>
      <c r="C37" s="433" t="n"/>
      <c r="D37" s="461" t="n"/>
      <c r="E37" s="506" t="n"/>
      <c r="F37" s="506" t="n"/>
      <c r="G37" s="506" t="n"/>
      <c r="H37" s="506" t="n"/>
      <c r="I37" s="467" t="n"/>
    </row>
    <row r="38" ht="24.9" customHeight="1">
      <c r="A38" s="261" t="n">
        <v>32</v>
      </c>
      <c r="B38" s="433" t="n"/>
      <c r="C38" s="433" t="n"/>
      <c r="D38" s="461" t="n"/>
      <c r="E38" s="506" t="n"/>
      <c r="F38" s="506" t="n"/>
      <c r="G38" s="506" t="n"/>
      <c r="H38" s="506" t="n"/>
      <c r="I38" s="467" t="n"/>
    </row>
    <row r="39" ht="24.9" customHeight="1">
      <c r="A39" s="261" t="n">
        <v>33</v>
      </c>
      <c r="B39" s="433" t="n"/>
      <c r="C39" s="433" t="n"/>
      <c r="D39" s="461" t="n"/>
      <c r="E39" s="506" t="n"/>
      <c r="F39" s="506" t="n"/>
      <c r="G39" s="506" t="n"/>
      <c r="H39" s="506" t="n"/>
      <c r="I39" s="466" t="n"/>
    </row>
    <row r="40" ht="24.9" customHeight="1">
      <c r="A40" s="261" t="n">
        <v>34</v>
      </c>
      <c r="B40" s="433" t="n"/>
      <c r="C40" s="433" t="n"/>
      <c r="D40" s="461" t="n"/>
      <c r="E40" s="506" t="n"/>
      <c r="F40" s="506" t="n"/>
      <c r="G40" s="506" t="n"/>
      <c r="H40" s="506" t="n"/>
      <c r="I40" s="467" t="n"/>
    </row>
    <row r="41" ht="24.9" customHeight="1">
      <c r="A41" s="261" t="n">
        <v>35</v>
      </c>
      <c r="B41" s="433" t="n"/>
      <c r="C41" s="433" t="n"/>
      <c r="D41" s="461" t="n"/>
      <c r="E41" s="506" t="n"/>
      <c r="F41" s="506" t="n"/>
      <c r="G41" s="506" t="n"/>
      <c r="H41" s="506" t="n"/>
      <c r="I41" s="467" t="n"/>
    </row>
    <row r="42" ht="24.9" customHeight="1">
      <c r="A42" s="261" t="n">
        <v>36</v>
      </c>
      <c r="B42" s="433" t="n"/>
      <c r="C42" s="433" t="n"/>
      <c r="D42" s="461" t="n"/>
      <c r="E42" s="506" t="n"/>
      <c r="F42" s="506" t="n"/>
      <c r="G42" s="506" t="n"/>
      <c r="H42" s="506" t="n"/>
      <c r="I42" s="467" t="n"/>
    </row>
    <row r="43" ht="24.9" customHeight="1">
      <c r="A43" s="261" t="n">
        <v>37</v>
      </c>
      <c r="B43" s="433" t="n"/>
      <c r="C43" s="433" t="n"/>
      <c r="D43" s="461" t="n"/>
      <c r="E43" s="506" t="n"/>
      <c r="F43" s="506" t="n"/>
      <c r="G43" s="506" t="n"/>
      <c r="H43" s="506" t="n"/>
      <c r="I43" s="467" t="n"/>
    </row>
    <row r="44" ht="24.9" customHeight="1">
      <c r="A44" s="261" t="n">
        <v>38</v>
      </c>
      <c r="B44" s="433" t="n"/>
      <c r="C44" s="433" t="n"/>
      <c r="D44" s="461" t="n"/>
      <c r="E44" s="506" t="n"/>
      <c r="F44" s="506" t="n"/>
      <c r="G44" s="506" t="n"/>
      <c r="H44" s="506" t="n"/>
      <c r="I44" s="466" t="n"/>
    </row>
    <row r="45" ht="24.9" customHeight="1">
      <c r="A45" s="261" t="n">
        <v>39</v>
      </c>
      <c r="B45" s="433" t="n"/>
      <c r="C45" s="433" t="n"/>
      <c r="D45" s="461" t="n"/>
      <c r="E45" s="506" t="n"/>
      <c r="F45" s="506" t="n"/>
      <c r="G45" s="506" t="n"/>
      <c r="H45" s="506" t="n"/>
      <c r="I45" s="467" t="n"/>
    </row>
    <row r="46" ht="24.9" customHeight="1">
      <c r="A46" s="261" t="n">
        <v>40</v>
      </c>
      <c r="B46" s="433" t="n"/>
      <c r="C46" s="433" t="n"/>
      <c r="D46" s="461" t="n"/>
      <c r="E46" s="506" t="n"/>
      <c r="F46" s="506" t="n"/>
      <c r="G46" s="506" t="n"/>
      <c r="H46" s="506" t="n"/>
      <c r="I46" s="466" t="n"/>
    </row>
    <row r="47" ht="24.9" customHeight="1">
      <c r="A47" s="261" t="n">
        <v>41</v>
      </c>
      <c r="B47" s="433" t="n"/>
      <c r="C47" s="433" t="n"/>
      <c r="D47" s="461" t="n"/>
      <c r="E47" s="506" t="n"/>
      <c r="F47" s="506" t="n"/>
      <c r="G47" s="506" t="n"/>
      <c r="H47" s="506" t="n"/>
      <c r="I47" s="467" t="n"/>
    </row>
    <row r="48" ht="24.9" customHeight="1">
      <c r="A48" s="261" t="n">
        <v>42</v>
      </c>
      <c r="B48" s="433" t="n"/>
      <c r="C48" s="433" t="n"/>
      <c r="D48" s="461" t="n"/>
      <c r="E48" s="506" t="n"/>
      <c r="F48" s="506" t="n"/>
      <c r="G48" s="506" t="n"/>
      <c r="H48" s="506" t="n"/>
      <c r="I48" s="467" t="n"/>
    </row>
    <row r="49" ht="24.9" customHeight="1">
      <c r="A49" s="261" t="n">
        <v>43</v>
      </c>
      <c r="B49" s="433" t="n"/>
      <c r="C49" s="433" t="n"/>
      <c r="D49" s="461" t="n"/>
      <c r="E49" s="506" t="n"/>
      <c r="F49" s="506" t="n"/>
      <c r="G49" s="506" t="n"/>
      <c r="H49" s="506" t="n"/>
      <c r="I49" s="467" t="n"/>
    </row>
    <row r="50" ht="24.9" customHeight="1">
      <c r="A50" s="261" t="n">
        <v>44</v>
      </c>
      <c r="B50" s="433" t="n"/>
      <c r="C50" s="433" t="n"/>
      <c r="D50" s="461" t="n"/>
      <c r="E50" s="506" t="n"/>
      <c r="F50" s="506" t="n"/>
      <c r="G50" s="506" t="n"/>
      <c r="H50" s="506" t="n"/>
      <c r="I50" s="467" t="n"/>
    </row>
    <row r="51" ht="24.9" customHeight="1">
      <c r="A51" s="261" t="n">
        <v>45</v>
      </c>
      <c r="B51" s="433" t="n"/>
      <c r="C51" s="433" t="n"/>
      <c r="D51" s="461" t="n"/>
      <c r="E51" s="506" t="n"/>
      <c r="F51" s="506" t="n"/>
      <c r="G51" s="506" t="n"/>
      <c r="H51" s="506" t="n"/>
      <c r="I51" s="467" t="n"/>
    </row>
    <row r="52" ht="24.9" customHeight="1">
      <c r="A52" s="261" t="n">
        <v>46</v>
      </c>
      <c r="B52" s="433" t="n"/>
      <c r="C52" s="433" t="n"/>
      <c r="D52" s="461" t="n"/>
      <c r="E52" s="506" t="n"/>
      <c r="F52" s="506" t="n"/>
      <c r="G52" s="506" t="n"/>
      <c r="H52" s="506" t="n"/>
      <c r="I52" s="467" t="n"/>
    </row>
    <row r="53" ht="24.9" customHeight="1">
      <c r="A53" s="261" t="n">
        <v>47</v>
      </c>
      <c r="B53" s="433" t="n"/>
      <c r="C53" s="433" t="n"/>
      <c r="D53" s="461" t="n"/>
      <c r="E53" s="506" t="n"/>
      <c r="F53" s="506" t="n"/>
      <c r="G53" s="506" t="n"/>
      <c r="H53" s="506" t="n"/>
      <c r="I53" s="467" t="n"/>
    </row>
    <row r="54" ht="24.9" customHeight="1">
      <c r="A54" s="261" t="n">
        <v>48</v>
      </c>
      <c r="B54" s="433" t="n"/>
      <c r="C54" s="433" t="n"/>
      <c r="D54" s="461" t="n"/>
      <c r="E54" s="506" t="n"/>
      <c r="F54" s="506" t="n"/>
      <c r="G54" s="506" t="n"/>
      <c r="H54" s="506" t="n"/>
      <c r="I54" s="467" t="n"/>
    </row>
    <row r="55" ht="24.9" customHeight="1">
      <c r="A55" s="261" t="n">
        <v>49</v>
      </c>
      <c r="B55" s="433" t="n"/>
      <c r="C55" s="433" t="n"/>
      <c r="D55" s="461" t="n"/>
      <c r="E55" s="506" t="n"/>
      <c r="F55" s="506" t="n"/>
      <c r="G55" s="506" t="n"/>
      <c r="H55" s="506" t="n"/>
      <c r="I55" s="466" t="n"/>
    </row>
    <row r="56" ht="24.9" customHeight="1">
      <c r="A56" s="261" t="n">
        <v>50</v>
      </c>
      <c r="B56" s="433" t="n"/>
      <c r="C56" s="433" t="n"/>
      <c r="D56" s="461" t="n"/>
      <c r="E56" s="506" t="n"/>
      <c r="F56" s="506" t="n"/>
      <c r="G56" s="506" t="n"/>
      <c r="H56" s="506" t="n"/>
      <c r="I56" s="466" t="n"/>
    </row>
    <row r="57" ht="24.9" customHeight="1">
      <c r="A57" s="261" t="n">
        <v>51</v>
      </c>
      <c r="B57" s="433" t="n"/>
      <c r="C57" s="433" t="n"/>
      <c r="D57" s="461" t="n"/>
      <c r="E57" s="506" t="n"/>
      <c r="F57" s="506" t="n"/>
      <c r="G57" s="506" t="n"/>
      <c r="H57" s="506" t="n"/>
      <c r="I57" s="466" t="n"/>
    </row>
    <row r="58" ht="24.9" customHeight="1">
      <c r="A58" s="261" t="n">
        <v>52</v>
      </c>
      <c r="B58" s="433" t="n"/>
      <c r="C58" s="433" t="n"/>
      <c r="D58" s="461" t="n"/>
      <c r="E58" s="506" t="n"/>
      <c r="F58" s="506" t="n"/>
      <c r="G58" s="506" t="n"/>
      <c r="H58" s="506" t="n"/>
      <c r="I58" s="467" t="n"/>
    </row>
    <row r="59" ht="24.9" customHeight="1">
      <c r="A59" s="261" t="n">
        <v>53</v>
      </c>
      <c r="B59" s="433" t="n"/>
      <c r="C59" s="433" t="n"/>
      <c r="D59" s="461" t="n"/>
      <c r="E59" s="506" t="n"/>
      <c r="F59" s="506" t="n"/>
      <c r="G59" s="506" t="n"/>
      <c r="H59" s="506" t="n"/>
      <c r="I59" s="466" t="n"/>
    </row>
    <row r="60" ht="24.9" customHeight="1">
      <c r="A60" s="261" t="n">
        <v>54</v>
      </c>
      <c r="B60" s="433" t="n"/>
      <c r="C60" s="433" t="n"/>
      <c r="D60" s="461" t="n"/>
      <c r="E60" s="506" t="n"/>
      <c r="F60" s="506" t="n"/>
      <c r="G60" s="506" t="n"/>
      <c r="H60" s="506" t="n"/>
      <c r="I60" s="466" t="n"/>
    </row>
    <row r="61" ht="24.9" customHeight="1">
      <c r="A61" s="261" t="n">
        <v>55</v>
      </c>
      <c r="B61" s="433" t="n"/>
      <c r="C61" s="433" t="n"/>
      <c r="D61" s="461" t="n"/>
      <c r="E61" s="506" t="n"/>
      <c r="F61" s="506" t="n"/>
      <c r="G61" s="506" t="n"/>
      <c r="H61" s="506" t="n"/>
      <c r="I61" s="466" t="n"/>
    </row>
    <row r="62" ht="24.9" customHeight="1">
      <c r="A62" s="261" t="n">
        <v>56</v>
      </c>
      <c r="B62" s="433" t="n"/>
      <c r="C62" s="433" t="n"/>
      <c r="D62" s="461" t="n"/>
      <c r="E62" s="506" t="n"/>
      <c r="F62" s="506" t="n"/>
      <c r="G62" s="506" t="n"/>
      <c r="H62" s="506" t="n"/>
      <c r="I62" s="466" t="n"/>
    </row>
    <row r="63" ht="24.9" customHeight="1">
      <c r="A63" s="261" t="n">
        <v>57</v>
      </c>
      <c r="B63" s="433" t="n"/>
      <c r="C63" s="433" t="n"/>
      <c r="D63" s="461" t="n"/>
      <c r="E63" s="506" t="n"/>
      <c r="F63" s="506" t="n"/>
      <c r="G63" s="506" t="n"/>
      <c r="H63" s="506" t="n"/>
      <c r="I63" s="466" t="n"/>
    </row>
    <row r="64" ht="24.9" customHeight="1">
      <c r="A64" s="261" t="n">
        <v>58</v>
      </c>
      <c r="B64" s="433" t="n"/>
      <c r="C64" s="433" t="n"/>
      <c r="D64" s="461" t="n"/>
      <c r="E64" s="506" t="n"/>
      <c r="F64" s="506" t="n"/>
      <c r="G64" s="506" t="n"/>
      <c r="H64" s="506" t="n"/>
      <c r="I64" s="467" t="n"/>
    </row>
    <row r="65" ht="24.9" customHeight="1">
      <c r="A65" s="261" t="n">
        <v>59</v>
      </c>
      <c r="B65" s="433" t="n"/>
      <c r="C65" s="433" t="n"/>
      <c r="D65" s="461" t="n"/>
      <c r="E65" s="506" t="n"/>
      <c r="F65" s="506" t="n"/>
      <c r="G65" s="506" t="n"/>
      <c r="H65" s="506" t="n"/>
      <c r="I65" s="467" t="n"/>
    </row>
    <row r="66" ht="24.9" customHeight="1">
      <c r="A66" s="261" t="n">
        <v>60</v>
      </c>
      <c r="B66" s="433" t="n"/>
      <c r="C66" s="433" t="n"/>
      <c r="D66" s="461" t="n"/>
      <c r="E66" s="506" t="n"/>
      <c r="F66" s="506" t="n"/>
      <c r="G66" s="506" t="n"/>
      <c r="H66" s="506" t="n"/>
      <c r="I66" s="466" t="n"/>
    </row>
    <row r="67" ht="24.9" customHeight="1">
      <c r="A67" s="261" t="n">
        <v>61</v>
      </c>
      <c r="B67" s="433" t="n"/>
      <c r="C67" s="433" t="n"/>
      <c r="D67" s="461" t="n"/>
      <c r="E67" s="506" t="n"/>
      <c r="F67" s="506" t="n"/>
      <c r="G67" s="506" t="n"/>
      <c r="H67" s="506" t="n"/>
      <c r="I67" s="466" t="n"/>
    </row>
    <row r="68" ht="24.9" customHeight="1">
      <c r="A68" s="261" t="n">
        <v>62</v>
      </c>
      <c r="B68" s="433" t="n"/>
      <c r="C68" s="433" t="n"/>
      <c r="D68" s="461" t="n"/>
      <c r="E68" s="506" t="n"/>
      <c r="F68" s="506" t="n"/>
      <c r="G68" s="506" t="n"/>
      <c r="H68" s="506" t="n"/>
      <c r="I68" s="467" t="n"/>
    </row>
    <row r="69" ht="24.9" customHeight="1">
      <c r="A69" s="261" t="n">
        <v>63</v>
      </c>
      <c r="B69" s="433" t="n"/>
      <c r="C69" s="433" t="n"/>
      <c r="D69" s="461" t="n"/>
      <c r="E69" s="506" t="n"/>
      <c r="F69" s="506" t="n"/>
      <c r="G69" s="506" t="n"/>
      <c r="H69" s="506" t="n"/>
      <c r="I69" s="467" t="n"/>
    </row>
    <row r="70" ht="24.9" customHeight="1">
      <c r="A70" s="261" t="n">
        <v>64</v>
      </c>
      <c r="B70" s="433" t="n"/>
      <c r="C70" s="433" t="n"/>
      <c r="D70" s="461" t="n"/>
      <c r="E70" s="506" t="n"/>
      <c r="F70" s="506" t="n"/>
      <c r="G70" s="506" t="n"/>
      <c r="H70" s="506" t="n"/>
      <c r="I70" s="467" t="n"/>
    </row>
    <row r="71" ht="24.9" customHeight="1">
      <c r="A71" s="261" t="n">
        <v>65</v>
      </c>
      <c r="B71" s="433" t="n"/>
      <c r="C71" s="433" t="n"/>
      <c r="D71" s="461" t="n"/>
      <c r="E71" s="506" t="n"/>
      <c r="F71" s="506" t="n"/>
      <c r="G71" s="506" t="n"/>
      <c r="H71" s="506" t="n"/>
      <c r="I71" s="467" t="n"/>
    </row>
    <row r="72" ht="24.9" customHeight="1">
      <c r="A72" s="261" t="n">
        <v>66</v>
      </c>
      <c r="B72" s="433" t="n"/>
      <c r="C72" s="433" t="n"/>
      <c r="D72" s="461" t="n"/>
      <c r="E72" s="506" t="n"/>
      <c r="F72" s="506" t="n"/>
      <c r="G72" s="506" t="n"/>
      <c r="H72" s="506" t="n"/>
      <c r="I72" s="467" t="n"/>
    </row>
    <row r="73" ht="24.9" customHeight="1">
      <c r="A73" s="261" t="n">
        <v>67</v>
      </c>
      <c r="B73" s="433" t="n"/>
      <c r="C73" s="433" t="n"/>
      <c r="D73" s="461" t="n"/>
      <c r="E73" s="506" t="n"/>
      <c r="F73" s="506" t="n"/>
      <c r="G73" s="506" t="n"/>
      <c r="H73" s="506" t="n"/>
      <c r="I73" s="467" t="n"/>
    </row>
    <row r="74" ht="24.9" customHeight="1">
      <c r="A74" s="261" t="n">
        <v>68</v>
      </c>
      <c r="B74" s="433" t="n"/>
      <c r="C74" s="433" t="n"/>
      <c r="D74" s="461" t="n"/>
      <c r="E74" s="506" t="n"/>
      <c r="F74" s="506" t="n"/>
      <c r="G74" s="506" t="n"/>
      <c r="H74" s="506" t="n"/>
      <c r="I74" s="466" t="n"/>
    </row>
    <row r="75" ht="24.9" customHeight="1">
      <c r="A75" s="261" t="n">
        <v>69</v>
      </c>
      <c r="B75" s="60" t="n"/>
      <c r="C75" s="60" t="n"/>
      <c r="D75" s="461" t="n"/>
      <c r="E75" s="507" t="n"/>
      <c r="F75" s="507" t="n"/>
      <c r="G75" s="507" t="n"/>
      <c r="H75" s="507" t="n"/>
      <c r="I75" s="462" t="n"/>
    </row>
    <row r="76" ht="24.9" customHeight="1">
      <c r="A76" s="261" t="n">
        <v>70</v>
      </c>
      <c r="B76" s="60" t="n"/>
      <c r="C76" s="60" t="n"/>
      <c r="D76" s="461" t="n"/>
      <c r="E76" s="507" t="n"/>
      <c r="F76" s="507" t="n"/>
      <c r="G76" s="507" t="n"/>
      <c r="H76" s="507" t="n"/>
      <c r="I76" s="462" t="n"/>
    </row>
    <row r="77" ht="24.9" customHeight="1">
      <c r="A77" s="261" t="n">
        <v>71</v>
      </c>
      <c r="B77" s="60" t="n"/>
      <c r="C77" s="60" t="n"/>
      <c r="D77" s="461" t="n"/>
      <c r="E77" s="507" t="n"/>
      <c r="F77" s="507" t="n"/>
      <c r="G77" s="507" t="n"/>
      <c r="H77" s="507" t="n"/>
      <c r="I77" s="462" t="n"/>
    </row>
    <row r="78" ht="24.9" customHeight="1">
      <c r="A78" s="261" t="n">
        <v>72</v>
      </c>
      <c r="B78" s="60" t="n"/>
      <c r="C78" s="60" t="n"/>
      <c r="D78" s="461" t="n"/>
      <c r="E78" s="507" t="n"/>
      <c r="F78" s="507" t="n"/>
      <c r="G78" s="507" t="n"/>
      <c r="H78" s="507" t="n"/>
      <c r="I78" s="462" t="n"/>
    </row>
    <row r="79" ht="24.9" customHeight="1">
      <c r="A79" s="261" t="n">
        <v>73</v>
      </c>
      <c r="B79" s="60" t="n"/>
      <c r="C79" s="60" t="n"/>
      <c r="D79" s="461" t="n"/>
      <c r="E79" s="507" t="n"/>
      <c r="F79" s="507" t="n"/>
      <c r="G79" s="507" t="n"/>
      <c r="H79" s="507" t="n"/>
      <c r="I79" s="462" t="n"/>
    </row>
    <row r="80" ht="24.9" customHeight="1">
      <c r="A80" s="261" t="n">
        <v>74</v>
      </c>
      <c r="B80" s="60" t="n"/>
      <c r="C80" s="60" t="n"/>
      <c r="D80" s="461" t="n"/>
      <c r="E80" s="507" t="n"/>
      <c r="F80" s="507" t="n"/>
      <c r="G80" s="507" t="n"/>
      <c r="H80" s="507" t="n"/>
      <c r="I80" s="462" t="n"/>
    </row>
    <row r="81" ht="24.9" customHeight="1">
      <c r="A81" s="261" t="n">
        <v>75</v>
      </c>
      <c r="B81" s="60" t="n"/>
      <c r="C81" s="60" t="n"/>
      <c r="D81" s="461" t="n"/>
      <c r="E81" s="507" t="n"/>
      <c r="F81" s="507" t="n"/>
      <c r="G81" s="507" t="n"/>
      <c r="H81" s="507" t="n"/>
      <c r="I81" s="462" t="n"/>
    </row>
    <row r="82" ht="24.9" customHeight="1">
      <c r="A82" s="261" t="n">
        <v>76</v>
      </c>
      <c r="B82" s="60" t="n"/>
      <c r="C82" s="60" t="n"/>
      <c r="D82" s="461" t="n"/>
      <c r="E82" s="507" t="n"/>
      <c r="F82" s="507" t="n"/>
      <c r="G82" s="507" t="n"/>
      <c r="H82" s="507" t="n"/>
      <c r="I82" s="462" t="n"/>
    </row>
    <row r="83" ht="24.9" customHeight="1">
      <c r="A83" s="261" t="n">
        <v>77</v>
      </c>
      <c r="B83" s="60" t="n"/>
      <c r="C83" s="60" t="n"/>
      <c r="D83" s="461" t="n"/>
      <c r="E83" s="507" t="n"/>
      <c r="F83" s="507" t="n"/>
      <c r="G83" s="507" t="n"/>
      <c r="H83" s="507" t="n"/>
      <c r="I83" s="462" t="n"/>
    </row>
    <row r="84" ht="24.9" customHeight="1">
      <c r="A84" s="261" t="n">
        <v>78</v>
      </c>
      <c r="B84" s="60" t="n"/>
      <c r="C84" s="60" t="n"/>
      <c r="D84" s="461" t="n"/>
      <c r="E84" s="507" t="n"/>
      <c r="F84" s="507" t="n"/>
      <c r="G84" s="507" t="n"/>
      <c r="H84" s="507" t="n"/>
      <c r="I84" s="462" t="n"/>
    </row>
    <row r="85" ht="24.9" customHeight="1">
      <c r="A85" s="261" t="n">
        <v>79</v>
      </c>
      <c r="B85" s="60" t="n"/>
      <c r="C85" s="60" t="n"/>
      <c r="D85" s="461" t="n"/>
      <c r="E85" s="507" t="n"/>
      <c r="F85" s="507" t="n"/>
      <c r="G85" s="507" t="n"/>
      <c r="H85" s="507" t="n"/>
      <c r="I85" s="462" t="n"/>
    </row>
    <row r="86" ht="24.9" customHeight="1">
      <c r="A86" s="261" t="n">
        <v>80</v>
      </c>
      <c r="B86" s="60" t="n"/>
      <c r="C86" s="60" t="n"/>
      <c r="D86" s="461" t="n"/>
      <c r="E86" s="507" t="n"/>
      <c r="F86" s="507" t="n"/>
      <c r="G86" s="507" t="n"/>
      <c r="H86" s="507" t="n"/>
      <c r="I86" s="462" t="n"/>
    </row>
    <row r="87" ht="24.9" customHeight="1">
      <c r="A87" s="261" t="n">
        <v>81</v>
      </c>
      <c r="B87" s="60" t="n"/>
      <c r="C87" s="60" t="n"/>
      <c r="D87" s="461" t="n"/>
      <c r="E87" s="507" t="n"/>
      <c r="F87" s="507" t="n"/>
      <c r="G87" s="507" t="n"/>
      <c r="H87" s="507" t="n"/>
      <c r="I87" s="462" t="n"/>
    </row>
    <row r="88" ht="24.9" customHeight="1">
      <c r="A88" s="261" t="n">
        <v>82</v>
      </c>
      <c r="B88" s="60" t="n"/>
      <c r="C88" s="60" t="n"/>
      <c r="D88" s="461" t="n"/>
      <c r="E88" s="507" t="n"/>
      <c r="F88" s="507" t="n"/>
      <c r="G88" s="507" t="n"/>
      <c r="H88" s="507" t="n"/>
      <c r="I88" s="462" t="n"/>
    </row>
    <row r="89" ht="24.9" customHeight="1">
      <c r="A89" s="261" t="n">
        <v>83</v>
      </c>
      <c r="B89" s="60" t="n"/>
      <c r="C89" s="60" t="n"/>
      <c r="D89" s="461" t="n"/>
      <c r="E89" s="507" t="n"/>
      <c r="F89" s="507" t="n"/>
      <c r="G89" s="507" t="n"/>
      <c r="H89" s="507" t="n"/>
      <c r="I89" s="462" t="n"/>
    </row>
    <row r="90" ht="24.9" customHeight="1">
      <c r="A90" s="261" t="n">
        <v>84</v>
      </c>
      <c r="B90" s="60" t="n"/>
      <c r="C90" s="60" t="n"/>
      <c r="D90" s="461" t="n"/>
      <c r="E90" s="507" t="n"/>
      <c r="F90" s="507" t="n"/>
      <c r="G90" s="507" t="n"/>
      <c r="H90" s="507" t="n"/>
      <c r="I90" s="462" t="n"/>
    </row>
    <row r="91" ht="24.9" customHeight="1">
      <c r="A91" s="261" t="n">
        <v>85</v>
      </c>
      <c r="B91" s="60" t="n"/>
      <c r="C91" s="60" t="n"/>
      <c r="D91" s="461" t="n"/>
      <c r="E91" s="507" t="n"/>
      <c r="F91" s="507" t="n"/>
      <c r="G91" s="507" t="n"/>
      <c r="H91" s="507" t="n"/>
      <c r="I91" s="462" t="n"/>
    </row>
    <row r="92" ht="24.9" customHeight="1">
      <c r="A92" s="261" t="n">
        <v>86</v>
      </c>
      <c r="B92" s="60" t="n"/>
      <c r="C92" s="60" t="n"/>
      <c r="D92" s="461" t="n"/>
      <c r="E92" s="507" t="n"/>
      <c r="F92" s="507" t="n"/>
      <c r="G92" s="507" t="n"/>
      <c r="H92" s="507" t="n"/>
      <c r="I92" s="462" t="n"/>
    </row>
    <row r="93" ht="24.9" customHeight="1">
      <c r="A93" s="261" t="n">
        <v>87</v>
      </c>
      <c r="B93" s="60" t="n"/>
      <c r="C93" s="60" t="n"/>
      <c r="D93" s="461" t="n"/>
      <c r="E93" s="507" t="n"/>
      <c r="F93" s="507" t="n"/>
      <c r="G93" s="507" t="n"/>
      <c r="H93" s="507" t="n"/>
      <c r="I93" s="462" t="n"/>
    </row>
    <row r="94" ht="24.9" customHeight="1">
      <c r="A94" s="261" t="n">
        <v>88</v>
      </c>
      <c r="B94" s="60" t="n"/>
      <c r="C94" s="60" t="n"/>
      <c r="D94" s="461" t="n"/>
      <c r="E94" s="507" t="n"/>
      <c r="F94" s="507" t="n"/>
      <c r="G94" s="507" t="n"/>
      <c r="H94" s="507" t="n"/>
      <c r="I94" s="462" t="n"/>
    </row>
    <row r="95" ht="24.9" customHeight="1">
      <c r="A95" s="261" t="n">
        <v>89</v>
      </c>
      <c r="B95" s="60" t="n"/>
      <c r="C95" s="60" t="n"/>
      <c r="D95" s="461" t="n"/>
      <c r="E95" s="507" t="n"/>
      <c r="F95" s="507" t="n"/>
      <c r="G95" s="507" t="n"/>
      <c r="H95" s="507" t="n"/>
      <c r="I95" s="462" t="n"/>
    </row>
    <row r="96" ht="24.9" customHeight="1">
      <c r="A96" s="261" t="n">
        <v>90</v>
      </c>
      <c r="B96" s="60" t="n"/>
      <c r="C96" s="60" t="n"/>
      <c r="D96" s="461" t="n"/>
      <c r="E96" s="507" t="n"/>
      <c r="F96" s="507" t="n"/>
      <c r="G96" s="507" t="n"/>
      <c r="H96" s="507" t="n"/>
      <c r="I96" s="462" t="n"/>
    </row>
    <row r="97" ht="24.9" customHeight="1">
      <c r="A97" s="261" t="n">
        <v>91</v>
      </c>
      <c r="B97" s="60" t="n"/>
      <c r="C97" s="60" t="n"/>
      <c r="D97" s="461" t="n"/>
      <c r="E97" s="507" t="n"/>
      <c r="F97" s="507" t="n"/>
      <c r="G97" s="507" t="n"/>
      <c r="H97" s="507" t="n"/>
      <c r="I97" s="462" t="n"/>
    </row>
    <row r="98" ht="24.9" customHeight="1">
      <c r="A98" s="261" t="n">
        <v>92</v>
      </c>
      <c r="B98" s="60" t="n"/>
      <c r="C98" s="60" t="n"/>
      <c r="D98" s="461" t="n"/>
      <c r="E98" s="507" t="n"/>
      <c r="F98" s="507" t="n"/>
      <c r="G98" s="507" t="n"/>
      <c r="H98" s="507" t="n"/>
      <c r="I98" s="462" t="n"/>
    </row>
    <row r="99" ht="24.9" customHeight="1">
      <c r="A99" s="261" t="n">
        <v>93</v>
      </c>
      <c r="B99" s="60" t="n"/>
      <c r="C99" s="60" t="n"/>
      <c r="D99" s="461" t="n"/>
      <c r="E99" s="507" t="n"/>
      <c r="F99" s="507" t="n"/>
      <c r="G99" s="507" t="n"/>
      <c r="H99" s="507" t="n"/>
      <c r="I99" s="462" t="n"/>
    </row>
    <row r="100" ht="24.9" customHeight="1">
      <c r="A100" s="261" t="n">
        <v>94</v>
      </c>
      <c r="B100" s="60" t="n"/>
      <c r="C100" s="60" t="n"/>
      <c r="D100" s="461" t="n"/>
      <c r="E100" s="507" t="n"/>
      <c r="F100" s="507" t="n"/>
      <c r="G100" s="507" t="n"/>
      <c r="H100" s="507" t="n"/>
      <c r="I100" s="462" t="n"/>
    </row>
    <row r="101" ht="24.9" customHeight="1">
      <c r="A101" s="261" t="n">
        <v>95</v>
      </c>
      <c r="B101" s="60" t="n"/>
      <c r="C101" s="60" t="n"/>
      <c r="D101" s="461" t="n"/>
      <c r="E101" s="507" t="n"/>
      <c r="F101" s="507" t="n"/>
      <c r="G101" s="507" t="n"/>
      <c r="H101" s="507" t="n"/>
      <c r="I101" s="462" t="n"/>
    </row>
    <row r="102" ht="24.9" customHeight="1">
      <c r="A102" s="261" t="n">
        <v>96</v>
      </c>
      <c r="B102" s="60" t="n"/>
      <c r="C102" s="60" t="n"/>
      <c r="D102" s="461" t="n"/>
      <c r="E102" s="507" t="n"/>
      <c r="F102" s="507" t="n"/>
      <c r="G102" s="507" t="n"/>
      <c r="H102" s="507" t="n"/>
      <c r="I102" s="462" t="n"/>
    </row>
    <row r="103" ht="24.9" customHeight="1">
      <c r="A103" s="261" t="n">
        <v>97</v>
      </c>
      <c r="B103" s="60" t="n"/>
      <c r="C103" s="60" t="n"/>
      <c r="D103" s="461" t="n"/>
      <c r="E103" s="507" t="n"/>
      <c r="F103" s="507" t="n"/>
      <c r="G103" s="507" t="n"/>
      <c r="H103" s="507" t="n"/>
      <c r="I103" s="462" t="n"/>
    </row>
    <row r="104" ht="24.9" customHeight="1">
      <c r="A104" s="261" t="n">
        <v>98</v>
      </c>
      <c r="B104" s="60" t="n"/>
      <c r="C104" s="60" t="n"/>
      <c r="D104" s="461" t="n"/>
      <c r="E104" s="507" t="n"/>
      <c r="F104" s="507" t="n"/>
      <c r="G104" s="507" t="n"/>
      <c r="H104" s="507" t="n"/>
      <c r="I104" s="462" t="n"/>
    </row>
    <row r="105" ht="24.9" customHeight="1">
      <c r="A105" s="261" t="n">
        <v>99</v>
      </c>
      <c r="B105" s="60" t="n"/>
      <c r="C105" s="60" t="n"/>
      <c r="D105" s="461" t="n"/>
      <c r="E105" s="507" t="n"/>
      <c r="F105" s="507" t="n"/>
      <c r="G105" s="507" t="n"/>
      <c r="H105" s="507" t="n"/>
      <c r="I105" s="462" t="n"/>
    </row>
    <row r="106" ht="24.9" customHeight="1">
      <c r="A106" s="261" t="n">
        <v>100</v>
      </c>
      <c r="B106" s="60" t="n"/>
      <c r="C106" s="60" t="n"/>
      <c r="D106" s="461" t="n"/>
      <c r="E106" s="507" t="n"/>
      <c r="F106" s="507" t="n"/>
      <c r="G106" s="507" t="n"/>
      <c r="H106" s="507" t="n"/>
      <c r="I106" s="462" t="n"/>
    </row>
    <row r="107" ht="24.9" customHeight="1">
      <c r="A107" s="261" t="n">
        <v>101</v>
      </c>
      <c r="B107" s="60" t="n"/>
      <c r="C107" s="60" t="n"/>
      <c r="D107" s="461" t="n"/>
      <c r="E107" s="507" t="n"/>
      <c r="F107" s="507" t="n"/>
      <c r="G107" s="507" t="n"/>
      <c r="H107" s="507" t="n"/>
      <c r="I107" s="462" t="n"/>
    </row>
    <row r="108" ht="24.9" customHeight="1">
      <c r="A108" s="261" t="n">
        <v>102</v>
      </c>
      <c r="B108" s="60" t="n"/>
      <c r="C108" s="60" t="n"/>
      <c r="D108" s="461" t="n"/>
      <c r="E108" s="507" t="n"/>
      <c r="F108" s="507" t="n"/>
      <c r="G108" s="507" t="n"/>
      <c r="H108" s="507" t="n"/>
      <c r="I108" s="462" t="n"/>
    </row>
    <row r="109" ht="24.9" customHeight="1">
      <c r="A109" s="261" t="n">
        <v>103</v>
      </c>
      <c r="B109" s="60" t="n"/>
      <c r="C109" s="60" t="n"/>
      <c r="D109" s="461" t="n"/>
      <c r="E109" s="507" t="n"/>
      <c r="F109" s="507" t="n"/>
      <c r="G109" s="507" t="n"/>
      <c r="H109" s="507" t="n"/>
      <c r="I109" s="462" t="n"/>
    </row>
    <row r="110" ht="24.9" customHeight="1">
      <c r="A110" s="261" t="n">
        <v>104</v>
      </c>
      <c r="B110" s="60" t="n"/>
      <c r="C110" s="60" t="n"/>
      <c r="D110" s="461" t="n"/>
      <c r="E110" s="507" t="n"/>
      <c r="F110" s="507" t="n"/>
      <c r="G110" s="507" t="n"/>
      <c r="H110" s="507" t="n"/>
      <c r="I110" s="462" t="n"/>
    </row>
    <row r="111" ht="24.9" customHeight="1">
      <c r="A111" s="261" t="n">
        <v>105</v>
      </c>
      <c r="B111" s="60" t="n"/>
      <c r="C111" s="60" t="n"/>
      <c r="D111" s="461" t="n"/>
      <c r="E111" s="507" t="n"/>
      <c r="F111" s="507" t="n"/>
      <c r="G111" s="507" t="n"/>
      <c r="H111" s="507" t="n"/>
      <c r="I111" s="462" t="n"/>
    </row>
    <row r="112" ht="24.9" customHeight="1">
      <c r="A112" s="261" t="n">
        <v>106</v>
      </c>
      <c r="B112" s="60" t="n"/>
      <c r="C112" s="60" t="n"/>
      <c r="D112" s="461" t="n"/>
      <c r="E112" s="507" t="n"/>
      <c r="F112" s="507" t="n"/>
      <c r="G112" s="507" t="n"/>
      <c r="H112" s="507" t="n"/>
      <c r="I112" s="462" t="n"/>
    </row>
    <row r="113" ht="24.9" customHeight="1">
      <c r="A113" s="261" t="n">
        <v>107</v>
      </c>
      <c r="B113" s="60" t="n"/>
      <c r="C113" s="60" t="n"/>
      <c r="D113" s="461" t="n"/>
      <c r="E113" s="507" t="n"/>
      <c r="F113" s="507" t="n"/>
      <c r="G113" s="507" t="n"/>
      <c r="H113" s="507" t="n"/>
      <c r="I113" s="462" t="n"/>
    </row>
    <row r="114" ht="24.9" customHeight="1">
      <c r="A114" s="261" t="n">
        <v>108</v>
      </c>
      <c r="B114" s="60" t="n"/>
      <c r="C114" s="60" t="n"/>
      <c r="D114" s="461" t="n"/>
      <c r="E114" s="507" t="n"/>
      <c r="F114" s="507" t="n"/>
      <c r="G114" s="507" t="n"/>
      <c r="H114" s="507" t="n"/>
      <c r="I114" s="462" t="n"/>
    </row>
    <row r="115" ht="24.9" customHeight="1">
      <c r="A115" s="261" t="n">
        <v>109</v>
      </c>
      <c r="B115" s="60" t="n"/>
      <c r="C115" s="60" t="n"/>
      <c r="D115" s="461" t="n"/>
      <c r="E115" s="507" t="n"/>
      <c r="F115" s="507" t="n"/>
      <c r="G115" s="507" t="n"/>
      <c r="H115" s="507" t="n"/>
      <c r="I115" s="462" t="n"/>
    </row>
    <row r="116" ht="24.9" customHeight="1">
      <c r="A116" s="261" t="n">
        <v>110</v>
      </c>
      <c r="B116" s="60" t="n"/>
      <c r="C116" s="60" t="n"/>
      <c r="D116" s="461" t="n"/>
      <c r="E116" s="507" t="n"/>
      <c r="F116" s="507" t="n"/>
      <c r="G116" s="507" t="n"/>
      <c r="H116" s="507" t="n"/>
      <c r="I116" s="462" t="n"/>
    </row>
    <row r="117" ht="24.9" customHeight="1">
      <c r="A117" s="261" t="n">
        <v>111</v>
      </c>
      <c r="B117" s="60" t="n"/>
      <c r="C117" s="60" t="n"/>
      <c r="D117" s="461" t="n"/>
      <c r="E117" s="507" t="n"/>
      <c r="F117" s="507" t="n"/>
      <c r="G117" s="507" t="n"/>
      <c r="H117" s="507" t="n"/>
      <c r="I117" s="462" t="n"/>
    </row>
    <row r="118" ht="24.9" customHeight="1">
      <c r="A118" s="261" t="n">
        <v>112</v>
      </c>
      <c r="B118" s="60" t="n"/>
      <c r="C118" s="60" t="n"/>
      <c r="D118" s="461" t="n"/>
      <c r="E118" s="507" t="n"/>
      <c r="F118" s="507" t="n"/>
      <c r="G118" s="507" t="n"/>
      <c r="H118" s="507" t="n"/>
      <c r="I118" s="462" t="n"/>
    </row>
    <row r="119" ht="24.9" customHeight="1">
      <c r="A119" s="261" t="n">
        <v>113</v>
      </c>
      <c r="B119" s="60" t="n"/>
      <c r="C119" s="60" t="n"/>
      <c r="D119" s="461" t="n"/>
      <c r="E119" s="507" t="n"/>
      <c r="F119" s="507" t="n"/>
      <c r="G119" s="507" t="n"/>
      <c r="H119" s="507" t="n"/>
      <c r="I119" s="462" t="n"/>
    </row>
    <row r="120" ht="24.9" customHeight="1">
      <c r="A120" s="261" t="n">
        <v>114</v>
      </c>
      <c r="B120" s="60" t="n"/>
      <c r="C120" s="60" t="n"/>
      <c r="D120" s="461" t="n"/>
      <c r="E120" s="507" t="n"/>
      <c r="F120" s="507" t="n"/>
      <c r="G120" s="507" t="n"/>
      <c r="H120" s="507" t="n"/>
      <c r="I120" s="462" t="n"/>
    </row>
    <row r="121" ht="24.9" customHeight="1">
      <c r="A121" s="261" t="n">
        <v>115</v>
      </c>
      <c r="B121" s="60" t="n"/>
      <c r="C121" s="60" t="n"/>
      <c r="D121" s="461" t="n"/>
      <c r="E121" s="507" t="n"/>
      <c r="F121" s="507" t="n"/>
      <c r="G121" s="507" t="n"/>
      <c r="H121" s="507" t="n"/>
      <c r="I121" s="462" t="n"/>
    </row>
    <row r="122" ht="24.9" customHeight="1">
      <c r="A122" s="261" t="n">
        <v>116</v>
      </c>
      <c r="B122" s="60" t="n"/>
      <c r="C122" s="60" t="n"/>
      <c r="D122" s="461" t="n"/>
      <c r="E122" s="507" t="n"/>
      <c r="F122" s="507" t="n"/>
      <c r="G122" s="507" t="n"/>
      <c r="H122" s="507" t="n"/>
      <c r="I122" s="462" t="n"/>
    </row>
    <row r="123" ht="24.9" customHeight="1">
      <c r="A123" s="261" t="n">
        <v>117</v>
      </c>
      <c r="B123" s="60" t="n"/>
      <c r="C123" s="60" t="n"/>
      <c r="D123" s="461" t="n"/>
      <c r="E123" s="507" t="n"/>
      <c r="F123" s="507" t="n"/>
      <c r="G123" s="507" t="n"/>
      <c r="H123" s="507" t="n"/>
      <c r="I123" s="462" t="n"/>
    </row>
    <row r="124" ht="24.9" customHeight="1">
      <c r="A124" s="261" t="n">
        <v>118</v>
      </c>
      <c r="B124" s="60" t="n"/>
      <c r="C124" s="60" t="n"/>
      <c r="D124" s="461" t="n"/>
      <c r="E124" s="507" t="n"/>
      <c r="F124" s="507" t="n"/>
      <c r="G124" s="507" t="n"/>
      <c r="H124" s="507" t="n"/>
      <c r="I124" s="462" t="n"/>
    </row>
    <row r="125" ht="24.9" customHeight="1">
      <c r="A125" s="261" t="n">
        <v>119</v>
      </c>
      <c r="B125" s="60" t="n"/>
      <c r="C125" s="60" t="n"/>
      <c r="D125" s="461" t="n"/>
      <c r="E125" s="507" t="n"/>
      <c r="F125" s="507" t="n"/>
      <c r="G125" s="507" t="n"/>
      <c r="H125" s="507" t="n"/>
      <c r="I125" s="462" t="n"/>
    </row>
    <row r="126" ht="24.9" customHeight="1">
      <c r="A126" s="261" t="n">
        <v>120</v>
      </c>
      <c r="B126" s="60" t="n"/>
      <c r="C126" s="60" t="n"/>
      <c r="D126" s="461" t="n"/>
      <c r="E126" s="507" t="n"/>
      <c r="F126" s="507" t="n"/>
      <c r="G126" s="507" t="n"/>
      <c r="H126" s="507" t="n"/>
      <c r="I126" s="462" t="n"/>
    </row>
    <row r="127" ht="24.9" customHeight="1">
      <c r="A127" s="261" t="n">
        <v>121</v>
      </c>
      <c r="B127" s="60" t="n"/>
      <c r="C127" s="60" t="n"/>
      <c r="D127" s="461" t="n"/>
      <c r="E127" s="507" t="n"/>
      <c r="F127" s="507" t="n"/>
      <c r="G127" s="507" t="n"/>
      <c r="H127" s="507" t="n"/>
      <c r="I127" s="462" t="n"/>
    </row>
    <row r="128" ht="24.9" customHeight="1">
      <c r="A128" s="261" t="n">
        <v>122</v>
      </c>
      <c r="B128" s="60" t="n"/>
      <c r="C128" s="60" t="n"/>
      <c r="D128" s="461" t="n"/>
      <c r="E128" s="507" t="n"/>
      <c r="F128" s="507" t="n"/>
      <c r="G128" s="507" t="n"/>
      <c r="H128" s="507" t="n"/>
      <c r="I128" s="462" t="n"/>
    </row>
    <row r="129" ht="24.9" customHeight="1">
      <c r="A129" s="261" t="n">
        <v>123</v>
      </c>
      <c r="B129" s="60" t="n"/>
      <c r="C129" s="60" t="n"/>
      <c r="D129" s="461" t="n"/>
      <c r="E129" s="507" t="n"/>
      <c r="F129" s="507" t="n"/>
      <c r="G129" s="507" t="n"/>
      <c r="H129" s="507" t="n"/>
      <c r="I129" s="462" t="n"/>
    </row>
    <row r="130" ht="24.9" customHeight="1">
      <c r="A130" s="261" t="n">
        <v>124</v>
      </c>
      <c r="B130" s="60" t="n"/>
      <c r="C130" s="60" t="n"/>
      <c r="D130" s="461" t="n"/>
      <c r="E130" s="507" t="n"/>
      <c r="F130" s="507" t="n"/>
      <c r="G130" s="507" t="n"/>
      <c r="H130" s="507" t="n"/>
      <c r="I130" s="462" t="n"/>
    </row>
    <row r="131" ht="24.9" customHeight="1">
      <c r="A131" s="261" t="n">
        <v>125</v>
      </c>
      <c r="B131" s="60" t="n"/>
      <c r="C131" s="60" t="n"/>
      <c r="D131" s="461" t="n"/>
      <c r="E131" s="507" t="n"/>
      <c r="F131" s="507" t="n"/>
      <c r="G131" s="507" t="n"/>
      <c r="H131" s="507" t="n"/>
      <c r="I131" s="462" t="n"/>
    </row>
    <row r="132" ht="24.9" customHeight="1">
      <c r="A132" s="261" t="n">
        <v>126</v>
      </c>
      <c r="B132" s="60" t="n"/>
      <c r="C132" s="60" t="n"/>
      <c r="D132" s="461" t="n"/>
      <c r="E132" s="507" t="n"/>
      <c r="F132" s="507" t="n"/>
      <c r="G132" s="507" t="n"/>
      <c r="H132" s="507" t="n"/>
      <c r="I132" s="462" t="n"/>
    </row>
    <row r="133" ht="24.9" customHeight="1">
      <c r="A133" s="261" t="n">
        <v>127</v>
      </c>
      <c r="B133" s="60" t="n"/>
      <c r="C133" s="60" t="n"/>
      <c r="D133" s="461" t="n"/>
      <c r="E133" s="507" t="n"/>
      <c r="F133" s="507" t="n"/>
      <c r="G133" s="507" t="n"/>
      <c r="H133" s="507" t="n"/>
      <c r="I133" s="462" t="n"/>
    </row>
    <row r="134" ht="24.9" customHeight="1">
      <c r="A134" s="261" t="n">
        <v>128</v>
      </c>
      <c r="B134" s="60" t="n"/>
      <c r="C134" s="60" t="n"/>
      <c r="D134" s="461" t="n"/>
      <c r="E134" s="507" t="n"/>
      <c r="F134" s="507" t="n"/>
      <c r="G134" s="507" t="n"/>
      <c r="H134" s="507" t="n"/>
      <c r="I134" s="462" t="n"/>
    </row>
    <row r="135" ht="24.9" customHeight="1">
      <c r="A135" s="261" t="n">
        <v>129</v>
      </c>
      <c r="B135" s="60" t="n"/>
      <c r="C135" s="60" t="n"/>
      <c r="D135" s="461" t="n"/>
      <c r="E135" s="507" t="n"/>
      <c r="F135" s="507" t="n"/>
      <c r="G135" s="507" t="n"/>
      <c r="H135" s="507" t="n"/>
      <c r="I135" s="462" t="n"/>
    </row>
    <row r="136" ht="24.9" customHeight="1">
      <c r="A136" s="261" t="n">
        <v>130</v>
      </c>
      <c r="B136" s="60" t="n"/>
      <c r="C136" s="60" t="n"/>
      <c r="D136" s="461" t="n"/>
      <c r="E136" s="507" t="n"/>
      <c r="F136" s="507" t="n"/>
      <c r="G136" s="507" t="n"/>
      <c r="H136" s="507" t="n"/>
      <c r="I136" s="462" t="n"/>
    </row>
    <row r="137" ht="24.9" customHeight="1">
      <c r="A137" s="261" t="n">
        <v>131</v>
      </c>
      <c r="B137" s="60" t="n"/>
      <c r="C137" s="60" t="n"/>
      <c r="D137" s="461" t="n"/>
      <c r="E137" s="507" t="n"/>
      <c r="F137" s="507" t="n"/>
      <c r="G137" s="507" t="n"/>
      <c r="H137" s="507" t="n"/>
      <c r="I137" s="462" t="n"/>
    </row>
    <row r="138" ht="24.9" customHeight="1">
      <c r="A138" s="261" t="n">
        <v>132</v>
      </c>
      <c r="B138" s="60" t="n"/>
      <c r="C138" s="60" t="n"/>
      <c r="D138" s="461" t="n"/>
      <c r="E138" s="507" t="n"/>
      <c r="F138" s="507" t="n"/>
      <c r="G138" s="507" t="n"/>
      <c r="H138" s="507" t="n"/>
      <c r="I138" s="462" t="n"/>
    </row>
    <row r="139" ht="24.9" customHeight="1">
      <c r="A139" s="261" t="n">
        <v>133</v>
      </c>
      <c r="B139" s="60" t="n"/>
      <c r="C139" s="60" t="n"/>
      <c r="D139" s="461" t="n"/>
      <c r="E139" s="507" t="n"/>
      <c r="F139" s="507" t="n"/>
      <c r="G139" s="507" t="n"/>
      <c r="H139" s="507" t="n"/>
      <c r="I139" s="462" t="n"/>
    </row>
    <row r="140" ht="24.9" customHeight="1">
      <c r="A140" s="261" t="n">
        <v>134</v>
      </c>
      <c r="B140" s="60" t="n"/>
      <c r="C140" s="60" t="n"/>
      <c r="D140" s="461" t="n"/>
      <c r="E140" s="507" t="n"/>
      <c r="F140" s="507" t="n"/>
      <c r="G140" s="507" t="n"/>
      <c r="H140" s="507" t="n"/>
      <c r="I140" s="462" t="n"/>
    </row>
    <row r="141" ht="24.9" customHeight="1">
      <c r="A141" s="261" t="n">
        <v>135</v>
      </c>
      <c r="B141" s="60" t="n"/>
      <c r="C141" s="60" t="n"/>
      <c r="D141" s="461" t="n"/>
      <c r="E141" s="507" t="n"/>
      <c r="F141" s="507" t="n"/>
      <c r="G141" s="507" t="n"/>
      <c r="H141" s="507" t="n"/>
      <c r="I141" s="462" t="n"/>
    </row>
    <row r="142" ht="24.9" customHeight="1">
      <c r="A142" s="261" t="n">
        <v>136</v>
      </c>
      <c r="B142" s="60" t="n"/>
      <c r="C142" s="60" t="n"/>
      <c r="D142" s="461" t="n"/>
      <c r="E142" s="507" t="n"/>
      <c r="F142" s="507" t="n"/>
      <c r="G142" s="507" t="n"/>
      <c r="H142" s="507" t="n"/>
      <c r="I142" s="462" t="n"/>
    </row>
    <row r="143" ht="24.9" customHeight="1">
      <c r="A143" s="261" t="n">
        <v>137</v>
      </c>
      <c r="B143" s="60" t="n"/>
      <c r="C143" s="60" t="n"/>
      <c r="D143" s="461" t="n"/>
      <c r="E143" s="507" t="n"/>
      <c r="F143" s="507" t="n"/>
      <c r="G143" s="507" t="n"/>
      <c r="H143" s="507" t="n"/>
      <c r="I143" s="462" t="n"/>
    </row>
    <row r="144" ht="24.9" customHeight="1">
      <c r="A144" s="261" t="n">
        <v>138</v>
      </c>
      <c r="B144" s="60" t="n"/>
      <c r="C144" s="60" t="n"/>
      <c r="D144" s="461" t="n"/>
      <c r="E144" s="507" t="n"/>
      <c r="F144" s="507" t="n"/>
      <c r="G144" s="507" t="n"/>
      <c r="H144" s="507" t="n"/>
      <c r="I144" s="462" t="n"/>
    </row>
    <row r="145" ht="24.9" customHeight="1">
      <c r="A145" s="261" t="n">
        <v>139</v>
      </c>
      <c r="B145" s="60" t="n"/>
      <c r="C145" s="60" t="n"/>
      <c r="D145" s="461" t="n"/>
      <c r="E145" s="507" t="n"/>
      <c r="F145" s="507" t="n"/>
      <c r="G145" s="507" t="n"/>
      <c r="H145" s="507" t="n"/>
      <c r="I145" s="462" t="n"/>
    </row>
    <row r="146" ht="24.9" customHeight="1">
      <c r="A146" s="261" t="n">
        <v>140</v>
      </c>
      <c r="B146" s="60" t="n"/>
      <c r="C146" s="60" t="n"/>
      <c r="D146" s="461" t="n"/>
      <c r="E146" s="507" t="n"/>
      <c r="F146" s="507" t="n"/>
      <c r="G146" s="507" t="n"/>
      <c r="H146" s="507" t="n"/>
      <c r="I146" s="462" t="n"/>
    </row>
    <row r="147" ht="24.9" customHeight="1">
      <c r="A147" s="261" t="n">
        <v>141</v>
      </c>
      <c r="B147" s="60" t="n"/>
      <c r="C147" s="60" t="n"/>
      <c r="D147" s="461" t="n"/>
      <c r="E147" s="507" t="n"/>
      <c r="F147" s="507" t="n"/>
      <c r="G147" s="507" t="n"/>
      <c r="H147" s="507" t="n"/>
      <c r="I147" s="462" t="n"/>
    </row>
    <row r="148" ht="24.9" customHeight="1">
      <c r="A148" s="261" t="n">
        <v>142</v>
      </c>
      <c r="B148" s="60" t="n"/>
      <c r="C148" s="60" t="n"/>
      <c r="D148" s="461" t="n"/>
      <c r="E148" s="507" t="n"/>
      <c r="F148" s="507" t="n"/>
      <c r="G148" s="507" t="n"/>
      <c r="H148" s="507" t="n"/>
      <c r="I148" s="462" t="n"/>
    </row>
    <row r="149" ht="24.9" customHeight="1">
      <c r="A149" s="261" t="n">
        <v>143</v>
      </c>
      <c r="B149" s="60" t="n"/>
      <c r="C149" s="60" t="n"/>
      <c r="D149" s="461" t="n"/>
      <c r="E149" s="507" t="n"/>
      <c r="F149" s="507" t="n"/>
      <c r="G149" s="507" t="n"/>
      <c r="H149" s="507" t="n"/>
      <c r="I149" s="462" t="n"/>
    </row>
    <row r="150" ht="24.9" customHeight="1">
      <c r="A150" s="261" t="n">
        <v>144</v>
      </c>
      <c r="B150" s="60" t="n"/>
      <c r="C150" s="60" t="n"/>
      <c r="D150" s="461" t="n"/>
      <c r="E150" s="507" t="n"/>
      <c r="F150" s="507" t="n"/>
      <c r="G150" s="507" t="n"/>
      <c r="H150" s="507" t="n"/>
      <c r="I150" s="462" t="n"/>
    </row>
    <row r="151" ht="24.9" customHeight="1">
      <c r="A151" s="262" t="n">
        <v>145</v>
      </c>
      <c r="B151" s="60" t="n"/>
      <c r="C151" s="60" t="n"/>
      <c r="D151" s="461" t="n"/>
      <c r="E151" s="507" t="n"/>
      <c r="F151" s="507" t="n"/>
      <c r="G151" s="507" t="n"/>
      <c r="H151" s="507" t="n"/>
      <c r="I151" s="462" t="n"/>
    </row>
    <row r="152" ht="24.9" customHeight="1">
      <c r="A152" s="263" t="inlineStr">
        <is>
          <t>Total</t>
        </is>
      </c>
      <c r="B152" s="675" t="inlineStr">
        <is>
          <t>N/A</t>
        </is>
      </c>
      <c r="C152" s="675" t="inlineStr">
        <is>
          <t>N/A</t>
        </is>
      </c>
      <c r="D152" s="447" t="inlineStr">
        <is>
          <t>-</t>
        </is>
      </c>
      <c r="E152" s="504">
        <f>SUM(E7:E151)</f>
        <v/>
      </c>
      <c r="F152" s="504">
        <f>SUM(F7:F151)</f>
        <v/>
      </c>
      <c r="G152" s="504">
        <f>SUM(G7:G151)</f>
        <v/>
      </c>
      <c r="H152" s="504">
        <f>SUM(H7:H151)</f>
        <v/>
      </c>
      <c r="I152" s="463">
        <f>SUM(I7:I151)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Z5VZwt7Ccq2rlgf6RPIKVQ==" formatRows="1" sort="1" spinCount="100000" hashValue="yDcbnH3wSYxOl/3061PhTcXrB8GSA3FLo/PgxsEs3Bh67Pcmo3bXZiOwOjB6TPcbG2yfCCVoTFClYLuB/IaZ1g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31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97"/>
  <sheetViews>
    <sheetView showGridLines="0" tabSelected="1" topLeftCell="A3" workbookViewId="0">
      <selection activeCell="C8" sqref="C8"/>
    </sheetView>
  </sheetViews>
  <sheetFormatPr baseColWidth="10" defaultColWidth="9.109375" defaultRowHeight="13.2"/>
  <cols>
    <col width="10.33203125" customWidth="1" style="1" min="1" max="1"/>
    <col width="34.88671875" customWidth="1" style="1" min="2" max="2"/>
    <col width="18.88671875" customWidth="1" style="656" min="3" max="3"/>
    <col width="38.109375" customWidth="1" style="501" min="4" max="4"/>
    <col width="37.109375" customWidth="1" style="501" min="5" max="5"/>
    <col width="32.21875" customWidth="1" style="501" min="6" max="6"/>
    <col width="32.88671875" customWidth="1" style="501" min="7" max="7"/>
    <col width="42.88671875" customWidth="1" style="1" min="8" max="8"/>
    <col width="12.88671875" customWidth="1" style="1" min="9" max="9"/>
    <col width="9.109375" customWidth="1" style="1" min="10" max="16384"/>
  </cols>
  <sheetData>
    <row r="1" ht="19.5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M.VII.SITUATION DES CREDITS ACCORDES AU PERSONNEL</t>
        </is>
      </c>
      <c r="D4" s="711" t="n"/>
      <c r="E4" s="711" t="n"/>
      <c r="F4" s="711" t="n"/>
      <c r="G4" s="712" t="n"/>
    </row>
    <row r="5" ht="26.25" customHeight="1"/>
    <row r="6" ht="40.5" customHeight="1">
      <c r="A6" s="100" t="inlineStr">
        <is>
          <t>N°.</t>
        </is>
      </c>
      <c r="B6" s="100" t="inlineStr">
        <is>
          <t>Nom et Prénoms</t>
        </is>
      </c>
      <c r="C6" s="657" t="inlineStr">
        <is>
          <t>Date originale</t>
        </is>
      </c>
      <c r="D6" s="502" t="inlineStr">
        <is>
          <t>Montant original</t>
        </is>
      </c>
      <c r="E6" s="516" t="inlineStr">
        <is>
          <t>Solde</t>
        </is>
      </c>
      <c r="F6" s="502" t="inlineStr">
        <is>
          <t>Retard en capital</t>
        </is>
      </c>
      <c r="G6" s="502" t="inlineStr">
        <is>
          <t>Provision comptabilisée</t>
        </is>
      </c>
      <c r="H6" s="100" t="inlineStr">
        <is>
          <t>Garantie</t>
        </is>
      </c>
    </row>
    <row r="7" ht="24.9" customHeight="1">
      <c r="A7" s="261" t="n">
        <v>1</v>
      </c>
      <c r="B7" s="59" t="n"/>
      <c r="C7" s="660" t="n"/>
      <c r="D7" s="515" t="n"/>
      <c r="E7" s="515" t="n"/>
      <c r="F7" s="503" t="n"/>
      <c r="G7" s="503" t="n"/>
      <c r="H7" s="666" t="n"/>
    </row>
    <row r="8" ht="24.9" customHeight="1">
      <c r="A8" s="261" t="n">
        <v>2</v>
      </c>
      <c r="B8" s="59" t="n"/>
      <c r="C8" s="660" t="n"/>
      <c r="D8" s="515" t="n"/>
      <c r="E8" s="515" t="n"/>
      <c r="F8" s="503" t="n"/>
      <c r="G8" s="503" t="n"/>
      <c r="H8" s="666" t="n"/>
    </row>
    <row r="9" ht="24.9" customHeight="1">
      <c r="A9" s="261" t="n">
        <v>3</v>
      </c>
      <c r="B9" s="59" t="n"/>
      <c r="C9" s="658" t="n"/>
      <c r="D9" s="515" t="n"/>
      <c r="E9" s="515" t="n"/>
      <c r="F9" s="503" t="n"/>
      <c r="G9" s="503" t="n"/>
      <c r="H9" s="666" t="n"/>
    </row>
    <row r="10" ht="24.9" customHeight="1">
      <c r="A10" s="261" t="n">
        <v>4</v>
      </c>
      <c r="B10" s="59" t="n"/>
      <c r="C10" s="658" t="n"/>
      <c r="D10" s="515" t="n"/>
      <c r="E10" s="515" t="n"/>
      <c r="F10" s="503" t="n"/>
      <c r="G10" s="503" t="n"/>
      <c r="H10" s="666" t="n"/>
    </row>
    <row r="11" ht="24.9" customHeight="1">
      <c r="A11" s="261" t="n">
        <v>5</v>
      </c>
      <c r="B11" s="59" t="n"/>
      <c r="C11" s="658" t="n"/>
      <c r="D11" s="515" t="n"/>
      <c r="E11" s="515" t="n"/>
      <c r="F11" s="503" t="n"/>
      <c r="G11" s="503" t="n"/>
      <c r="H11" s="666" t="n">
        <v>0</v>
      </c>
    </row>
    <row r="12" ht="24.9" customHeight="1">
      <c r="A12" s="261" t="n">
        <v>6</v>
      </c>
      <c r="B12" s="59" t="n"/>
      <c r="C12" s="658" t="n"/>
      <c r="D12" s="515" t="n"/>
      <c r="E12" s="515" t="n"/>
      <c r="F12" s="503" t="n"/>
      <c r="G12" s="503" t="n"/>
      <c r="H12" s="666" t="n">
        <v>0</v>
      </c>
    </row>
    <row r="13" ht="24.9" customHeight="1">
      <c r="A13" s="261" t="n">
        <v>7</v>
      </c>
      <c r="B13" s="59" t="n"/>
      <c r="C13" s="658" t="n"/>
      <c r="D13" s="515" t="n"/>
      <c r="E13" s="515" t="n"/>
      <c r="F13" s="503" t="n"/>
      <c r="G13" s="503" t="n"/>
      <c r="H13" s="666" t="n">
        <v>0</v>
      </c>
    </row>
    <row r="14" ht="24.9" customHeight="1">
      <c r="A14" s="261" t="n">
        <v>8</v>
      </c>
      <c r="B14" s="59" t="n"/>
      <c r="C14" s="658" t="n"/>
      <c r="D14" s="515" t="n"/>
      <c r="E14" s="515" t="n"/>
      <c r="F14" s="503" t="n"/>
      <c r="G14" s="503" t="n"/>
      <c r="H14" s="666" t="n"/>
    </row>
    <row r="15" ht="24.9" customHeight="1">
      <c r="A15" s="261" t="n">
        <v>9</v>
      </c>
      <c r="B15" s="59" t="n"/>
      <c r="C15" s="658" t="n"/>
      <c r="D15" s="515" t="n"/>
      <c r="E15" s="515" t="n"/>
      <c r="F15" s="503" t="n"/>
      <c r="G15" s="503" t="n"/>
      <c r="H15" s="666" t="n"/>
    </row>
    <row r="16" ht="24.9" customHeight="1">
      <c r="A16" s="261" t="n">
        <v>10</v>
      </c>
      <c r="B16" s="59" t="n"/>
      <c r="C16" s="658" t="n"/>
      <c r="D16" s="515" t="n"/>
      <c r="E16" s="515" t="n"/>
      <c r="F16" s="503" t="n"/>
      <c r="G16" s="503" t="n"/>
      <c r="H16" s="666" t="n"/>
    </row>
    <row r="17" ht="24.9" customHeight="1">
      <c r="A17" s="261" t="n">
        <v>11</v>
      </c>
      <c r="B17" s="59" t="n"/>
      <c r="C17" s="658" t="n"/>
      <c r="D17" s="515" t="n"/>
      <c r="E17" s="515" t="n"/>
      <c r="F17" s="503" t="n"/>
      <c r="G17" s="503" t="n"/>
      <c r="H17" s="666" t="n"/>
    </row>
    <row r="18" ht="24.9" customHeight="1">
      <c r="A18" s="261" t="n">
        <v>12</v>
      </c>
      <c r="B18" s="59" t="n"/>
      <c r="C18" s="658" t="n"/>
      <c r="D18" s="515" t="n"/>
      <c r="E18" s="515" t="n"/>
      <c r="F18" s="503" t="n"/>
      <c r="G18" s="503" t="n"/>
      <c r="H18" s="666" t="n"/>
    </row>
    <row r="19" ht="24.9" customHeight="1">
      <c r="A19" s="261" t="n">
        <v>13</v>
      </c>
      <c r="B19" s="59" t="n"/>
      <c r="C19" s="658" t="n"/>
      <c r="D19" s="515" t="n"/>
      <c r="E19" s="515" t="n"/>
      <c r="F19" s="503" t="n"/>
      <c r="G19" s="503" t="n"/>
      <c r="H19" s="666" t="n"/>
    </row>
    <row r="20" ht="24.9" customHeight="1">
      <c r="A20" s="261" t="n">
        <v>14</v>
      </c>
      <c r="B20" s="59" t="n"/>
      <c r="C20" s="658" t="n"/>
      <c r="D20" s="515" t="n"/>
      <c r="E20" s="515" t="n"/>
      <c r="F20" s="503" t="n"/>
      <c r="G20" s="503" t="n"/>
      <c r="H20" s="666" t="n"/>
    </row>
    <row r="21" ht="24.9" customHeight="1">
      <c r="A21" s="261" t="n">
        <v>15</v>
      </c>
      <c r="B21" s="59" t="n"/>
      <c r="C21" s="658" t="n"/>
      <c r="D21" s="515" t="n"/>
      <c r="E21" s="515" t="n"/>
      <c r="F21" s="503" t="n"/>
      <c r="G21" s="503" t="n"/>
      <c r="H21" s="666" t="n"/>
    </row>
    <row r="22" ht="24.9" customHeight="1">
      <c r="A22" s="261" t="n">
        <v>16</v>
      </c>
      <c r="B22" s="59" t="n"/>
      <c r="C22" s="658" t="n"/>
      <c r="D22" s="515" t="n"/>
      <c r="E22" s="515" t="n"/>
      <c r="F22" s="503" t="n"/>
      <c r="G22" s="503" t="n"/>
      <c r="H22" s="666" t="n"/>
    </row>
    <row r="23" ht="24.9" customHeight="1">
      <c r="A23" s="261" t="n">
        <v>17</v>
      </c>
      <c r="B23" s="59" t="n"/>
      <c r="C23" s="658" t="n"/>
      <c r="D23" s="515" t="n"/>
      <c r="E23" s="515" t="n"/>
      <c r="F23" s="503" t="n"/>
      <c r="G23" s="503" t="n"/>
      <c r="H23" s="666" t="n"/>
    </row>
    <row r="24" ht="24.9" customHeight="1">
      <c r="A24" s="261" t="n">
        <v>18</v>
      </c>
      <c r="B24" s="59" t="n"/>
      <c r="C24" s="658" t="n"/>
      <c r="D24" s="515" t="n"/>
      <c r="E24" s="515" t="n"/>
      <c r="F24" s="503" t="n"/>
      <c r="G24" s="503" t="n"/>
      <c r="H24" s="666" t="n"/>
    </row>
    <row r="25" ht="24.9" customHeight="1">
      <c r="A25" s="261" t="n">
        <v>19</v>
      </c>
      <c r="B25" s="59" t="n"/>
      <c r="C25" s="658" t="n"/>
      <c r="D25" s="515" t="n"/>
      <c r="E25" s="515" t="n"/>
      <c r="F25" s="503" t="n"/>
      <c r="G25" s="503" t="n"/>
      <c r="H25" s="666" t="n"/>
    </row>
    <row r="26" ht="24.9" customHeight="1">
      <c r="A26" s="261" t="n">
        <v>20</v>
      </c>
      <c r="B26" s="59" t="n"/>
      <c r="C26" s="658" t="n"/>
      <c r="D26" s="515" t="n"/>
      <c r="E26" s="515" t="n"/>
      <c r="F26" s="503" t="n"/>
      <c r="G26" s="503" t="n"/>
      <c r="H26" s="666" t="n"/>
    </row>
    <row r="27" ht="24.9" customHeight="1">
      <c r="A27" s="261" t="n">
        <v>21</v>
      </c>
      <c r="B27" s="59" t="n"/>
      <c r="C27" s="658" t="n"/>
      <c r="D27" s="515" t="n"/>
      <c r="E27" s="515" t="n"/>
      <c r="F27" s="503" t="n"/>
      <c r="G27" s="503" t="n"/>
      <c r="H27" s="666" t="n"/>
    </row>
    <row r="28" ht="24.9" customHeight="1">
      <c r="A28" s="261" t="n">
        <v>22</v>
      </c>
      <c r="B28" s="59" t="n"/>
      <c r="C28" s="658" t="n"/>
      <c r="D28" s="515" t="n"/>
      <c r="E28" s="515" t="n"/>
      <c r="F28" s="503" t="n"/>
      <c r="G28" s="503" t="n"/>
      <c r="H28" s="666" t="n"/>
    </row>
    <row r="29" ht="24.9" customHeight="1">
      <c r="A29" s="261" t="n">
        <v>23</v>
      </c>
      <c r="B29" s="59" t="n"/>
      <c r="C29" s="658" t="n"/>
      <c r="D29" s="515" t="n"/>
      <c r="E29" s="515" t="n"/>
      <c r="F29" s="503" t="n"/>
      <c r="G29" s="503" t="n"/>
      <c r="H29" s="666" t="n"/>
    </row>
    <row r="30" ht="24.9" customHeight="1">
      <c r="A30" s="261" t="n">
        <v>24</v>
      </c>
      <c r="B30" s="59" t="n"/>
      <c r="C30" s="658" t="n"/>
      <c r="D30" s="515" t="n"/>
      <c r="E30" s="515" t="n"/>
      <c r="F30" s="503" t="n"/>
      <c r="G30" s="503" t="n"/>
      <c r="H30" s="666" t="n"/>
    </row>
    <row r="31" ht="24.9" customHeight="1">
      <c r="A31" s="261" t="n">
        <v>25</v>
      </c>
      <c r="B31" s="59" t="n"/>
      <c r="C31" s="658" t="n"/>
      <c r="D31" s="515" t="n"/>
      <c r="E31" s="515" t="n"/>
      <c r="F31" s="503" t="n"/>
      <c r="G31" s="503" t="n"/>
      <c r="H31" s="666" t="n"/>
    </row>
    <row r="32" ht="24.9" customHeight="1">
      <c r="A32" s="261" t="n">
        <v>26</v>
      </c>
      <c r="B32" s="59" t="n"/>
      <c r="C32" s="658" t="n"/>
      <c r="D32" s="515" t="n"/>
      <c r="E32" s="515" t="n"/>
      <c r="F32" s="503" t="n"/>
      <c r="G32" s="503" t="n"/>
      <c r="H32" s="666" t="n"/>
    </row>
    <row r="33" ht="24.9" customHeight="1">
      <c r="A33" s="261" t="n">
        <v>27</v>
      </c>
      <c r="B33" s="59" t="n"/>
      <c r="C33" s="658" t="n"/>
      <c r="D33" s="515" t="n"/>
      <c r="E33" s="515" t="n"/>
      <c r="F33" s="503" t="n"/>
      <c r="G33" s="503" t="n"/>
      <c r="H33" s="666" t="n"/>
    </row>
    <row r="34" ht="24.9" customHeight="1">
      <c r="A34" s="261" t="n">
        <v>28</v>
      </c>
      <c r="B34" s="59" t="n"/>
      <c r="C34" s="658" t="n"/>
      <c r="D34" s="515" t="n"/>
      <c r="E34" s="515" t="n"/>
      <c r="F34" s="503" t="n"/>
      <c r="G34" s="503" t="n"/>
      <c r="H34" s="666" t="n"/>
    </row>
    <row r="35" ht="24.9" customHeight="1">
      <c r="A35" s="261" t="n">
        <v>29</v>
      </c>
      <c r="B35" s="59" t="n"/>
      <c r="C35" s="658" t="n"/>
      <c r="D35" s="515" t="n"/>
      <c r="E35" s="515" t="n"/>
      <c r="F35" s="503" t="n"/>
      <c r="G35" s="503" t="n"/>
      <c r="H35" s="666" t="n"/>
    </row>
    <row r="36" ht="24.9" customHeight="1">
      <c r="A36" s="261" t="n">
        <v>30</v>
      </c>
      <c r="B36" s="102" t="n"/>
      <c r="C36" s="658" t="n"/>
      <c r="D36" s="515" t="n"/>
      <c r="E36" s="515" t="n"/>
      <c r="F36" s="503" t="n"/>
      <c r="G36" s="515" t="n"/>
      <c r="H36" s="666" t="n"/>
    </row>
    <row r="37" ht="24.9" customHeight="1">
      <c r="A37" s="261" t="n">
        <v>31</v>
      </c>
      <c r="B37" s="102" t="n"/>
      <c r="C37" s="658" t="n"/>
      <c r="D37" s="515" t="n"/>
      <c r="E37" s="515" t="n"/>
      <c r="F37" s="503" t="n"/>
      <c r="G37" s="515" t="n"/>
      <c r="H37" s="666" t="n"/>
    </row>
    <row r="38" ht="24.9" customHeight="1">
      <c r="A38" s="261" t="n">
        <v>32</v>
      </c>
      <c r="B38" s="102" t="n"/>
      <c r="C38" s="658" t="n"/>
      <c r="D38" s="515" t="n"/>
      <c r="E38" s="515" t="n"/>
      <c r="F38" s="503" t="n"/>
      <c r="G38" s="515" t="n"/>
      <c r="H38" s="666" t="n"/>
    </row>
    <row r="39" ht="24.9" customHeight="1">
      <c r="A39" s="261" t="n">
        <v>33</v>
      </c>
      <c r="B39" s="102" t="n"/>
      <c r="C39" s="658" t="n"/>
      <c r="D39" s="515" t="n"/>
      <c r="E39" s="515" t="n"/>
      <c r="F39" s="503" t="n"/>
      <c r="G39" s="515" t="n"/>
      <c r="H39" s="666" t="n"/>
    </row>
    <row r="40" ht="24.9" customHeight="1">
      <c r="A40" s="261" t="n">
        <v>34</v>
      </c>
      <c r="B40" s="102" t="n"/>
      <c r="C40" s="658" t="n"/>
      <c r="D40" s="515" t="n"/>
      <c r="E40" s="515" t="n"/>
      <c r="F40" s="503" t="n"/>
      <c r="G40" s="515" t="n"/>
      <c r="H40" s="666" t="n"/>
    </row>
    <row r="41" ht="24.9" customHeight="1">
      <c r="A41" s="261" t="n">
        <v>35</v>
      </c>
      <c r="B41" s="102" t="n"/>
      <c r="C41" s="658" t="n"/>
      <c r="D41" s="515" t="n"/>
      <c r="E41" s="515" t="n"/>
      <c r="F41" s="503" t="n"/>
      <c r="G41" s="515" t="n"/>
      <c r="H41" s="666" t="n"/>
    </row>
    <row r="42" ht="24.9" customHeight="1">
      <c r="A42" s="261" t="n">
        <v>36</v>
      </c>
      <c r="B42" s="102" t="n"/>
      <c r="C42" s="658" t="n"/>
      <c r="D42" s="515" t="n"/>
      <c r="E42" s="515" t="n"/>
      <c r="F42" s="503" t="n"/>
      <c r="G42" s="515" t="n"/>
      <c r="H42" s="666" t="n"/>
    </row>
    <row r="43" ht="24.9" customHeight="1">
      <c r="A43" s="261" t="n">
        <v>37</v>
      </c>
      <c r="B43" s="102" t="n"/>
      <c r="C43" s="658" t="n"/>
      <c r="D43" s="515" t="n"/>
      <c r="E43" s="515" t="n"/>
      <c r="F43" s="503" t="n"/>
      <c r="G43" s="515" t="n"/>
      <c r="H43" s="666" t="n"/>
    </row>
    <row r="44" ht="24.9" customHeight="1">
      <c r="A44" s="261" t="n">
        <v>38</v>
      </c>
      <c r="B44" s="102" t="n"/>
      <c r="C44" s="658" t="n"/>
      <c r="D44" s="515" t="n"/>
      <c r="E44" s="515" t="n"/>
      <c r="F44" s="503" t="n"/>
      <c r="G44" s="515" t="n"/>
      <c r="H44" s="666" t="n"/>
    </row>
    <row r="45" ht="24.9" customHeight="1">
      <c r="A45" s="261" t="n">
        <v>39</v>
      </c>
      <c r="B45" s="102" t="n"/>
      <c r="C45" s="658" t="n"/>
      <c r="D45" s="515" t="n"/>
      <c r="E45" s="515" t="n"/>
      <c r="F45" s="503" t="n"/>
      <c r="G45" s="515" t="n"/>
      <c r="H45" s="666" t="n"/>
    </row>
    <row r="46" ht="24.9" customHeight="1">
      <c r="A46" s="261" t="n">
        <v>40</v>
      </c>
      <c r="B46" s="102" t="n"/>
      <c r="C46" s="658" t="n"/>
      <c r="D46" s="515" t="n"/>
      <c r="E46" s="515" t="n"/>
      <c r="F46" s="503" t="n"/>
      <c r="G46" s="515" t="n"/>
      <c r="H46" s="666" t="n"/>
    </row>
    <row r="47" ht="24.9" customHeight="1">
      <c r="A47" s="261" t="n">
        <v>41</v>
      </c>
      <c r="B47" s="102" t="n"/>
      <c r="C47" s="658" t="n"/>
      <c r="D47" s="515" t="n"/>
      <c r="E47" s="515" t="n"/>
      <c r="F47" s="503" t="n"/>
      <c r="G47" s="515" t="n"/>
      <c r="H47" s="666" t="n"/>
    </row>
    <row r="48" ht="24.9" customHeight="1">
      <c r="A48" s="261" t="n">
        <v>42</v>
      </c>
      <c r="B48" s="102" t="n"/>
      <c r="C48" s="658" t="n"/>
      <c r="D48" s="515" t="n"/>
      <c r="E48" s="515" t="n"/>
      <c r="F48" s="503" t="n"/>
      <c r="G48" s="515" t="n"/>
      <c r="H48" s="666" t="n"/>
    </row>
    <row r="49" ht="24.9" customHeight="1">
      <c r="A49" s="261" t="n">
        <v>43</v>
      </c>
      <c r="B49" s="102" t="n"/>
      <c r="C49" s="658" t="n"/>
      <c r="D49" s="515" t="n"/>
      <c r="E49" s="515" t="n"/>
      <c r="F49" s="503" t="n"/>
      <c r="G49" s="515" t="n"/>
      <c r="H49" s="666" t="n"/>
    </row>
    <row r="50" ht="24.9" customHeight="1">
      <c r="A50" s="261" t="n">
        <v>44</v>
      </c>
      <c r="B50" s="102" t="n"/>
      <c r="C50" s="658" t="n"/>
      <c r="D50" s="515" t="n"/>
      <c r="E50" s="515" t="n"/>
      <c r="F50" s="503" t="n"/>
      <c r="G50" s="515" t="n"/>
      <c r="H50" s="666" t="n"/>
    </row>
    <row r="51" ht="24.9" customHeight="1">
      <c r="A51" s="261" t="n">
        <v>45</v>
      </c>
      <c r="B51" s="102" t="n"/>
      <c r="C51" s="658" t="n"/>
      <c r="D51" s="515" t="n"/>
      <c r="E51" s="515" t="n"/>
      <c r="F51" s="503" t="n"/>
      <c r="G51" s="515" t="n"/>
      <c r="H51" s="666" t="n"/>
    </row>
    <row r="52" ht="24.9" customHeight="1">
      <c r="A52" s="261" t="n">
        <v>46</v>
      </c>
      <c r="B52" s="102" t="n"/>
      <c r="C52" s="658" t="n"/>
      <c r="D52" s="515" t="n"/>
      <c r="E52" s="515" t="n"/>
      <c r="F52" s="503" t="n"/>
      <c r="G52" s="515" t="n"/>
      <c r="H52" s="666" t="n"/>
    </row>
    <row r="53" ht="24.9" customHeight="1">
      <c r="A53" s="261" t="n">
        <v>47</v>
      </c>
      <c r="B53" s="102" t="n"/>
      <c r="C53" s="658" t="n"/>
      <c r="D53" s="515" t="n"/>
      <c r="E53" s="515" t="n"/>
      <c r="F53" s="503" t="n"/>
      <c r="G53" s="515" t="n"/>
      <c r="H53" s="666" t="n"/>
    </row>
    <row r="54" ht="24.9" customHeight="1">
      <c r="A54" s="261" t="n">
        <v>48</v>
      </c>
      <c r="B54" s="102" t="n"/>
      <c r="C54" s="658" t="n"/>
      <c r="D54" s="515" t="n"/>
      <c r="E54" s="503" t="n"/>
      <c r="F54" s="503" t="n"/>
      <c r="G54" s="515" t="n"/>
      <c r="H54" s="666" t="n"/>
    </row>
    <row r="55" ht="24.9" customHeight="1">
      <c r="A55" s="261" t="n">
        <v>49</v>
      </c>
      <c r="B55" s="102" t="n"/>
      <c r="C55" s="658" t="n"/>
      <c r="D55" s="515" t="n"/>
      <c r="E55" s="503" t="n"/>
      <c r="F55" s="503" t="n"/>
      <c r="G55" s="515" t="n"/>
      <c r="H55" s="666" t="n"/>
    </row>
    <row r="56" ht="24.9" customHeight="1">
      <c r="A56" s="261" t="n">
        <v>50</v>
      </c>
      <c r="B56" s="102" t="n"/>
      <c r="C56" s="658" t="n"/>
      <c r="D56" s="515" t="n"/>
      <c r="E56" s="503" t="n"/>
      <c r="F56" s="503" t="n"/>
      <c r="G56" s="515" t="n"/>
      <c r="H56" s="666" t="n"/>
    </row>
    <row r="57" ht="24.9" customHeight="1">
      <c r="A57" s="261" t="n">
        <v>51</v>
      </c>
      <c r="B57" s="102" t="n"/>
      <c r="C57" s="658" t="n"/>
      <c r="D57" s="515" t="n"/>
      <c r="E57" s="503" t="n"/>
      <c r="F57" s="503" t="n"/>
      <c r="G57" s="515" t="n"/>
      <c r="H57" s="666" t="n"/>
    </row>
    <row r="58" ht="24.9" customHeight="1">
      <c r="A58" s="261" t="n">
        <v>52</v>
      </c>
      <c r="B58" s="102" t="n"/>
      <c r="C58" s="658" t="n"/>
      <c r="D58" s="515" t="n"/>
      <c r="E58" s="503" t="n"/>
      <c r="F58" s="503" t="n"/>
      <c r="G58" s="515" t="n"/>
      <c r="H58" s="666" t="n"/>
    </row>
    <row r="59" ht="24.9" customHeight="1">
      <c r="A59" s="261" t="n">
        <v>53</v>
      </c>
      <c r="B59" s="102" t="n"/>
      <c r="C59" s="658" t="n"/>
      <c r="D59" s="515" t="n"/>
      <c r="E59" s="503" t="n"/>
      <c r="F59" s="503" t="n"/>
      <c r="G59" s="515" t="n"/>
      <c r="H59" s="666" t="n"/>
    </row>
    <row r="60" ht="24.9" customHeight="1">
      <c r="A60" s="261" t="n">
        <v>54</v>
      </c>
      <c r="B60" s="102" t="n"/>
      <c r="C60" s="658" t="n"/>
      <c r="D60" s="515" t="n"/>
      <c r="E60" s="503" t="n"/>
      <c r="F60" s="503" t="n"/>
      <c r="G60" s="515" t="n"/>
      <c r="H60" s="666" t="n"/>
    </row>
    <row r="61" ht="24.9" customHeight="1">
      <c r="A61" s="261" t="n">
        <v>55</v>
      </c>
      <c r="B61" s="102" t="n"/>
      <c r="C61" s="658" t="n"/>
      <c r="D61" s="515" t="n"/>
      <c r="E61" s="503" t="n"/>
      <c r="F61" s="503" t="n"/>
      <c r="G61" s="515" t="n"/>
      <c r="H61" s="666" t="n"/>
    </row>
    <row r="62" ht="24.9" customHeight="1">
      <c r="A62" s="261" t="n">
        <v>56</v>
      </c>
      <c r="B62" s="102" t="n"/>
      <c r="C62" s="658" t="n"/>
      <c r="D62" s="515" t="n"/>
      <c r="E62" s="503" t="n"/>
      <c r="F62" s="503" t="n"/>
      <c r="G62" s="515" t="n"/>
      <c r="H62" s="666" t="n"/>
    </row>
    <row r="63" ht="24.9" customHeight="1">
      <c r="A63" s="261" t="n">
        <v>57</v>
      </c>
      <c r="B63" s="102" t="n"/>
      <c r="C63" s="658" t="n"/>
      <c r="D63" s="515" t="n"/>
      <c r="E63" s="503" t="n"/>
      <c r="F63" s="503" t="n"/>
      <c r="G63" s="515" t="n"/>
      <c r="H63" s="666" t="n"/>
    </row>
    <row r="64" ht="24.9" customHeight="1">
      <c r="A64" s="261" t="n">
        <v>58</v>
      </c>
      <c r="B64" s="102" t="n"/>
      <c r="C64" s="658" t="n"/>
      <c r="D64" s="515" t="n"/>
      <c r="E64" s="503" t="n"/>
      <c r="F64" s="503" t="n"/>
      <c r="G64" s="515" t="n"/>
      <c r="H64" s="666" t="n"/>
    </row>
    <row r="65" ht="24.9" customHeight="1">
      <c r="A65" s="261" t="n">
        <v>59</v>
      </c>
      <c r="B65" s="102" t="n"/>
      <c r="C65" s="658" t="n"/>
      <c r="D65" s="515" t="n"/>
      <c r="E65" s="503" t="n"/>
      <c r="F65" s="503" t="n"/>
      <c r="G65" s="515" t="n"/>
      <c r="H65" s="666" t="n"/>
    </row>
    <row r="66" ht="24.9" customHeight="1">
      <c r="A66" s="261" t="n">
        <v>60</v>
      </c>
      <c r="B66" s="102" t="n"/>
      <c r="C66" s="658" t="n"/>
      <c r="D66" s="515" t="n"/>
      <c r="E66" s="503" t="n"/>
      <c r="F66" s="503" t="n"/>
      <c r="G66" s="515" t="n"/>
      <c r="H66" s="666" t="n"/>
    </row>
    <row r="67" ht="24.9" customHeight="1">
      <c r="A67" s="261" t="n">
        <v>61</v>
      </c>
      <c r="B67" s="102" t="n"/>
      <c r="C67" s="658" t="n"/>
      <c r="D67" s="515" t="n"/>
      <c r="E67" s="503" t="n"/>
      <c r="F67" s="503" t="n"/>
      <c r="G67" s="515" t="n"/>
      <c r="H67" s="666" t="n"/>
    </row>
    <row r="68" ht="24.9" customHeight="1">
      <c r="A68" s="261" t="n">
        <v>62</v>
      </c>
      <c r="B68" s="102" t="n"/>
      <c r="C68" s="658" t="n"/>
      <c r="D68" s="515" t="n"/>
      <c r="E68" s="503" t="n"/>
      <c r="F68" s="503" t="n"/>
      <c r="G68" s="515" t="n"/>
      <c r="H68" s="666" t="n"/>
    </row>
    <row r="69" ht="24.9" customHeight="1">
      <c r="A69" s="261" t="n">
        <v>63</v>
      </c>
      <c r="B69" s="102" t="n"/>
      <c r="C69" s="658" t="n"/>
      <c r="D69" s="515" t="n"/>
      <c r="E69" s="503" t="n"/>
      <c r="F69" s="503" t="n"/>
      <c r="G69" s="515" t="n"/>
      <c r="H69" s="666" t="n"/>
    </row>
    <row r="70" ht="24.9" customHeight="1">
      <c r="A70" s="261" t="n">
        <v>64</v>
      </c>
      <c r="B70" s="102" t="n"/>
      <c r="C70" s="658" t="n"/>
      <c r="D70" s="515" t="n"/>
      <c r="E70" s="503" t="n"/>
      <c r="F70" s="503" t="n"/>
      <c r="G70" s="515" t="n"/>
      <c r="H70" s="666" t="n"/>
    </row>
    <row r="71" ht="24.9" customHeight="1">
      <c r="A71" s="261" t="n">
        <v>65</v>
      </c>
      <c r="B71" s="102" t="n"/>
      <c r="C71" s="658" t="n"/>
      <c r="D71" s="515" t="n"/>
      <c r="E71" s="503" t="n"/>
      <c r="F71" s="503" t="n"/>
      <c r="G71" s="515" t="n"/>
      <c r="H71" s="666" t="n"/>
    </row>
    <row r="72" ht="24.9" customHeight="1">
      <c r="A72" s="261" t="n">
        <v>66</v>
      </c>
      <c r="B72" s="102" t="n"/>
      <c r="C72" s="658" t="n"/>
      <c r="D72" s="515" t="n"/>
      <c r="E72" s="503" t="n"/>
      <c r="F72" s="503" t="n"/>
      <c r="G72" s="515" t="n"/>
      <c r="H72" s="666" t="n"/>
    </row>
    <row r="73" ht="24.9" customHeight="1">
      <c r="A73" s="261" t="n">
        <v>67</v>
      </c>
      <c r="B73" s="102" t="n"/>
      <c r="C73" s="658" t="n"/>
      <c r="D73" s="515" t="n"/>
      <c r="E73" s="503" t="n"/>
      <c r="F73" s="503" t="n"/>
      <c r="G73" s="515" t="n"/>
      <c r="H73" s="666" t="n"/>
    </row>
    <row r="74" ht="24.9" customHeight="1">
      <c r="A74" s="261" t="n">
        <v>68</v>
      </c>
      <c r="B74" s="102" t="n"/>
      <c r="C74" s="658" t="n"/>
      <c r="D74" s="515" t="n"/>
      <c r="E74" s="503" t="n"/>
      <c r="F74" s="503" t="n"/>
      <c r="G74" s="515" t="n"/>
      <c r="H74" s="666" t="n"/>
    </row>
    <row r="75" ht="24.9" customHeight="1">
      <c r="A75" s="261" t="n">
        <v>69</v>
      </c>
      <c r="B75" s="102" t="n"/>
      <c r="C75" s="658" t="n"/>
      <c r="D75" s="515" t="n"/>
      <c r="E75" s="503" t="n"/>
      <c r="F75" s="503" t="n"/>
      <c r="G75" s="515" t="n"/>
      <c r="H75" s="666" t="n"/>
    </row>
    <row r="76" ht="24.9" customHeight="1">
      <c r="A76" s="261" t="n">
        <v>70</v>
      </c>
      <c r="B76" s="102" t="n"/>
      <c r="C76" s="658" t="n"/>
      <c r="D76" s="515" t="n"/>
      <c r="E76" s="503" t="n"/>
      <c r="F76" s="503" t="n"/>
      <c r="G76" s="515" t="n"/>
      <c r="H76" s="666" t="n"/>
    </row>
    <row r="77" ht="24.9" customHeight="1">
      <c r="A77" s="261" t="n">
        <v>71</v>
      </c>
      <c r="B77" s="102" t="n"/>
      <c r="C77" s="658" t="n"/>
      <c r="D77" s="515" t="n"/>
      <c r="E77" s="503" t="n"/>
      <c r="F77" s="503" t="n"/>
      <c r="G77" s="515" t="n"/>
      <c r="H77" s="666" t="n"/>
    </row>
    <row r="78" ht="24.9" customHeight="1">
      <c r="A78" s="261" t="n">
        <v>72</v>
      </c>
      <c r="B78" s="102" t="n"/>
      <c r="C78" s="658" t="n"/>
      <c r="D78" s="515" t="n"/>
      <c r="E78" s="503" t="n"/>
      <c r="F78" s="503" t="n"/>
      <c r="G78" s="515" t="n"/>
      <c r="H78" s="666" t="n"/>
    </row>
    <row r="79" ht="24.9" customHeight="1">
      <c r="A79" s="261" t="n">
        <v>73</v>
      </c>
      <c r="B79" s="102" t="n"/>
      <c r="C79" s="658" t="n"/>
      <c r="D79" s="515" t="n"/>
      <c r="E79" s="503" t="n"/>
      <c r="F79" s="503" t="n"/>
      <c r="G79" s="515" t="n"/>
      <c r="H79" s="666" t="n"/>
    </row>
    <row r="80" ht="24.9" customHeight="1">
      <c r="A80" s="261" t="n">
        <v>74</v>
      </c>
      <c r="B80" s="102" t="n"/>
      <c r="C80" s="658" t="n"/>
      <c r="D80" s="515" t="n"/>
      <c r="E80" s="503" t="n"/>
      <c r="F80" s="503" t="n"/>
      <c r="G80" s="515" t="n"/>
      <c r="H80" s="666" t="n"/>
    </row>
    <row r="81" ht="24.9" customHeight="1">
      <c r="A81" s="261" t="n">
        <v>75</v>
      </c>
      <c r="B81" s="102" t="n"/>
      <c r="C81" s="658" t="n"/>
      <c r="D81" s="515" t="n"/>
      <c r="E81" s="503" t="n"/>
      <c r="F81" s="503" t="n"/>
      <c r="G81" s="515" t="n"/>
      <c r="H81" s="666" t="n"/>
    </row>
    <row r="82" ht="24.9" customHeight="1">
      <c r="A82" s="261" t="n">
        <v>76</v>
      </c>
      <c r="B82" s="102" t="n"/>
      <c r="C82" s="658" t="n"/>
      <c r="D82" s="515" t="n"/>
      <c r="E82" s="503" t="n"/>
      <c r="F82" s="503" t="n"/>
      <c r="G82" s="515" t="n"/>
      <c r="H82" s="666" t="n"/>
    </row>
    <row r="83" ht="24.9" customHeight="1">
      <c r="A83" s="261" t="n">
        <v>77</v>
      </c>
      <c r="B83" s="102" t="n"/>
      <c r="C83" s="658" t="n"/>
      <c r="D83" s="515" t="n"/>
      <c r="E83" s="503" t="n"/>
      <c r="F83" s="503" t="n"/>
      <c r="G83" s="515" t="n"/>
      <c r="H83" s="666" t="n"/>
    </row>
    <row r="84" ht="24.9" customHeight="1">
      <c r="A84" s="261" t="n">
        <v>78</v>
      </c>
      <c r="B84" s="102" t="n"/>
      <c r="C84" s="658" t="n"/>
      <c r="D84" s="515" t="n"/>
      <c r="E84" s="503" t="n"/>
      <c r="F84" s="503" t="n"/>
      <c r="G84" s="515" t="n"/>
      <c r="H84" s="666" t="n"/>
    </row>
    <row r="85" ht="24.9" customHeight="1">
      <c r="A85" s="261" t="n">
        <v>79</v>
      </c>
      <c r="B85" s="102" t="n"/>
      <c r="C85" s="658" t="n"/>
      <c r="D85" s="515" t="n"/>
      <c r="E85" s="503" t="n"/>
      <c r="F85" s="503" t="n"/>
      <c r="G85" s="515" t="n"/>
      <c r="H85" s="666" t="n"/>
    </row>
    <row r="86" ht="24.9" customHeight="1">
      <c r="A86" s="261" t="n">
        <v>80</v>
      </c>
      <c r="B86" s="102" t="n"/>
      <c r="C86" s="658" t="n"/>
      <c r="D86" s="515" t="n"/>
      <c r="E86" s="503" t="n"/>
      <c r="F86" s="503" t="n"/>
      <c r="G86" s="515" t="n"/>
      <c r="H86" s="666" t="n"/>
    </row>
    <row r="87" ht="24.9" customHeight="1">
      <c r="A87" s="261" t="n">
        <v>81</v>
      </c>
      <c r="B87" s="102" t="n"/>
      <c r="C87" s="658" t="n"/>
      <c r="D87" s="515" t="n"/>
      <c r="E87" s="503" t="n"/>
      <c r="F87" s="503" t="n"/>
      <c r="G87" s="515" t="n"/>
      <c r="H87" s="666" t="n"/>
    </row>
    <row r="88" ht="24.9" customHeight="1">
      <c r="A88" s="261" t="n">
        <v>82</v>
      </c>
      <c r="B88" s="102" t="n"/>
      <c r="C88" s="658" t="n"/>
      <c r="D88" s="515" t="n"/>
      <c r="E88" s="503" t="n"/>
      <c r="F88" s="503" t="n"/>
      <c r="G88" s="515" t="n"/>
      <c r="H88" s="666" t="n"/>
    </row>
    <row r="89" ht="24.9" customHeight="1">
      <c r="A89" s="261" t="n">
        <v>83</v>
      </c>
      <c r="B89" s="102" t="n"/>
      <c r="C89" s="658" t="n"/>
      <c r="D89" s="515" t="n"/>
      <c r="E89" s="503" t="n"/>
      <c r="F89" s="503" t="n"/>
      <c r="G89" s="515" t="n"/>
      <c r="H89" s="666" t="n"/>
    </row>
    <row r="90" ht="24.9" customHeight="1">
      <c r="A90" s="261" t="n">
        <v>84</v>
      </c>
      <c r="B90" s="102" t="n"/>
      <c r="C90" s="658" t="n"/>
      <c r="D90" s="515" t="n"/>
      <c r="E90" s="503" t="n"/>
      <c r="F90" s="503" t="n"/>
      <c r="G90" s="515" t="n"/>
      <c r="H90" s="666" t="n"/>
    </row>
    <row r="91" ht="24.9" customHeight="1">
      <c r="A91" s="261" t="n">
        <v>85</v>
      </c>
      <c r="B91" s="102" t="n"/>
      <c r="C91" s="658" t="n"/>
      <c r="D91" s="515" t="n"/>
      <c r="E91" s="503" t="n"/>
      <c r="F91" s="503" t="n"/>
      <c r="G91" s="515" t="n"/>
      <c r="H91" s="666" t="n"/>
    </row>
    <row r="92" ht="24.9" customHeight="1">
      <c r="A92" s="261" t="n">
        <v>86</v>
      </c>
      <c r="B92" s="102" t="n"/>
      <c r="C92" s="658" t="n"/>
      <c r="D92" s="515" t="n"/>
      <c r="E92" s="503" t="n"/>
      <c r="F92" s="503" t="n"/>
      <c r="G92" s="515" t="n"/>
      <c r="H92" s="666" t="n"/>
    </row>
    <row r="93" ht="24.9" customHeight="1">
      <c r="A93" s="261" t="n">
        <v>87</v>
      </c>
      <c r="B93" s="102" t="n"/>
      <c r="C93" s="658" t="n"/>
      <c r="D93" s="515" t="n"/>
      <c r="E93" s="503" t="n"/>
      <c r="F93" s="503" t="n"/>
      <c r="G93" s="515" t="n"/>
      <c r="H93" s="666" t="n"/>
    </row>
    <row r="94" ht="24.9" customHeight="1">
      <c r="A94" s="261" t="n">
        <v>88</v>
      </c>
      <c r="B94" s="102" t="n"/>
      <c r="C94" s="658" t="n"/>
      <c r="D94" s="515" t="n"/>
      <c r="E94" s="503" t="n"/>
      <c r="F94" s="503" t="n"/>
      <c r="G94" s="515" t="n"/>
      <c r="H94" s="666" t="n"/>
    </row>
    <row r="95" ht="24.9" customHeight="1">
      <c r="A95" s="261" t="n">
        <v>89</v>
      </c>
      <c r="B95" s="102" t="n"/>
      <c r="C95" s="658" t="n"/>
      <c r="D95" s="515" t="n"/>
      <c r="E95" s="503" t="n"/>
      <c r="F95" s="503" t="n"/>
      <c r="G95" s="515" t="n"/>
      <c r="H95" s="666" t="n"/>
    </row>
    <row r="96" ht="24.9" customHeight="1">
      <c r="A96" s="261" t="n">
        <v>90</v>
      </c>
      <c r="B96" s="102" t="n"/>
      <c r="C96" s="658" t="n"/>
      <c r="D96" s="515" t="n"/>
      <c r="E96" s="503" t="n"/>
      <c r="F96" s="503" t="n"/>
      <c r="G96" s="515" t="n"/>
      <c r="H96" s="666" t="n"/>
    </row>
    <row r="97" ht="24.9" customHeight="1">
      <c r="A97" s="261" t="n">
        <v>91</v>
      </c>
      <c r="B97" s="102" t="n"/>
      <c r="C97" s="658" t="n"/>
      <c r="D97" s="515" t="n"/>
      <c r="E97" s="503" t="n"/>
      <c r="F97" s="503" t="n"/>
      <c r="G97" s="515" t="n"/>
      <c r="H97" s="666" t="n"/>
    </row>
    <row r="98" ht="24.9" customHeight="1">
      <c r="A98" s="261" t="n">
        <v>92</v>
      </c>
      <c r="B98" s="102" t="n"/>
      <c r="C98" s="658" t="n"/>
      <c r="D98" s="515" t="n"/>
      <c r="E98" s="503" t="n"/>
      <c r="F98" s="503" t="n"/>
      <c r="G98" s="515" t="n"/>
      <c r="H98" s="666" t="n"/>
    </row>
    <row r="99" ht="24.9" customHeight="1">
      <c r="A99" s="261" t="n">
        <v>93</v>
      </c>
      <c r="B99" s="102" t="n"/>
      <c r="C99" s="658" t="n"/>
      <c r="D99" s="515" t="n"/>
      <c r="E99" s="503" t="n"/>
      <c r="F99" s="503" t="n"/>
      <c r="G99" s="515" t="n"/>
      <c r="H99" s="666" t="n"/>
    </row>
    <row r="100" ht="24.9" customHeight="1">
      <c r="A100" s="261" t="n">
        <v>94</v>
      </c>
      <c r="B100" s="102" t="n"/>
      <c r="C100" s="658" t="n"/>
      <c r="D100" s="515" t="n"/>
      <c r="E100" s="503" t="n"/>
      <c r="F100" s="503" t="n"/>
      <c r="G100" s="515" t="n"/>
      <c r="H100" s="666" t="n"/>
    </row>
    <row r="101" ht="24.9" customHeight="1">
      <c r="A101" s="261" t="n">
        <v>95</v>
      </c>
      <c r="B101" s="102" t="n"/>
      <c r="C101" s="658" t="n"/>
      <c r="D101" s="515" t="n"/>
      <c r="E101" s="503" t="n"/>
      <c r="F101" s="503" t="n"/>
      <c r="G101" s="515" t="n"/>
      <c r="H101" s="666" t="n"/>
    </row>
    <row r="102" ht="24.9" customHeight="1">
      <c r="A102" s="261" t="n">
        <v>96</v>
      </c>
      <c r="B102" s="102" t="n"/>
      <c r="C102" s="658" t="n"/>
      <c r="D102" s="515" t="n"/>
      <c r="E102" s="503" t="n"/>
      <c r="F102" s="503" t="n"/>
      <c r="G102" s="515" t="n"/>
      <c r="H102" s="666" t="n"/>
    </row>
    <row r="103" ht="24.9" customHeight="1">
      <c r="A103" s="261" t="n">
        <v>97</v>
      </c>
      <c r="B103" s="102" t="n"/>
      <c r="C103" s="658" t="n"/>
      <c r="D103" s="515" t="n"/>
      <c r="E103" s="503" t="n"/>
      <c r="F103" s="503" t="n"/>
      <c r="G103" s="515" t="n"/>
      <c r="H103" s="666" t="n"/>
    </row>
    <row r="104" ht="24.9" customHeight="1">
      <c r="A104" s="261" t="n">
        <v>98</v>
      </c>
      <c r="B104" s="102" t="n"/>
      <c r="C104" s="658" t="n"/>
      <c r="D104" s="515" t="n"/>
      <c r="E104" s="503" t="n"/>
      <c r="F104" s="503" t="n"/>
      <c r="G104" s="515" t="n"/>
      <c r="H104" s="666" t="n"/>
    </row>
    <row r="105" ht="24.9" customHeight="1">
      <c r="A105" s="261" t="n">
        <v>99</v>
      </c>
      <c r="B105" s="102" t="n"/>
      <c r="C105" s="658" t="n"/>
      <c r="D105" s="515" t="n"/>
      <c r="E105" s="503" t="n"/>
      <c r="F105" s="503" t="n"/>
      <c r="G105" s="515" t="n"/>
      <c r="H105" s="666" t="n"/>
    </row>
    <row r="106" ht="24.9" customHeight="1">
      <c r="A106" s="261" t="n">
        <v>100</v>
      </c>
      <c r="B106" s="102" t="n"/>
      <c r="C106" s="658" t="n"/>
      <c r="D106" s="515" t="n"/>
      <c r="E106" s="503" t="n"/>
      <c r="F106" s="503" t="n"/>
      <c r="G106" s="515" t="n"/>
      <c r="H106" s="666" t="n"/>
    </row>
    <row r="107" ht="24.9" customHeight="1">
      <c r="A107" s="261" t="n">
        <v>101</v>
      </c>
      <c r="B107" s="102" t="n"/>
      <c r="C107" s="658" t="n"/>
      <c r="D107" s="515" t="n"/>
      <c r="E107" s="503" t="n"/>
      <c r="F107" s="503" t="n"/>
      <c r="G107" s="515" t="n"/>
      <c r="H107" s="666" t="n"/>
    </row>
    <row r="108" ht="24.9" customHeight="1">
      <c r="A108" s="261" t="n">
        <v>102</v>
      </c>
      <c r="B108" s="102" t="n"/>
      <c r="C108" s="658" t="n"/>
      <c r="D108" s="515" t="n"/>
      <c r="E108" s="503" t="n"/>
      <c r="F108" s="503" t="n"/>
      <c r="G108" s="515" t="n"/>
      <c r="H108" s="666" t="n"/>
    </row>
    <row r="109" ht="24.9" customHeight="1">
      <c r="A109" s="261" t="n">
        <v>103</v>
      </c>
      <c r="B109" s="102" t="n"/>
      <c r="C109" s="658" t="n"/>
      <c r="D109" s="515" t="n"/>
      <c r="E109" s="503" t="n"/>
      <c r="F109" s="503" t="n"/>
      <c r="G109" s="515" t="n"/>
      <c r="H109" s="666" t="n"/>
    </row>
    <row r="110" ht="24.9" customHeight="1">
      <c r="A110" s="261" t="n">
        <v>104</v>
      </c>
      <c r="B110" s="102" t="n"/>
      <c r="C110" s="658" t="n"/>
      <c r="D110" s="515" t="n"/>
      <c r="E110" s="503" t="n"/>
      <c r="F110" s="503" t="n"/>
      <c r="G110" s="515" t="n"/>
      <c r="H110" s="666" t="n"/>
    </row>
    <row r="111" ht="24.9" customHeight="1">
      <c r="A111" s="261" t="n">
        <v>105</v>
      </c>
      <c r="B111" s="102" t="n"/>
      <c r="C111" s="658" t="n"/>
      <c r="D111" s="515" t="n"/>
      <c r="E111" s="503" t="n"/>
      <c r="F111" s="503" t="n"/>
      <c r="G111" s="515" t="n"/>
      <c r="H111" s="666" t="n"/>
    </row>
    <row r="112" ht="24.9" customHeight="1">
      <c r="A112" s="261" t="n">
        <v>106</v>
      </c>
      <c r="B112" s="102" t="n"/>
      <c r="C112" s="658" t="n"/>
      <c r="D112" s="515" t="n"/>
      <c r="E112" s="503" t="n"/>
      <c r="F112" s="503" t="n"/>
      <c r="G112" s="515" t="n"/>
      <c r="H112" s="666" t="n"/>
    </row>
    <row r="113" ht="24.9" customHeight="1">
      <c r="A113" s="261" t="n">
        <v>107</v>
      </c>
      <c r="B113" s="102" t="n"/>
      <c r="C113" s="658" t="n"/>
      <c r="D113" s="515" t="n"/>
      <c r="E113" s="503" t="n"/>
      <c r="F113" s="503" t="n"/>
      <c r="G113" s="515" t="n"/>
      <c r="H113" s="666" t="n"/>
    </row>
    <row r="114" ht="24.9" customHeight="1">
      <c r="A114" s="261" t="n">
        <v>108</v>
      </c>
      <c r="B114" s="102" t="n"/>
      <c r="C114" s="658" t="n"/>
      <c r="D114" s="515" t="n"/>
      <c r="E114" s="503" t="n"/>
      <c r="F114" s="503" t="n"/>
      <c r="G114" s="515" t="n"/>
      <c r="H114" s="666" t="n"/>
    </row>
    <row r="115" ht="24.9" customHeight="1">
      <c r="A115" s="261" t="n">
        <v>109</v>
      </c>
      <c r="B115" s="102" t="n"/>
      <c r="C115" s="658" t="n"/>
      <c r="D115" s="515" t="n"/>
      <c r="E115" s="503" t="n"/>
      <c r="F115" s="503" t="n"/>
      <c r="G115" s="515" t="n"/>
      <c r="H115" s="666" t="n"/>
    </row>
    <row r="116" ht="24.9" customHeight="1">
      <c r="A116" s="261" t="n">
        <v>110</v>
      </c>
      <c r="B116" s="102" t="n"/>
      <c r="C116" s="658" t="n"/>
      <c r="D116" s="515" t="n"/>
      <c r="E116" s="503" t="n"/>
      <c r="F116" s="503" t="n"/>
      <c r="G116" s="515" t="n"/>
      <c r="H116" s="666" t="n"/>
    </row>
    <row r="117" ht="24.9" customHeight="1">
      <c r="A117" s="261" t="n">
        <v>111</v>
      </c>
      <c r="B117" s="102" t="n"/>
      <c r="C117" s="658" t="n"/>
      <c r="D117" s="515" t="n"/>
      <c r="E117" s="503" t="n"/>
      <c r="F117" s="503" t="n"/>
      <c r="G117" s="515" t="n"/>
      <c r="H117" s="666" t="n"/>
    </row>
    <row r="118" ht="24.9" customHeight="1">
      <c r="A118" s="261" t="n">
        <v>112</v>
      </c>
      <c r="B118" s="102" t="n"/>
      <c r="C118" s="658" t="n"/>
      <c r="D118" s="515" t="n"/>
      <c r="E118" s="503" t="n"/>
      <c r="F118" s="503" t="n"/>
      <c r="G118" s="515" t="n"/>
      <c r="H118" s="666" t="n"/>
    </row>
    <row r="119" ht="24.9" customHeight="1">
      <c r="A119" s="261" t="n">
        <v>113</v>
      </c>
      <c r="B119" s="102" t="n"/>
      <c r="C119" s="658" t="n"/>
      <c r="D119" s="515" t="n"/>
      <c r="E119" s="503" t="n"/>
      <c r="F119" s="503" t="n"/>
      <c r="G119" s="515" t="n"/>
      <c r="H119" s="666" t="n"/>
    </row>
    <row r="120" ht="24.9" customHeight="1">
      <c r="A120" s="261" t="n">
        <v>114</v>
      </c>
      <c r="B120" s="102" t="n"/>
      <c r="C120" s="658" t="n"/>
      <c r="D120" s="515" t="n"/>
      <c r="E120" s="503" t="n"/>
      <c r="F120" s="503" t="n"/>
      <c r="G120" s="515" t="n"/>
      <c r="H120" s="666" t="n"/>
    </row>
    <row r="121" ht="24.9" customHeight="1">
      <c r="A121" s="261" t="n">
        <v>115</v>
      </c>
      <c r="B121" s="102" t="n"/>
      <c r="C121" s="658" t="n"/>
      <c r="D121" s="515" t="n"/>
      <c r="E121" s="503" t="n"/>
      <c r="F121" s="503" t="n"/>
      <c r="G121" s="515" t="n"/>
      <c r="H121" s="666" t="n"/>
    </row>
    <row r="122" ht="24.9" customHeight="1">
      <c r="A122" s="261" t="n">
        <v>116</v>
      </c>
      <c r="B122" s="102" t="n"/>
      <c r="C122" s="658" t="n"/>
      <c r="D122" s="515" t="n"/>
      <c r="E122" s="503" t="n"/>
      <c r="F122" s="503" t="n"/>
      <c r="G122" s="515" t="n"/>
      <c r="H122" s="666" t="n"/>
    </row>
    <row r="123" ht="24.9" customHeight="1">
      <c r="A123" s="261" t="n">
        <v>117</v>
      </c>
      <c r="B123" s="102" t="n"/>
      <c r="C123" s="658" t="n"/>
      <c r="D123" s="515" t="n"/>
      <c r="E123" s="503" t="n"/>
      <c r="F123" s="503" t="n"/>
      <c r="G123" s="515" t="n"/>
      <c r="H123" s="666" t="n"/>
    </row>
    <row r="124" ht="24.9" customHeight="1">
      <c r="A124" s="261" t="n">
        <v>118</v>
      </c>
      <c r="B124" s="102" t="n"/>
      <c r="C124" s="658" t="n"/>
      <c r="D124" s="515" t="n"/>
      <c r="E124" s="503" t="n"/>
      <c r="F124" s="503" t="n"/>
      <c r="G124" s="515" t="n"/>
      <c r="H124" s="666" t="n"/>
    </row>
    <row r="125" ht="24.9" customHeight="1">
      <c r="A125" s="261" t="n">
        <v>119</v>
      </c>
      <c r="B125" s="102" t="n"/>
      <c r="C125" s="658" t="n"/>
      <c r="D125" s="515" t="n"/>
      <c r="E125" s="503" t="n"/>
      <c r="F125" s="503" t="n"/>
      <c r="G125" s="515" t="n"/>
      <c r="H125" s="666" t="n"/>
    </row>
    <row r="126" ht="24.9" customHeight="1">
      <c r="A126" s="261" t="n">
        <v>120</v>
      </c>
      <c r="B126" s="102" t="n"/>
      <c r="C126" s="658" t="n"/>
      <c r="D126" s="515" t="n"/>
      <c r="E126" s="503" t="n"/>
      <c r="F126" s="503" t="n"/>
      <c r="G126" s="515" t="n"/>
      <c r="H126" s="666" t="n"/>
    </row>
    <row r="127" ht="24.9" customHeight="1">
      <c r="A127" s="261" t="n">
        <v>121</v>
      </c>
      <c r="B127" s="102" t="n"/>
      <c r="C127" s="658" t="n"/>
      <c r="D127" s="515" t="n"/>
      <c r="E127" s="503" t="n"/>
      <c r="F127" s="503" t="n"/>
      <c r="G127" s="515" t="n"/>
      <c r="H127" s="666" t="n"/>
    </row>
    <row r="128" ht="24.9" customHeight="1">
      <c r="A128" s="261" t="n">
        <v>122</v>
      </c>
      <c r="B128" s="102" t="n"/>
      <c r="C128" s="658" t="n"/>
      <c r="D128" s="515" t="n"/>
      <c r="E128" s="503" t="n"/>
      <c r="F128" s="503" t="n"/>
      <c r="G128" s="515" t="n"/>
      <c r="H128" s="666" t="n"/>
    </row>
    <row r="129" ht="24.9" customHeight="1">
      <c r="A129" s="261" t="n">
        <v>123</v>
      </c>
      <c r="B129" s="102" t="n"/>
      <c r="C129" s="658" t="n"/>
      <c r="D129" s="515" t="n"/>
      <c r="E129" s="503" t="n"/>
      <c r="F129" s="503" t="n"/>
      <c r="G129" s="515" t="n"/>
      <c r="H129" s="666" t="n"/>
    </row>
    <row r="130" ht="24.9" customHeight="1">
      <c r="A130" s="261" t="n">
        <v>124</v>
      </c>
      <c r="B130" s="102" t="n"/>
      <c r="C130" s="658" t="n"/>
      <c r="D130" s="515" t="n"/>
      <c r="E130" s="503" t="n"/>
      <c r="F130" s="503" t="n"/>
      <c r="G130" s="515" t="n"/>
      <c r="H130" s="666" t="n"/>
    </row>
    <row r="131" ht="24.9" customHeight="1">
      <c r="A131" s="261" t="n">
        <v>125</v>
      </c>
      <c r="B131" s="102" t="n"/>
      <c r="C131" s="658" t="n"/>
      <c r="D131" s="515" t="n"/>
      <c r="E131" s="503" t="n"/>
      <c r="F131" s="503" t="n"/>
      <c r="G131" s="515" t="n"/>
      <c r="H131" s="666" t="n"/>
    </row>
    <row r="132" ht="24.9" customHeight="1">
      <c r="A132" s="261" t="n">
        <v>126</v>
      </c>
      <c r="B132" s="102" t="n"/>
      <c r="C132" s="658" t="n"/>
      <c r="D132" s="515" t="n"/>
      <c r="E132" s="503" t="n"/>
      <c r="F132" s="503" t="n"/>
      <c r="G132" s="515" t="n"/>
      <c r="H132" s="666" t="n"/>
    </row>
    <row r="133" ht="24.9" customHeight="1">
      <c r="A133" s="261" t="n">
        <v>127</v>
      </c>
      <c r="B133" s="102" t="n"/>
      <c r="C133" s="658" t="n"/>
      <c r="D133" s="515" t="n"/>
      <c r="E133" s="503" t="n"/>
      <c r="F133" s="503" t="n"/>
      <c r="G133" s="515" t="n"/>
      <c r="H133" s="666" t="n"/>
    </row>
    <row r="134" ht="24.9" customHeight="1">
      <c r="A134" s="261" t="n">
        <v>128</v>
      </c>
      <c r="B134" s="102" t="n"/>
      <c r="C134" s="658" t="n"/>
      <c r="D134" s="515" t="n"/>
      <c r="E134" s="503" t="n"/>
      <c r="F134" s="503" t="n"/>
      <c r="G134" s="515" t="n"/>
      <c r="H134" s="666" t="n"/>
    </row>
    <row r="135" ht="24.9" customHeight="1">
      <c r="A135" s="261" t="n">
        <v>129</v>
      </c>
      <c r="B135" s="102" t="n"/>
      <c r="C135" s="658" t="n"/>
      <c r="D135" s="515" t="n"/>
      <c r="E135" s="503" t="n"/>
      <c r="F135" s="503" t="n"/>
      <c r="G135" s="515" t="n"/>
      <c r="H135" s="666" t="n"/>
    </row>
    <row r="136" ht="24.9" customHeight="1">
      <c r="A136" s="261" t="n">
        <v>130</v>
      </c>
      <c r="B136" s="102" t="n"/>
      <c r="C136" s="658" t="n"/>
      <c r="D136" s="515" t="n"/>
      <c r="E136" s="503" t="n"/>
      <c r="F136" s="503" t="n"/>
      <c r="G136" s="515" t="n"/>
      <c r="H136" s="666" t="n"/>
    </row>
    <row r="137" ht="24.9" customHeight="1">
      <c r="A137" s="261" t="n">
        <v>131</v>
      </c>
      <c r="B137" s="102" t="n"/>
      <c r="C137" s="658" t="n"/>
      <c r="D137" s="515" t="n"/>
      <c r="E137" s="503" t="n"/>
      <c r="F137" s="503" t="n"/>
      <c r="G137" s="515" t="n"/>
      <c r="H137" s="666" t="n"/>
    </row>
    <row r="138" ht="24.9" customHeight="1">
      <c r="A138" s="261" t="n">
        <v>132</v>
      </c>
      <c r="B138" s="102" t="n"/>
      <c r="C138" s="658" t="n"/>
      <c r="D138" s="515" t="n"/>
      <c r="E138" s="503" t="n"/>
      <c r="F138" s="503" t="n"/>
      <c r="G138" s="515" t="n"/>
      <c r="H138" s="666" t="n"/>
    </row>
    <row r="139" ht="24.9" customHeight="1">
      <c r="A139" s="261" t="n">
        <v>133</v>
      </c>
      <c r="B139" s="102" t="n"/>
      <c r="C139" s="658" t="n"/>
      <c r="D139" s="515" t="n"/>
      <c r="E139" s="503" t="n"/>
      <c r="F139" s="503" t="n"/>
      <c r="G139" s="515" t="n"/>
      <c r="H139" s="666" t="n"/>
    </row>
    <row r="140" ht="24.9" customHeight="1">
      <c r="A140" s="261" t="n">
        <v>134</v>
      </c>
      <c r="B140" s="102" t="n"/>
      <c r="C140" s="658" t="n"/>
      <c r="D140" s="515" t="n"/>
      <c r="E140" s="503" t="n"/>
      <c r="F140" s="503" t="n"/>
      <c r="G140" s="515" t="n"/>
      <c r="H140" s="666" t="n"/>
    </row>
    <row r="141" ht="24.9" customHeight="1">
      <c r="A141" s="261" t="n">
        <v>135</v>
      </c>
      <c r="B141" s="102" t="n"/>
      <c r="C141" s="658" t="n"/>
      <c r="D141" s="515" t="n"/>
      <c r="E141" s="503" t="n"/>
      <c r="F141" s="503" t="n"/>
      <c r="G141" s="515" t="n"/>
      <c r="H141" s="666" t="n"/>
    </row>
    <row r="142" ht="24.9" customHeight="1">
      <c r="A142" s="261" t="n">
        <v>136</v>
      </c>
      <c r="B142" s="102" t="n"/>
      <c r="C142" s="658" t="n"/>
      <c r="D142" s="515" t="n"/>
      <c r="E142" s="503" t="n"/>
      <c r="F142" s="503" t="n"/>
      <c r="G142" s="515" t="n"/>
      <c r="H142" s="666" t="n"/>
    </row>
    <row r="143" ht="24.9" customHeight="1">
      <c r="A143" s="261" t="n">
        <v>137</v>
      </c>
      <c r="B143" s="102" t="n"/>
      <c r="C143" s="658" t="n"/>
      <c r="D143" s="515" t="n"/>
      <c r="E143" s="503" t="n"/>
      <c r="F143" s="503" t="n"/>
      <c r="G143" s="515" t="n"/>
      <c r="H143" s="666" t="n"/>
    </row>
    <row r="144" ht="24.9" customHeight="1">
      <c r="A144" s="261" t="n">
        <v>138</v>
      </c>
      <c r="B144" s="102" t="n"/>
      <c r="C144" s="658" t="n"/>
      <c r="D144" s="515" t="n"/>
      <c r="E144" s="503" t="n"/>
      <c r="F144" s="503" t="n"/>
      <c r="G144" s="515" t="n"/>
      <c r="H144" s="666" t="n"/>
    </row>
    <row r="145" ht="24.9" customHeight="1">
      <c r="A145" s="261" t="n">
        <v>139</v>
      </c>
      <c r="B145" s="102" t="n"/>
      <c r="C145" s="658" t="n"/>
      <c r="D145" s="515" t="n"/>
      <c r="E145" s="503" t="n"/>
      <c r="F145" s="503" t="n"/>
      <c r="G145" s="515" t="n"/>
      <c r="H145" s="666" t="n"/>
    </row>
    <row r="146" ht="24.9" customHeight="1">
      <c r="A146" s="261" t="n">
        <v>140</v>
      </c>
      <c r="B146" s="102" t="n"/>
      <c r="C146" s="658" t="n"/>
      <c r="D146" s="515" t="n"/>
      <c r="E146" s="503" t="n"/>
      <c r="F146" s="503" t="n"/>
      <c r="G146" s="515" t="n"/>
      <c r="H146" s="666" t="n"/>
    </row>
    <row r="147" ht="24.9" customHeight="1">
      <c r="A147" s="261" t="n">
        <v>141</v>
      </c>
      <c r="B147" s="102" t="n"/>
      <c r="C147" s="658" t="n"/>
      <c r="D147" s="515" t="n"/>
      <c r="E147" s="503" t="n"/>
      <c r="F147" s="503" t="n"/>
      <c r="G147" s="515" t="n"/>
      <c r="H147" s="666" t="n"/>
    </row>
    <row r="148" ht="24.9" customHeight="1">
      <c r="A148" s="261" t="n">
        <v>142</v>
      </c>
      <c r="B148" s="102" t="n"/>
      <c r="C148" s="658" t="n"/>
      <c r="D148" s="515" t="n"/>
      <c r="E148" s="503" t="n"/>
      <c r="F148" s="503" t="n"/>
      <c r="G148" s="515" t="n"/>
      <c r="H148" s="666" t="n"/>
    </row>
    <row r="149" ht="24.9" customHeight="1">
      <c r="A149" s="261" t="n">
        <v>143</v>
      </c>
      <c r="B149" s="102" t="n"/>
      <c r="C149" s="658" t="n"/>
      <c r="D149" s="515" t="n"/>
      <c r="E149" s="503" t="n"/>
      <c r="F149" s="503" t="n"/>
      <c r="G149" s="515" t="n"/>
      <c r="H149" s="666" t="n"/>
    </row>
    <row r="150" ht="24.9" customHeight="1">
      <c r="A150" s="261" t="n">
        <v>144</v>
      </c>
      <c r="B150" s="102" t="n"/>
      <c r="C150" s="658" t="n"/>
      <c r="D150" s="515" t="n"/>
      <c r="E150" s="503" t="n"/>
      <c r="F150" s="503" t="n"/>
      <c r="G150" s="515" t="n"/>
      <c r="H150" s="666" t="n"/>
    </row>
    <row r="151" ht="24.9" customHeight="1">
      <c r="A151" s="261" t="n">
        <v>145</v>
      </c>
      <c r="B151" s="102" t="n"/>
      <c r="C151" s="658" t="n"/>
      <c r="D151" s="515" t="n"/>
      <c r="E151" s="503" t="n"/>
      <c r="F151" s="503" t="n"/>
      <c r="G151" s="515" t="n"/>
      <c r="H151" s="666" t="n"/>
    </row>
    <row r="152" ht="24.9" customHeight="1">
      <c r="A152" s="261" t="n">
        <v>146</v>
      </c>
      <c r="B152" s="102" t="n"/>
      <c r="C152" s="658" t="n"/>
      <c r="D152" s="515" t="n"/>
      <c r="E152" s="503" t="n"/>
      <c r="F152" s="503" t="n"/>
      <c r="G152" s="515" t="n"/>
      <c r="H152" s="666" t="n"/>
    </row>
    <row r="153" ht="24.9" customHeight="1">
      <c r="A153" s="261" t="n">
        <v>147</v>
      </c>
      <c r="B153" s="102" t="n"/>
      <c r="C153" s="658" t="n"/>
      <c r="D153" s="515" t="n"/>
      <c r="E153" s="503" t="n"/>
      <c r="F153" s="503" t="n"/>
      <c r="G153" s="515" t="n"/>
      <c r="H153" s="666" t="n"/>
    </row>
    <row r="154" ht="24.9" customHeight="1">
      <c r="A154" s="261" t="n">
        <v>148</v>
      </c>
      <c r="B154" s="102" t="n"/>
      <c r="C154" s="658" t="n"/>
      <c r="D154" s="515" t="n"/>
      <c r="E154" s="503" t="n"/>
      <c r="F154" s="503" t="n"/>
      <c r="G154" s="515" t="n"/>
      <c r="H154" s="666" t="n"/>
    </row>
    <row r="155" ht="24.9" customHeight="1">
      <c r="A155" s="261" t="n">
        <v>149</v>
      </c>
      <c r="B155" s="102" t="n"/>
      <c r="C155" s="658" t="n"/>
      <c r="D155" s="515" t="n"/>
      <c r="E155" s="503" t="n"/>
      <c r="F155" s="503" t="n"/>
      <c r="G155" s="515" t="n"/>
      <c r="H155" s="666" t="n"/>
    </row>
    <row r="156" ht="24.9" customHeight="1">
      <c r="A156" s="261" t="n">
        <v>150</v>
      </c>
      <c r="B156" s="102" t="n"/>
      <c r="C156" s="658" t="n"/>
      <c r="D156" s="515" t="n"/>
      <c r="E156" s="503" t="n"/>
      <c r="F156" s="503" t="n"/>
      <c r="G156" s="515" t="n"/>
      <c r="H156" s="666" t="n"/>
    </row>
    <row r="157" ht="24.9" customHeight="1">
      <c r="A157" s="261" t="n">
        <v>151</v>
      </c>
      <c r="B157" s="102" t="n"/>
      <c r="C157" s="658" t="n"/>
      <c r="D157" s="515" t="n"/>
      <c r="E157" s="503" t="n"/>
      <c r="F157" s="503" t="n"/>
      <c r="G157" s="515" t="n"/>
      <c r="H157" s="666" t="n"/>
    </row>
    <row r="158" ht="24.9" customHeight="1">
      <c r="A158" s="261" t="n">
        <v>152</v>
      </c>
      <c r="B158" s="102" t="n"/>
      <c r="C158" s="658" t="n"/>
      <c r="D158" s="515" t="n"/>
      <c r="E158" s="503" t="n"/>
      <c r="F158" s="503" t="n"/>
      <c r="G158" s="515" t="n"/>
      <c r="H158" s="666" t="n"/>
    </row>
    <row r="159" ht="24.9" customHeight="1">
      <c r="A159" s="261" t="n">
        <v>153</v>
      </c>
      <c r="B159" s="102" t="n"/>
      <c r="C159" s="658" t="n"/>
      <c r="D159" s="515" t="n"/>
      <c r="E159" s="503" t="n"/>
      <c r="F159" s="503" t="n"/>
      <c r="G159" s="515" t="n"/>
      <c r="H159" s="666" t="n"/>
    </row>
    <row r="160" ht="24.9" customHeight="1">
      <c r="A160" s="261" t="n">
        <v>154</v>
      </c>
      <c r="B160" s="102" t="n"/>
      <c r="C160" s="658" t="n"/>
      <c r="D160" s="515" t="n"/>
      <c r="E160" s="503" t="n"/>
      <c r="F160" s="503" t="n"/>
      <c r="G160" s="515" t="n"/>
      <c r="H160" s="666" t="n"/>
    </row>
    <row r="161" ht="24.9" customHeight="1">
      <c r="A161" s="261" t="n">
        <v>155</v>
      </c>
      <c r="B161" s="102" t="n"/>
      <c r="C161" s="658" t="n"/>
      <c r="D161" s="515" t="n"/>
      <c r="E161" s="503" t="n"/>
      <c r="F161" s="503" t="n"/>
      <c r="G161" s="515" t="n"/>
      <c r="H161" s="666" t="n"/>
    </row>
    <row r="162" ht="24.9" customHeight="1">
      <c r="A162" s="261" t="n">
        <v>156</v>
      </c>
      <c r="B162" s="102" t="n"/>
      <c r="C162" s="658" t="n"/>
      <c r="D162" s="515" t="n"/>
      <c r="E162" s="503" t="n"/>
      <c r="F162" s="503" t="n"/>
      <c r="G162" s="515" t="n"/>
      <c r="H162" s="666" t="n"/>
    </row>
    <row r="163" ht="24.9" customHeight="1">
      <c r="A163" s="261" t="n">
        <v>157</v>
      </c>
      <c r="B163" s="102" t="n"/>
      <c r="C163" s="658" t="n"/>
      <c r="D163" s="515" t="n"/>
      <c r="E163" s="503" t="n"/>
      <c r="F163" s="503" t="n"/>
      <c r="G163" s="515" t="n"/>
      <c r="H163" s="666" t="n"/>
    </row>
    <row r="164" ht="24.9" customHeight="1">
      <c r="A164" s="261" t="n">
        <v>158</v>
      </c>
      <c r="B164" s="102" t="n"/>
      <c r="C164" s="658" t="n"/>
      <c r="D164" s="515" t="n"/>
      <c r="E164" s="503" t="n"/>
      <c r="F164" s="503" t="n"/>
      <c r="G164" s="515" t="n"/>
      <c r="H164" s="666" t="n"/>
    </row>
    <row r="165" ht="24.9" customHeight="1">
      <c r="A165" s="261" t="n">
        <v>159</v>
      </c>
      <c r="B165" s="102" t="n"/>
      <c r="C165" s="658" t="n"/>
      <c r="D165" s="515" t="n"/>
      <c r="E165" s="503" t="n"/>
      <c r="F165" s="503" t="n"/>
      <c r="G165" s="515" t="n"/>
      <c r="H165" s="666" t="n"/>
    </row>
    <row r="166" ht="24.9" customHeight="1">
      <c r="A166" s="261" t="n">
        <v>160</v>
      </c>
      <c r="B166" s="102" t="n"/>
      <c r="C166" s="658" t="n"/>
      <c r="D166" s="515" t="n"/>
      <c r="E166" s="503" t="n"/>
      <c r="F166" s="503" t="n"/>
      <c r="G166" s="515" t="n"/>
      <c r="H166" s="666" t="n"/>
    </row>
    <row r="167" ht="24.9" customHeight="1">
      <c r="A167" s="261" t="n">
        <v>161</v>
      </c>
      <c r="B167" s="102" t="n"/>
      <c r="C167" s="658" t="n"/>
      <c r="D167" s="515" t="n"/>
      <c r="E167" s="503" t="n"/>
      <c r="F167" s="503" t="n"/>
      <c r="G167" s="515" t="n"/>
      <c r="H167" s="666" t="n"/>
    </row>
    <row r="168" ht="24.9" customHeight="1">
      <c r="A168" s="261" t="n">
        <v>162</v>
      </c>
      <c r="B168" s="102" t="n"/>
      <c r="C168" s="658" t="n"/>
      <c r="D168" s="515" t="n"/>
      <c r="E168" s="503" t="n"/>
      <c r="F168" s="503" t="n"/>
      <c r="G168" s="515" t="n"/>
      <c r="H168" s="666" t="n"/>
    </row>
    <row r="169" ht="24.9" customHeight="1">
      <c r="A169" s="261" t="n">
        <v>163</v>
      </c>
      <c r="B169" s="102" t="n"/>
      <c r="C169" s="658" t="n"/>
      <c r="D169" s="515" t="n"/>
      <c r="E169" s="503" t="n"/>
      <c r="F169" s="503" t="n"/>
      <c r="G169" s="515" t="n"/>
      <c r="H169" s="666" t="n"/>
    </row>
    <row r="170" ht="24.9" customHeight="1">
      <c r="A170" s="261" t="n">
        <v>164</v>
      </c>
      <c r="B170" s="102" t="n"/>
      <c r="C170" s="658" t="n"/>
      <c r="D170" s="515" t="n"/>
      <c r="E170" s="503" t="n"/>
      <c r="F170" s="503" t="n"/>
      <c r="G170" s="515" t="n"/>
      <c r="H170" s="666" t="n"/>
    </row>
    <row r="171" ht="24.9" customHeight="1">
      <c r="A171" s="261" t="n">
        <v>165</v>
      </c>
      <c r="B171" s="102" t="n"/>
      <c r="C171" s="658" t="n"/>
      <c r="D171" s="515" t="n"/>
      <c r="E171" s="503" t="n"/>
      <c r="F171" s="503" t="n"/>
      <c r="G171" s="515" t="n"/>
      <c r="H171" s="666" t="n"/>
    </row>
    <row r="172" ht="24.9" customHeight="1">
      <c r="A172" s="261" t="n">
        <v>166</v>
      </c>
      <c r="B172" s="102" t="n"/>
      <c r="C172" s="658" t="n"/>
      <c r="D172" s="515" t="n"/>
      <c r="E172" s="503" t="n"/>
      <c r="F172" s="503" t="n"/>
      <c r="G172" s="515" t="n"/>
      <c r="H172" s="666" t="n"/>
    </row>
    <row r="173" ht="24.9" customHeight="1">
      <c r="A173" s="261" t="n">
        <v>167</v>
      </c>
      <c r="B173" s="102" t="n"/>
      <c r="C173" s="658" t="n"/>
      <c r="D173" s="515" t="n"/>
      <c r="E173" s="503" t="n"/>
      <c r="F173" s="503" t="n"/>
      <c r="G173" s="515" t="n"/>
      <c r="H173" s="666" t="n"/>
    </row>
    <row r="174" ht="24.9" customHeight="1">
      <c r="A174" s="261" t="n">
        <v>168</v>
      </c>
      <c r="B174" s="102" t="n"/>
      <c r="C174" s="658" t="n"/>
      <c r="D174" s="515" t="n"/>
      <c r="E174" s="503" t="n"/>
      <c r="F174" s="503" t="n"/>
      <c r="G174" s="515" t="n"/>
      <c r="H174" s="666" t="n"/>
    </row>
    <row r="175" ht="24.9" customHeight="1">
      <c r="A175" s="261" t="n">
        <v>169</v>
      </c>
      <c r="B175" s="102" t="n"/>
      <c r="C175" s="658" t="n"/>
      <c r="D175" s="515" t="n"/>
      <c r="E175" s="503" t="n"/>
      <c r="F175" s="503" t="n"/>
      <c r="G175" s="515" t="n"/>
      <c r="H175" s="666" t="n"/>
    </row>
    <row r="176" ht="24.9" customHeight="1">
      <c r="A176" s="261" t="n">
        <v>170</v>
      </c>
      <c r="B176" s="102" t="n"/>
      <c r="C176" s="658" t="n"/>
      <c r="D176" s="515" t="n"/>
      <c r="E176" s="503" t="n"/>
      <c r="F176" s="503" t="n"/>
      <c r="G176" s="515" t="n"/>
      <c r="H176" s="666" t="n"/>
    </row>
    <row r="177" ht="24.9" customHeight="1">
      <c r="A177" s="261" t="n">
        <v>171</v>
      </c>
      <c r="B177" s="102" t="n"/>
      <c r="C177" s="658" t="n"/>
      <c r="D177" s="515" t="n"/>
      <c r="E177" s="503" t="n"/>
      <c r="F177" s="503" t="n"/>
      <c r="G177" s="515" t="n"/>
      <c r="H177" s="666" t="n"/>
    </row>
    <row r="178" ht="24.9" customHeight="1">
      <c r="A178" s="261" t="n">
        <v>172</v>
      </c>
      <c r="B178" s="102" t="n"/>
      <c r="C178" s="658" t="n"/>
      <c r="D178" s="515" t="n"/>
      <c r="E178" s="503" t="n"/>
      <c r="F178" s="503" t="n"/>
      <c r="G178" s="515" t="n"/>
      <c r="H178" s="666" t="n"/>
    </row>
    <row r="179" ht="24.9" customHeight="1">
      <c r="A179" s="261" t="n">
        <v>173</v>
      </c>
      <c r="B179" s="102" t="n"/>
      <c r="C179" s="658" t="n"/>
      <c r="D179" s="515" t="n"/>
      <c r="E179" s="503" t="n"/>
      <c r="F179" s="503" t="n"/>
      <c r="G179" s="515" t="n"/>
      <c r="H179" s="666" t="n"/>
    </row>
    <row r="180" ht="24.9" customHeight="1">
      <c r="A180" s="261" t="n">
        <v>174</v>
      </c>
      <c r="B180" s="102" t="n"/>
      <c r="C180" s="658" t="n"/>
      <c r="D180" s="515" t="n"/>
      <c r="E180" s="503" t="n"/>
      <c r="F180" s="503" t="n"/>
      <c r="G180" s="515" t="n"/>
      <c r="H180" s="666" t="n"/>
    </row>
    <row r="181" ht="24.9" customHeight="1">
      <c r="A181" s="261" t="n">
        <v>175</v>
      </c>
      <c r="B181" s="102" t="n"/>
      <c r="C181" s="658" t="n"/>
      <c r="D181" s="515" t="n"/>
      <c r="E181" s="503" t="n"/>
      <c r="F181" s="503" t="n"/>
      <c r="G181" s="515" t="n"/>
      <c r="H181" s="666" t="n"/>
    </row>
    <row r="182" ht="24.9" customHeight="1">
      <c r="A182" s="261" t="n">
        <v>176</v>
      </c>
      <c r="B182" s="102" t="n"/>
      <c r="C182" s="658" t="n"/>
      <c r="D182" s="515" t="n"/>
      <c r="E182" s="503" t="n"/>
      <c r="F182" s="503" t="n"/>
      <c r="G182" s="515" t="n"/>
      <c r="H182" s="666" t="n"/>
    </row>
    <row r="183" ht="24.9" customHeight="1">
      <c r="A183" s="261" t="n">
        <v>177</v>
      </c>
      <c r="B183" s="102" t="n"/>
      <c r="C183" s="658" t="n"/>
      <c r="D183" s="515" t="n"/>
      <c r="E183" s="503" t="n"/>
      <c r="F183" s="503" t="n"/>
      <c r="G183" s="515" t="n"/>
      <c r="H183" s="666" t="n"/>
    </row>
    <row r="184" ht="24.9" customHeight="1">
      <c r="A184" s="261" t="n">
        <v>178</v>
      </c>
      <c r="B184" s="102" t="n"/>
      <c r="C184" s="658" t="n"/>
      <c r="D184" s="515" t="n"/>
      <c r="E184" s="503" t="n"/>
      <c r="F184" s="503" t="n"/>
      <c r="G184" s="515" t="n"/>
      <c r="H184" s="666" t="n"/>
    </row>
    <row r="185" ht="24.9" customHeight="1">
      <c r="A185" s="261" t="n">
        <v>179</v>
      </c>
      <c r="B185" s="102" t="n"/>
      <c r="C185" s="658" t="n"/>
      <c r="D185" s="515" t="n"/>
      <c r="E185" s="503" t="n"/>
      <c r="F185" s="503" t="n"/>
      <c r="G185" s="515" t="n"/>
      <c r="H185" s="666" t="n"/>
    </row>
    <row r="186" ht="24.9" customHeight="1">
      <c r="A186" s="261" t="n">
        <v>180</v>
      </c>
      <c r="B186" s="102" t="n"/>
      <c r="C186" s="658" t="n"/>
      <c r="D186" s="515" t="n"/>
      <c r="E186" s="503" t="n"/>
      <c r="F186" s="503" t="n"/>
      <c r="G186" s="515" t="n"/>
      <c r="H186" s="666" t="n"/>
    </row>
    <row r="187" ht="24.9" customHeight="1">
      <c r="A187" s="261" t="n">
        <v>181</v>
      </c>
      <c r="B187" s="102" t="n"/>
      <c r="C187" s="658" t="n"/>
      <c r="D187" s="515" t="n"/>
      <c r="E187" s="503" t="n"/>
      <c r="F187" s="503" t="n"/>
      <c r="G187" s="515" t="n"/>
      <c r="H187" s="666" t="n"/>
    </row>
    <row r="188" ht="24.9" customHeight="1">
      <c r="A188" s="261" t="n">
        <v>182</v>
      </c>
      <c r="B188" s="102" t="n"/>
      <c r="C188" s="658" t="n"/>
      <c r="D188" s="515" t="n"/>
      <c r="E188" s="503" t="n"/>
      <c r="F188" s="503" t="n"/>
      <c r="G188" s="515" t="n"/>
      <c r="H188" s="666" t="n"/>
    </row>
    <row r="189" ht="24.9" customHeight="1">
      <c r="A189" s="261" t="n">
        <v>183</v>
      </c>
      <c r="B189" s="102" t="n"/>
      <c r="C189" s="658" t="n"/>
      <c r="D189" s="515" t="n"/>
      <c r="E189" s="503" t="n"/>
      <c r="F189" s="503" t="n"/>
      <c r="G189" s="503" t="n"/>
      <c r="H189" s="59" t="n"/>
    </row>
    <row r="190" ht="24.9" customHeight="1">
      <c r="A190" s="261" t="n">
        <v>184</v>
      </c>
      <c r="B190" s="102" t="n"/>
      <c r="C190" s="658" t="n"/>
      <c r="D190" s="515" t="n"/>
      <c r="E190" s="503" t="n"/>
      <c r="F190" s="503" t="n"/>
      <c r="G190" s="503" t="n"/>
      <c r="H190" s="59" t="n"/>
    </row>
    <row r="191" ht="24.9" customHeight="1">
      <c r="A191" s="261" t="n">
        <v>185</v>
      </c>
      <c r="B191" s="102" t="n"/>
      <c r="C191" s="658" t="n"/>
      <c r="D191" s="515" t="n"/>
      <c r="E191" s="503" t="n"/>
      <c r="F191" s="503" t="n"/>
      <c r="G191" s="503" t="n"/>
      <c r="H191" s="59" t="n"/>
    </row>
    <row r="192" ht="24.9" customHeight="1">
      <c r="A192" s="261" t="n">
        <v>186</v>
      </c>
      <c r="B192" s="102" t="n"/>
      <c r="C192" s="658" t="n"/>
      <c r="D192" s="515" t="n"/>
      <c r="E192" s="503" t="n"/>
      <c r="F192" s="503" t="n"/>
      <c r="G192" s="503" t="n"/>
      <c r="H192" s="59" t="n"/>
    </row>
    <row r="193" ht="24.9" customHeight="1">
      <c r="A193" s="261" t="n">
        <v>187</v>
      </c>
      <c r="B193" s="102" t="n"/>
      <c r="C193" s="658" t="n"/>
      <c r="D193" s="515" t="n"/>
      <c r="E193" s="503" t="n"/>
      <c r="F193" s="503" t="n"/>
      <c r="G193" s="503" t="n"/>
      <c r="H193" s="59" t="n"/>
    </row>
    <row r="194" ht="24.9" customHeight="1">
      <c r="A194" s="261" t="n">
        <v>188</v>
      </c>
      <c r="B194" s="102" t="n"/>
      <c r="C194" s="658" t="n"/>
      <c r="D194" s="515" t="n"/>
      <c r="E194" s="503" t="n"/>
      <c r="F194" s="503" t="n"/>
      <c r="G194" s="503" t="n"/>
      <c r="H194" s="59" t="n"/>
    </row>
    <row r="195" ht="24.9" customHeight="1">
      <c r="A195" s="261" t="n">
        <v>189</v>
      </c>
      <c r="B195" s="102" t="n"/>
      <c r="C195" s="658" t="n"/>
      <c r="D195" s="515" t="n"/>
      <c r="E195" s="503" t="n"/>
      <c r="F195" s="503" t="n"/>
      <c r="G195" s="503" t="n"/>
      <c r="H195" s="59" t="n"/>
    </row>
    <row r="196" ht="24.9" customHeight="1">
      <c r="A196" s="261" t="n">
        <v>190</v>
      </c>
      <c r="B196" s="102" t="n"/>
      <c r="C196" s="658" t="n"/>
      <c r="D196" s="515" t="n"/>
      <c r="E196" s="503" t="n"/>
      <c r="F196" s="503" t="n"/>
      <c r="G196" s="503" t="n"/>
      <c r="H196" s="59" t="n"/>
    </row>
    <row r="197" ht="24.9" customHeight="1">
      <c r="A197" s="263" t="inlineStr">
        <is>
          <t>Total</t>
        </is>
      </c>
      <c r="B197" s="675" t="inlineStr">
        <is>
          <t>N/A</t>
        </is>
      </c>
      <c r="C197" s="713" t="inlineStr">
        <is>
          <t>N/A</t>
        </is>
      </c>
      <c r="D197" s="504">
        <f>SUM(D7:D196)</f>
        <v/>
      </c>
      <c r="E197" s="504">
        <f>SUM(E7:E196)</f>
        <v/>
      </c>
      <c r="F197" s="504">
        <f>SUM(F7:F196)</f>
        <v/>
      </c>
      <c r="G197" s="504">
        <f>SUM(G7:G196)</f>
        <v/>
      </c>
      <c r="H197" s="675">
        <f>SUM(H7:H196)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BQ2ftXLUMzPIRtoV7syYw==" formatRows="1" sort="1" spinCount="100000" hashValue="ECIjAkj5sOpTHBOk7qvT2XvO3sG/Aqnz+fR40kv7FFyXYfFfebInt6ebF9Qs7yAO3htFUiwAQcyHl10dCBy92g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44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topLeftCell="A4" workbookViewId="0">
      <selection activeCell="F7" sqref="F7"/>
    </sheetView>
  </sheetViews>
  <sheetFormatPr baseColWidth="10" defaultColWidth="9.109375" defaultRowHeight="13.2"/>
  <cols>
    <col width="15.44140625" customWidth="1" style="1" min="1" max="1"/>
    <col width="64.109375" customWidth="1" style="1" min="2" max="2"/>
    <col width="18.88671875" customWidth="1" style="509" min="3" max="3"/>
    <col width="32.44140625" customWidth="1" style="1" min="4" max="4"/>
    <col width="36.5546875" customWidth="1" style="1" min="5" max="5"/>
    <col width="43.21875" customWidth="1" style="1" min="6" max="6"/>
    <col width="41.33203125" customWidth="1" style="1" min="7" max="7"/>
    <col width="25.5546875" customWidth="1" style="1" min="8" max="8"/>
    <col width="26.6640625" customWidth="1" style="22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M.VIII.DIX (10) DEBITEURS LES PLUS IMPORTANTS</t>
        </is>
      </c>
      <c r="D4" s="711" t="n"/>
      <c r="E4" s="711" t="n"/>
      <c r="F4" s="711" t="n"/>
      <c r="G4" s="712" t="n"/>
    </row>
    <row r="5" ht="26.25" customHeight="1"/>
    <row r="6" ht="40.5" customHeight="1">
      <c r="A6" s="100" t="inlineStr">
        <is>
          <t>N°.</t>
        </is>
      </c>
      <c r="B6" s="90" t="inlineStr">
        <is>
          <t xml:space="preserve">Nom et prénoms </t>
        </is>
      </c>
      <c r="C6" s="510" t="inlineStr">
        <is>
          <t>Date originale</t>
        </is>
      </c>
      <c r="D6" s="74" t="inlineStr">
        <is>
          <t>Montant original</t>
        </is>
      </c>
      <c r="E6" s="90" t="inlineStr">
        <is>
          <t>Solde</t>
        </is>
      </c>
      <c r="F6" s="74" t="inlineStr">
        <is>
          <t>Retard en capital</t>
        </is>
      </c>
      <c r="G6" s="74" t="inlineStr">
        <is>
          <t>Provision comptabilisée</t>
        </is>
      </c>
      <c r="H6" s="90" t="inlineStr">
        <is>
          <t>Garantie</t>
        </is>
      </c>
      <c r="I6" s="498" t="inlineStr">
        <is>
          <t>Ratio de limitation des engagements pris sur une seule signature</t>
        </is>
      </c>
    </row>
    <row r="7" ht="24.9" customHeight="1">
      <c r="A7" s="264" t="n">
        <v>1</v>
      </c>
      <c r="B7" s="435" t="n"/>
      <c r="C7" s="511" t="n"/>
      <c r="D7" s="714" t="n"/>
      <c r="E7" s="714" t="n"/>
      <c r="F7" s="666" t="n"/>
      <c r="G7" s="666" t="n"/>
      <c r="H7" s="714" t="n"/>
      <c r="I7" s="499">
        <f>IF(M.X.RSL!G39=0,0,(E7/M.X.RSL!G39)*100)</f>
        <v/>
      </c>
    </row>
    <row r="8" ht="24.9" customHeight="1">
      <c r="A8" s="265" t="n">
        <v>2</v>
      </c>
      <c r="B8" s="714" t="n"/>
      <c r="C8" s="511" t="n"/>
      <c r="D8" s="714" t="n"/>
      <c r="E8" s="715" t="n"/>
      <c r="F8" s="666" t="n"/>
      <c r="G8" s="666" t="n"/>
      <c r="H8" s="714" t="n"/>
      <c r="I8" s="499">
        <f>IF(M.X.RSL!G39=0,0,(E8/M.X.RSL!G39)*100)</f>
        <v/>
      </c>
    </row>
    <row r="9" ht="24.9" customHeight="1">
      <c r="A9" s="265" t="n">
        <v>3</v>
      </c>
      <c r="B9" s="716" t="n"/>
      <c r="C9" s="512" t="n"/>
      <c r="D9" s="714" t="n"/>
      <c r="E9" s="717" t="n"/>
      <c r="F9" s="666" t="n">
        <v>0</v>
      </c>
      <c r="G9" s="666" t="n">
        <v>0</v>
      </c>
      <c r="H9" s="714" t="n"/>
      <c r="I9" s="499">
        <f>IF(M.X.RSL!G39=0,0,(E9/M.X.RSL!G39)*100)</f>
        <v/>
      </c>
    </row>
    <row r="10" ht="24.9" customHeight="1">
      <c r="A10" s="265" t="n">
        <v>4</v>
      </c>
      <c r="B10" s="439" t="n"/>
      <c r="C10" s="512" t="n"/>
      <c r="D10" s="716" t="n"/>
      <c r="E10" s="714" t="n"/>
      <c r="F10" s="666" t="n">
        <v>0</v>
      </c>
      <c r="G10" s="666" t="n">
        <v>0</v>
      </c>
      <c r="H10" s="714" t="n">
        <v>0</v>
      </c>
      <c r="I10" s="499">
        <f>IF(M.X.RSL!G39=0,0,(E10/M.X.RSL!G39)*100)</f>
        <v/>
      </c>
    </row>
    <row r="11" ht="24.9" customHeight="1">
      <c r="A11" s="265" t="n">
        <v>5</v>
      </c>
      <c r="B11" s="439" t="n"/>
      <c r="C11" s="512" t="n"/>
      <c r="D11" s="716" t="n"/>
      <c r="E11" s="714" t="n"/>
      <c r="F11" s="666" t="n">
        <v>0</v>
      </c>
      <c r="G11" s="666" t="n">
        <v>0</v>
      </c>
      <c r="H11" s="714" t="n">
        <v>0</v>
      </c>
      <c r="I11" s="499">
        <f>IF(M.X.RSL!G39=0,0,(E11/M.X.RSL!G39)*100)</f>
        <v/>
      </c>
    </row>
    <row r="12" ht="24.9" customHeight="1">
      <c r="A12" s="265" t="n">
        <v>6</v>
      </c>
      <c r="B12" s="439" t="n"/>
      <c r="C12" s="513" t="n"/>
      <c r="D12" s="716" t="n"/>
      <c r="E12" s="716" t="n"/>
      <c r="F12" s="666" t="n">
        <v>0</v>
      </c>
      <c r="G12" s="666" t="n">
        <v>0</v>
      </c>
      <c r="H12" s="714" t="n"/>
      <c r="I12" s="499">
        <f>IF(M.X.RSL!G39=0,0,(E12/M.X.RSL!G39)*100)</f>
        <v/>
      </c>
    </row>
    <row r="13" ht="24.9" customHeight="1">
      <c r="A13" s="265" t="n">
        <v>7</v>
      </c>
      <c r="B13" s="439" t="n"/>
      <c r="C13" s="513" t="n"/>
      <c r="D13" s="716" t="n"/>
      <c r="E13" s="716" t="n"/>
      <c r="F13" s="666" t="n">
        <v>0</v>
      </c>
      <c r="G13" s="666" t="n">
        <v>0</v>
      </c>
      <c r="H13" s="714" t="n"/>
      <c r="I13" s="499">
        <f>IF(M.X.RSL!G39=0,0,(E13/M.X.RSL!G39)*100)</f>
        <v/>
      </c>
    </row>
    <row r="14" ht="24.9" customHeight="1">
      <c r="A14" s="265" t="n">
        <v>8</v>
      </c>
      <c r="B14" s="439" t="n"/>
      <c r="C14" s="513" t="n"/>
      <c r="D14" s="716" t="n"/>
      <c r="E14" s="716" t="n"/>
      <c r="F14" s="666" t="n">
        <v>0</v>
      </c>
      <c r="G14" s="666" t="n">
        <v>0</v>
      </c>
      <c r="H14" s="714" t="n"/>
      <c r="I14" s="499">
        <f>IF(M.X.RSL!G39=0,0,(E14/M.X.RSL!G39)*100)</f>
        <v/>
      </c>
    </row>
    <row r="15" ht="24.9" customHeight="1">
      <c r="A15" s="265" t="n">
        <v>9</v>
      </c>
      <c r="B15" s="716" t="n"/>
      <c r="C15" s="512" t="n"/>
      <c r="D15" s="716" t="n"/>
      <c r="E15" s="716" t="n"/>
      <c r="F15" s="666" t="n">
        <v>0</v>
      </c>
      <c r="G15" s="666" t="n">
        <v>0</v>
      </c>
      <c r="H15" s="714" t="n"/>
      <c r="I15" s="499">
        <f>IF(M.X.RSL!G39=0,0,(E15/M.X.RSL!G39)*100)</f>
        <v/>
      </c>
    </row>
    <row r="16" ht="24.9" customHeight="1">
      <c r="A16" s="266" t="n">
        <v>10</v>
      </c>
      <c r="B16" s="441" t="n"/>
      <c r="C16" s="513" t="n"/>
      <c r="D16" s="716" t="n"/>
      <c r="E16" s="716" t="n"/>
      <c r="F16" s="666" t="n">
        <v>0</v>
      </c>
      <c r="G16" s="666" t="n">
        <v>0</v>
      </c>
      <c r="H16" s="714" t="n"/>
      <c r="I16" s="499">
        <f>IF(M.X.RSL!G39=0,0,(E16/M.X.RSL!G39)*100)</f>
        <v/>
      </c>
    </row>
    <row r="17" ht="24.9" customHeight="1">
      <c r="A17" s="263" t="inlineStr">
        <is>
          <t>TOTAL</t>
        </is>
      </c>
      <c r="B17" s="675" t="inlineStr">
        <is>
          <t>N/A</t>
        </is>
      </c>
      <c r="C17" s="514" t="inlineStr">
        <is>
          <t>N/A</t>
        </is>
      </c>
      <c r="D17" s="718">
        <f>SUM(D7:D16)</f>
        <v/>
      </c>
      <c r="E17" s="718">
        <f>SUM(E7:E16)</f>
        <v/>
      </c>
      <c r="F17" s="718">
        <f>SUM(F7:F16)</f>
        <v/>
      </c>
      <c r="G17" s="718">
        <f>SUM(G7:G16)</f>
        <v/>
      </c>
      <c r="H17" s="719">
        <f>SUM(H7:H16)</f>
        <v/>
      </c>
      <c r="I17" s="500" t="n"/>
    </row>
    <row r="20">
      <c r="C20" s="530" t="n"/>
    </row>
    <row r="21"/>
    <row r="22" ht="3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4/0jRboRsvj+gGD3sGAgA==" formatRows="1" sort="1" spinCount="100000" hashValue="WjHYoUMPWdSJkCeREyMNHRO7oazSAK5AsNiw5OTiU82rlgLl/75PI5wkpiOUt+DD2e2NNFwAhvnefefc0NY2tA=="/>
  <mergeCells count="5">
    <mergeCell ref="C1:G1"/>
    <mergeCell ref="C2:G2"/>
    <mergeCell ref="C3:G3"/>
    <mergeCell ref="C4:G4"/>
    <mergeCell ref="C20:F21"/>
  </mergeCells>
  <pageMargins left="0.7" right="0.7" top="0.75" bottom="0.75" header="0.3" footer="0.3"/>
  <pageSetup orientation="portrait" paperSize="9" scale="41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topLeftCell="A21" workbookViewId="0">
      <selection activeCell="F27" sqref="F27:H27"/>
    </sheetView>
  </sheetViews>
  <sheetFormatPr baseColWidth="10" defaultColWidth="9.109375" defaultRowHeight="13.2"/>
  <cols>
    <col width="14.109375" customWidth="1" style="1" min="1" max="1"/>
    <col width="31.44140625" customWidth="1" style="1" min="2" max="2"/>
    <col width="12.5546875" customWidth="1" style="1" min="3" max="3"/>
    <col width="62.33203125" customWidth="1" style="1" min="4" max="4"/>
    <col width="15.88671875" bestFit="1" customWidth="1" style="1" min="5" max="5"/>
    <col width="16.5546875" bestFit="1" customWidth="1" style="1" min="6" max="6"/>
    <col width="15.88671875" bestFit="1" customWidth="1" style="1" min="7" max="7"/>
    <col width="19.109375" customWidth="1" style="1" min="8" max="8"/>
    <col width="12.88671875" customWidth="1" style="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M.IX.DONNEES SUR LES ACTIVITES ET STATISTIQUES GENERALES</t>
        </is>
      </c>
      <c r="D4" s="711" t="n"/>
      <c r="E4" s="711" t="n"/>
      <c r="F4" s="711" t="n"/>
      <c r="G4" s="712" t="n"/>
    </row>
    <row r="5" ht="26.25" customHeight="1"/>
    <row r="6" ht="40.5" customHeight="1">
      <c r="A6" s="720" t="inlineStr">
        <is>
          <t>CODE</t>
        </is>
      </c>
      <c r="B6" s="531" t="inlineStr">
        <is>
          <t>ELEMENT</t>
        </is>
      </c>
      <c r="C6" s="531" t="inlineStr">
        <is>
          <t>INDICATEURS</t>
        </is>
      </c>
      <c r="D6" s="721" t="n"/>
      <c r="E6" s="101" t="n"/>
      <c r="F6" s="533" t="inlineStr">
        <is>
          <t>INSCRIRE LE DETAIL DANS CETTE COLONNE</t>
        </is>
      </c>
      <c r="G6" s="722" t="n"/>
      <c r="H6" s="723" t="n"/>
    </row>
    <row r="7" ht="24.9" customHeight="1">
      <c r="A7" s="724" t="n"/>
      <c r="B7" s="725" t="n"/>
      <c r="C7" s="726" t="n"/>
      <c r="D7" s="712" t="n"/>
      <c r="E7" s="75" t="n"/>
      <c r="F7" s="546" t="inlineStr">
        <is>
          <t xml:space="preserve">Total </t>
        </is>
      </c>
      <c r="G7" s="359" t="inlineStr">
        <is>
          <t>Agences ou Caisses de base</t>
        </is>
      </c>
      <c r="H7" s="538" t="inlineStr">
        <is>
          <t>Points de service</t>
        </is>
      </c>
    </row>
    <row r="8" ht="41.25" customHeight="1">
      <c r="A8" s="11" t="inlineStr">
        <is>
          <t>M.IX.SG.1</t>
        </is>
      </c>
      <c r="B8" s="561" t="inlineStr">
        <is>
          <t>A</t>
        </is>
      </c>
      <c r="C8" s="540" t="n"/>
      <c r="D8" s="268" t="inlineStr">
        <is>
          <t>Nombre d'institutions en opération, si affialiation à un   réseau ou     nombre de succursales, de bureaux ou d'agences en opération si non affialiation à un réseau.</t>
        </is>
      </c>
      <c r="E8" s="269" t="n"/>
      <c r="F8" s="234" t="n">
        <v>102</v>
      </c>
      <c r="G8" s="234" t="n">
        <v>103</v>
      </c>
      <c r="H8" s="235" t="n">
        <v>104</v>
      </c>
    </row>
    <row r="9" ht="24.9" customHeight="1">
      <c r="A9" s="48" t="n"/>
      <c r="B9" s="271" t="n"/>
      <c r="C9" s="539" t="n"/>
      <c r="D9" s="290" t="inlineStr">
        <is>
          <t xml:space="preserve">Nombre total de membres/clients des institutions en opération si affialiation à un réseau ou de membres de succursales, de bureaux ou d'agences d'une institution en opération au cas de non affiliation à un réseau.   </t>
        </is>
      </c>
      <c r="E9" s="272" t="n"/>
      <c r="F9" s="546" t="inlineStr">
        <is>
          <t>Individuel</t>
        </is>
      </c>
      <c r="G9" s="546" t="inlineStr">
        <is>
          <t>Groupement</t>
        </is>
      </c>
      <c r="H9" s="709" t="n"/>
    </row>
    <row r="10" ht="24.9" customHeight="1">
      <c r="A10" s="19" t="n"/>
      <c r="B10" s="273" t="n"/>
      <c r="C10" s="727" t="n"/>
      <c r="D10" s="727" t="n"/>
      <c r="E10" s="272" t="n"/>
      <c r="F10" s="727" t="n"/>
      <c r="G10" s="546" t="inlineStr">
        <is>
          <t>Groupes</t>
        </is>
      </c>
      <c r="H10" s="551" t="inlineStr">
        <is>
          <t>Personnes</t>
        </is>
      </c>
    </row>
    <row r="11" ht="24.9" customHeight="1">
      <c r="A11" s="19" t="n"/>
      <c r="B11" s="273" t="n"/>
      <c r="C11" s="725" t="n"/>
      <c r="D11" s="725" t="n"/>
      <c r="E11" s="268" t="n"/>
      <c r="F11" s="725" t="n"/>
      <c r="G11" s="725" t="n"/>
      <c r="H11" s="728" t="n"/>
    </row>
    <row r="12" ht="24.9" customHeight="1">
      <c r="A12" s="10" t="inlineStr">
        <is>
          <t>M.IX.SG.2</t>
        </is>
      </c>
      <c r="B12" s="274" t="inlineStr">
        <is>
          <t xml:space="preserve">B </t>
        </is>
      </c>
      <c r="C12" s="546" t="inlineStr">
        <is>
          <t>TOTAL</t>
        </is>
      </c>
      <c r="D12" s="675" t="n">
        <v>201</v>
      </c>
      <c r="E12" s="268" t="n"/>
      <c r="F12" s="69" t="n">
        <v>202</v>
      </c>
      <c r="G12" s="72" t="n">
        <v>203</v>
      </c>
      <c r="H12" s="71" t="n">
        <v>204</v>
      </c>
    </row>
    <row r="13" ht="24.9" customHeight="1">
      <c r="A13" s="48" t="n"/>
      <c r="B13" s="168" t="n"/>
      <c r="C13" s="540" t="n"/>
      <c r="D13" s="536" t="inlineStr">
        <is>
          <t xml:space="preserve">Nombre de femmes membres/clientes.                                           </t>
        </is>
      </c>
      <c r="E13" s="275" t="n"/>
      <c r="F13" s="535" t="inlineStr">
        <is>
          <t>Individuel</t>
        </is>
      </c>
      <c r="G13" s="535" t="inlineStr">
        <is>
          <t>Groupement</t>
        </is>
      </c>
      <c r="H13" s="709" t="n"/>
    </row>
    <row r="14" ht="24.9" customHeight="1">
      <c r="A14" s="19" t="n"/>
      <c r="B14" s="276" t="n"/>
      <c r="C14" s="727" t="n"/>
      <c r="D14" s="727" t="n"/>
      <c r="E14" s="275" t="n"/>
      <c r="F14" s="727" t="n"/>
      <c r="G14" s="535" t="inlineStr">
        <is>
          <t>Groupes</t>
        </is>
      </c>
      <c r="H14" s="545" t="inlineStr">
        <is>
          <t>Personnes</t>
        </is>
      </c>
    </row>
    <row r="15" ht="24.9" customHeight="1">
      <c r="A15" s="19" t="n"/>
      <c r="B15" s="276" t="n"/>
      <c r="C15" s="725" t="n"/>
      <c r="D15" s="725" t="n"/>
      <c r="E15" s="275" t="n"/>
      <c r="F15" s="725" t="n"/>
      <c r="G15" s="725" t="n"/>
      <c r="H15" s="728" t="n"/>
    </row>
    <row r="16" ht="24.9" customHeight="1">
      <c r="A16" s="10" t="inlineStr">
        <is>
          <t>M.IX.SG.3</t>
        </is>
      </c>
      <c r="B16" s="566" t="inlineStr">
        <is>
          <t>C</t>
        </is>
      </c>
      <c r="C16" s="532" t="inlineStr">
        <is>
          <t>TOTAL</t>
        </is>
      </c>
      <c r="D16" s="675" t="n">
        <v>301</v>
      </c>
      <c r="E16" s="275" t="n"/>
      <c r="F16" s="729" t="n">
        <v>302</v>
      </c>
      <c r="G16" s="104" t="n">
        <v>303</v>
      </c>
      <c r="H16" s="107" t="n">
        <v>304</v>
      </c>
    </row>
    <row r="17" ht="24.9" customHeight="1">
      <c r="A17" s="48" t="n"/>
      <c r="B17" s="168" t="n"/>
      <c r="C17" s="540" t="n"/>
      <c r="D17" s="536" t="inlineStr">
        <is>
          <t xml:space="preserve">Nombre de crédits en cours accordés aux femmes.                                                                                                      </t>
        </is>
      </c>
      <c r="E17" s="277" t="n"/>
      <c r="F17" s="535" t="inlineStr">
        <is>
          <t>Individuel</t>
        </is>
      </c>
      <c r="G17" s="535" t="inlineStr">
        <is>
          <t>Groupement</t>
        </is>
      </c>
      <c r="H17" s="709" t="n"/>
    </row>
    <row r="18" ht="24.9" customHeight="1">
      <c r="A18" s="19" t="n"/>
      <c r="B18" s="276" t="n"/>
      <c r="C18" s="540" t="n"/>
      <c r="D18" s="725" t="n"/>
      <c r="E18" s="277" t="n"/>
      <c r="F18" s="725" t="n"/>
      <c r="G18" s="535" t="inlineStr">
        <is>
          <t>Groupes</t>
        </is>
      </c>
      <c r="H18" s="545" t="inlineStr">
        <is>
          <t>Personnes</t>
        </is>
      </c>
    </row>
    <row r="19" ht="24.9" customHeight="1">
      <c r="A19" s="10" t="inlineStr">
        <is>
          <t>M.IX.SG.4</t>
        </is>
      </c>
      <c r="B19" s="566" t="inlineStr">
        <is>
          <t>D</t>
        </is>
      </c>
      <c r="C19" s="532" t="inlineStr">
        <is>
          <t>TOTAL</t>
        </is>
      </c>
      <c r="D19" s="675" t="n">
        <v>401</v>
      </c>
      <c r="E19" s="277" t="n"/>
      <c r="F19" s="104" t="n">
        <v>402</v>
      </c>
      <c r="G19" s="105" t="n">
        <v>403</v>
      </c>
      <c r="H19" s="106" t="n">
        <v>404</v>
      </c>
    </row>
    <row r="20" ht="24.9" customHeight="1">
      <c r="A20" s="48" t="n"/>
      <c r="B20" s="168" t="n"/>
      <c r="C20" s="280" t="n"/>
      <c r="D20" s="539" t="inlineStr">
        <is>
          <t xml:space="preserve"> Volume de crédits en cours accordés aux femmes.                                                                                             </t>
        </is>
      </c>
      <c r="E20" s="282" t="n"/>
      <c r="F20" s="532" t="inlineStr">
        <is>
          <t>Individuel</t>
        </is>
      </c>
      <c r="G20" s="532" t="inlineStr">
        <is>
          <t>Groupement</t>
        </is>
      </c>
      <c r="H20" s="709" t="n"/>
    </row>
    <row r="21" ht="24.9" customHeight="1">
      <c r="A21" s="10" t="inlineStr">
        <is>
          <t>M.IX.SG.5</t>
        </is>
      </c>
      <c r="B21" s="566" t="inlineStr">
        <is>
          <t>E</t>
        </is>
      </c>
      <c r="C21" s="532" t="inlineStr">
        <is>
          <t>TOTAL</t>
        </is>
      </c>
      <c r="D21" s="675" t="n">
        <v>501</v>
      </c>
      <c r="E21" s="282" t="n"/>
      <c r="F21" s="730" t="n">
        <v>502</v>
      </c>
      <c r="G21" s="730" t="n">
        <v>503</v>
      </c>
      <c r="H21" s="731" t="n"/>
    </row>
    <row r="22" ht="24.9" customHeight="1">
      <c r="A22" s="11" t="inlineStr">
        <is>
          <t>M.IX.SG.6</t>
        </is>
      </c>
      <c r="B22" s="561" t="inlineStr">
        <is>
          <t>F</t>
        </is>
      </c>
      <c r="C22" s="561" t="inlineStr">
        <is>
          <t>Nombre total de Dirigeants du réseau ou de l'institution.</t>
        </is>
      </c>
      <c r="D22" s="709" t="n"/>
      <c r="E22" s="283" t="n"/>
      <c r="F22" s="562" t="n">
        <v>602</v>
      </c>
      <c r="G22" s="732" t="n"/>
      <c r="H22" s="731" t="n"/>
    </row>
    <row r="23" ht="24.9" customHeight="1">
      <c r="A23" s="11" t="inlineStr">
        <is>
          <t>M.IX.SG.7</t>
        </is>
      </c>
      <c r="B23" s="561" t="inlineStr">
        <is>
          <t>G</t>
        </is>
      </c>
      <c r="C23" s="539" t="inlineStr">
        <is>
          <t xml:space="preserve"> Pourcentage des dirigeants de sexe féminin en poste aux   différents organes decisionnels et conseils.</t>
        </is>
      </c>
      <c r="D23" s="709" t="n"/>
      <c r="E23" s="268" t="n"/>
      <c r="F23" s="564" t="n">
        <v>702</v>
      </c>
      <c r="G23" s="732" t="n"/>
      <c r="H23" s="731" t="n"/>
    </row>
    <row r="24" ht="24.9" customHeight="1">
      <c r="A24" s="48" t="n"/>
      <c r="B24" s="168" t="n"/>
      <c r="C24" s="284" t="n"/>
      <c r="D24" s="733" t="inlineStr">
        <is>
          <t>Nombre d'employés total au sein des institutions affiliées à un réseau ou au sein de succursales, bureaux et agences d'une institution.</t>
        </is>
      </c>
      <c r="E24" s="268" t="n"/>
      <c r="F24" s="532" t="inlineStr">
        <is>
          <t>Femmes</t>
        </is>
      </c>
      <c r="G24" s="532" t="inlineStr">
        <is>
          <t>Hommes</t>
        </is>
      </c>
      <c r="H24" s="734" t="n"/>
    </row>
    <row r="25" ht="24.9" customHeight="1">
      <c r="A25" s="19" t="n"/>
      <c r="B25" s="276" t="n"/>
      <c r="C25" s="285" t="n"/>
      <c r="D25" s="735" t="n"/>
      <c r="E25" s="268" t="n"/>
      <c r="F25" s="725" t="n"/>
      <c r="G25" s="726" t="n"/>
      <c r="H25" s="712" t="n"/>
    </row>
    <row r="26" ht="24.9" customHeight="1">
      <c r="A26" s="10" t="inlineStr">
        <is>
          <t>M.IX.SG.8</t>
        </is>
      </c>
      <c r="B26" s="566" t="inlineStr">
        <is>
          <t>H</t>
        </is>
      </c>
      <c r="C26" s="532" t="inlineStr">
        <is>
          <t>TOTAL</t>
        </is>
      </c>
      <c r="D26" s="675" t="n">
        <v>801</v>
      </c>
      <c r="E26" s="268" t="n"/>
      <c r="F26" s="69" t="n">
        <v>802</v>
      </c>
      <c r="G26" s="562" t="n">
        <v>803</v>
      </c>
      <c r="H26" s="731" t="n"/>
    </row>
    <row r="27" ht="24.9" customHeight="1">
      <c r="A27" s="11" t="inlineStr">
        <is>
          <t>M.IX.SG.9</t>
        </is>
      </c>
      <c r="B27" s="561" t="inlineStr">
        <is>
          <t>I</t>
        </is>
      </c>
      <c r="C27" s="561" t="inlineStr">
        <is>
          <t xml:space="preserve"> Nombre total d'employés au sein du réseau des 2e et 3e niveaux du réseau.</t>
        </is>
      </c>
      <c r="D27" s="709" t="n"/>
      <c r="E27" s="283" t="n"/>
      <c r="F27" s="562" t="n">
        <v>902</v>
      </c>
      <c r="G27" s="732" t="n"/>
      <c r="H27" s="731" t="n"/>
    </row>
    <row r="28" ht="24.9" customHeight="1">
      <c r="A28" s="12" t="inlineStr">
        <is>
          <t>M.IX.SG.10</t>
        </is>
      </c>
      <c r="B28" s="556" t="inlineStr">
        <is>
          <t>J</t>
        </is>
      </c>
      <c r="C28" s="556" t="inlineStr">
        <is>
          <t>Nombre d'agents de crédit</t>
        </is>
      </c>
      <c r="D28" s="736" t="n"/>
      <c r="E28" s="287" t="n"/>
      <c r="F28" s="557" t="n">
        <v>1002</v>
      </c>
      <c r="G28" s="737" t="n"/>
      <c r="H28" s="73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P2tp1gKI1dIvYYkAOROTMg==" formatRows="1" sort="1" spinCount="100000" hashValue="NhyGll2EfE7L9JA4UWdcUygI3N3gNjfqUKJWO6R5IoB9zmuqlTAnk4+t6PHp1ZCt8IZNNAc6FcJFZeu7QDX/5A=="/>
  <mergeCells count="37">
    <mergeCell ref="G21:H21"/>
    <mergeCell ref="C28:D28"/>
    <mergeCell ref="F28:H28"/>
    <mergeCell ref="D24:D25"/>
    <mergeCell ref="F24:F25"/>
    <mergeCell ref="C22:D22"/>
    <mergeCell ref="F22:H22"/>
    <mergeCell ref="C23:D23"/>
    <mergeCell ref="F23:H23"/>
    <mergeCell ref="G26:H26"/>
    <mergeCell ref="G24:H25"/>
    <mergeCell ref="C27:D27"/>
    <mergeCell ref="F27:H27"/>
    <mergeCell ref="A6:A7"/>
    <mergeCell ref="H10:H11"/>
    <mergeCell ref="B6:B7"/>
    <mergeCell ref="F13:F15"/>
    <mergeCell ref="G14:G15"/>
    <mergeCell ref="H14:H15"/>
    <mergeCell ref="F9:F11"/>
    <mergeCell ref="D13:D15"/>
    <mergeCell ref="G13:H13"/>
    <mergeCell ref="D9:D11"/>
    <mergeCell ref="G9:H9"/>
    <mergeCell ref="G10:G11"/>
    <mergeCell ref="F17:F18"/>
    <mergeCell ref="D17:D18"/>
    <mergeCell ref="G17:H17"/>
    <mergeCell ref="G20:H20"/>
    <mergeCell ref="C9:C11"/>
    <mergeCell ref="C13:C15"/>
    <mergeCell ref="C1:G1"/>
    <mergeCell ref="C2:G2"/>
    <mergeCell ref="C3:G3"/>
    <mergeCell ref="C4:G4"/>
    <mergeCell ref="C6:D7"/>
    <mergeCell ref="F6:H6"/>
  </mergeCells>
  <pageMargins left="0.7" right="0.7" top="0.75" bottom="0.75" header="0.3" footer="0.3"/>
  <pageSetup orientation="portrait" paperSize="9" scale="46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topLeftCell="D7" workbookViewId="0">
      <selection activeCell="E66" sqref="E66"/>
    </sheetView>
  </sheetViews>
  <sheetFormatPr baseColWidth="10" defaultRowHeight="14.4"/>
  <cols>
    <col width="58.77734375" customWidth="1" min="4" max="4"/>
    <col width="27.21875" customWidth="1" min="5" max="5"/>
    <col width="21.109375" customWidth="1" min="6" max="6"/>
    <col width="28.44140625" customWidth="1" min="7" max="7"/>
  </cols>
  <sheetData>
    <row r="1">
      <c r="A1" s="1" t="n"/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>
      <c r="A2" s="1" t="n"/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>
      <c r="A3" s="1" t="n"/>
      <c r="B3" s="642" t="inlineStr">
        <is>
          <t>Date des rapports</t>
        </is>
      </c>
      <c r="C3" s="252">
        <f>'M.0.INFO.G'!C3</f>
        <v/>
      </c>
      <c r="D3" s="708" t="n"/>
      <c r="E3" s="708" t="n"/>
      <c r="F3" s="708" t="n"/>
      <c r="G3" s="709" t="n"/>
    </row>
    <row r="4">
      <c r="A4" s="1" t="n"/>
      <c r="B4" s="642" t="inlineStr">
        <is>
          <t xml:space="preserve">Rapport </t>
        </is>
      </c>
      <c r="C4" s="710" t="inlineStr">
        <is>
          <t>M.X.ANNEXE RELATIVE AU CALCUL DES RATIOS DE SOLVABILITE ET DE LIQUIDITE</t>
        </is>
      </c>
      <c r="D4" s="711" t="n"/>
      <c r="E4" s="711" t="n"/>
      <c r="F4" s="711" t="n"/>
      <c r="G4" s="712" t="n"/>
    </row>
    <row r="5">
      <c r="A5" s="1" t="n"/>
      <c r="B5" s="1" t="n"/>
      <c r="C5" s="1" t="n"/>
      <c r="D5" s="1" t="n"/>
      <c r="E5" s="1" t="n"/>
      <c r="F5" s="1" t="n"/>
      <c r="G5" s="1" t="n"/>
    </row>
    <row r="6" ht="26.4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N° Compte</t>
        </is>
      </c>
      <c r="D6" s="74" t="inlineStr">
        <is>
          <t>FONDS PROPRES DE BASE</t>
        </is>
      </c>
      <c r="E6" s="74" t="inlineStr">
        <is>
          <t>MONTANT GNF</t>
        </is>
      </c>
      <c r="F6" s="74" t="inlineStr">
        <is>
          <t>TAUX DE PONDERATION</t>
        </is>
      </c>
      <c r="G6" s="74" t="inlineStr">
        <is>
          <t>MONTANT RETENU</t>
        </is>
      </c>
    </row>
    <row r="7">
      <c r="A7" s="11" t="inlineStr">
        <is>
          <t>M.X.RSL.1</t>
        </is>
      </c>
      <c r="B7" s="531" t="inlineStr">
        <is>
          <t>A</t>
        </is>
      </c>
      <c r="C7" s="75" t="n">
        <v>50</v>
      </c>
      <c r="D7" s="76" t="inlineStr">
        <is>
          <t xml:space="preserve">Provisions du passif / fonds pour risques bancaires généraux  </t>
        </is>
      </c>
      <c r="E7" s="739">
        <f>+M.I.BILAN!F132</f>
        <v/>
      </c>
      <c r="F7" s="740" t="n">
        <v>100</v>
      </c>
      <c r="G7" s="741">
        <f>+E7*F7/100</f>
        <v/>
      </c>
    </row>
    <row r="8">
      <c r="A8" s="11" t="inlineStr">
        <is>
          <t>M.X.RSL.2</t>
        </is>
      </c>
      <c r="B8" s="727" t="n"/>
      <c r="C8" s="75" t="n">
        <v>572</v>
      </c>
      <c r="D8" s="76" t="inlineStr">
        <is>
          <t xml:space="preserve">Capital libéré fixe ou dont le remboursement peut être bloqué  </t>
        </is>
      </c>
      <c r="E8" s="739">
        <f>+M.I.BILAN!F146</f>
        <v/>
      </c>
      <c r="F8" s="740" t="n">
        <v>100</v>
      </c>
      <c r="G8" s="742">
        <f>+E8*F8/100</f>
        <v/>
      </c>
    </row>
    <row r="9">
      <c r="A9" s="11" t="inlineStr">
        <is>
          <t>M.X.RSL.3</t>
        </is>
      </c>
      <c r="B9" s="727" t="n"/>
      <c r="C9" s="75" t="n">
        <v>52</v>
      </c>
      <c r="D9" s="76" t="inlineStr">
        <is>
          <t xml:space="preserve">Report à nouveau </t>
        </is>
      </c>
      <c r="E9" s="739">
        <f>M.I.BILAN!F134</f>
        <v/>
      </c>
      <c r="F9" s="740" t="n">
        <v>100</v>
      </c>
      <c r="G9" s="742">
        <f>+E9*F9/100</f>
        <v/>
      </c>
    </row>
    <row r="10">
      <c r="A10" s="11" t="inlineStr">
        <is>
          <t>M.X.RSL.4</t>
        </is>
      </c>
      <c r="B10" s="727" t="n"/>
      <c r="C10" s="75" t="n">
        <v>54</v>
      </c>
      <c r="D10" s="76" t="inlineStr">
        <is>
          <t xml:space="preserve">Réserves facultatives </t>
        </is>
      </c>
      <c r="E10" s="739">
        <f>+M.I.BILAN!F141</f>
        <v/>
      </c>
      <c r="F10" s="740" t="n">
        <v>100</v>
      </c>
      <c r="G10" s="742">
        <f>+E10*F10/100</f>
        <v/>
      </c>
    </row>
    <row r="11">
      <c r="A11" s="11" t="inlineStr">
        <is>
          <t>M.X.RSL.5</t>
        </is>
      </c>
      <c r="B11" s="727" t="n"/>
      <c r="C11" s="75" t="n">
        <v>55</v>
      </c>
      <c r="D11" s="76" t="inlineStr">
        <is>
          <t xml:space="preserve">Réserves légales </t>
        </is>
      </c>
      <c r="E11" s="739">
        <f>+M.I.BILAN!F142</f>
        <v/>
      </c>
      <c r="F11" s="740" t="n">
        <v>100</v>
      </c>
      <c r="G11" s="742">
        <f>+E11*F11/100</f>
        <v/>
      </c>
    </row>
    <row r="12">
      <c r="A12" s="11" t="inlineStr">
        <is>
          <t>M.X.RSL.6</t>
        </is>
      </c>
      <c r="B12" s="727" t="n"/>
      <c r="C12" s="75" t="n">
        <v>56</v>
      </c>
      <c r="D12" s="76" t="inlineStr">
        <is>
          <t xml:space="preserve">Fonds de dotation impartageable, à caractère de réserve </t>
        </is>
      </c>
      <c r="E12" s="739">
        <f>+M.I.BILAN!F143</f>
        <v/>
      </c>
      <c r="F12" s="740" t="n">
        <v>100</v>
      </c>
      <c r="G12" s="742">
        <f>+E12*F12/100</f>
        <v/>
      </c>
    </row>
    <row r="13">
      <c r="A13" s="11" t="inlineStr">
        <is>
          <t>M.X.RSL.7</t>
        </is>
      </c>
      <c r="B13" s="727" t="n"/>
      <c r="C13" s="75" t="n">
        <v>58</v>
      </c>
      <c r="D13" s="76" t="inlineStr">
        <is>
          <t>Fonds de sécurité des réseaux</t>
        </is>
      </c>
      <c r="E13" s="739">
        <f>+M.I.BILAN!F147</f>
        <v/>
      </c>
      <c r="F13" s="740" t="n">
        <v>100</v>
      </c>
      <c r="G13" s="742">
        <f>+E13*F13/100</f>
        <v/>
      </c>
    </row>
    <row r="14">
      <c r="A14" s="11" t="inlineStr">
        <is>
          <t>M.X.RSL.8</t>
        </is>
      </c>
      <c r="B14" s="727" t="n"/>
      <c r="C14" s="561" t="n">
        <v>59</v>
      </c>
      <c r="D14" s="379" t="inlineStr">
        <is>
          <t>Excédent</t>
        </is>
      </c>
      <c r="E14" s="743">
        <f>IF(M.I.BILAN!D148&gt;0,M.I.BILAN!D148,0)</f>
        <v/>
      </c>
      <c r="F14" s="740" t="n">
        <v>15</v>
      </c>
      <c r="G14" s="742">
        <f>+E14*F14/100</f>
        <v/>
      </c>
    </row>
    <row r="15">
      <c r="A15" s="11" t="inlineStr">
        <is>
          <t>M.X.RSL.9</t>
        </is>
      </c>
      <c r="B15" s="725" t="n"/>
      <c r="C15" s="83" t="n"/>
      <c r="D15" s="289" t="inlineStr">
        <is>
          <t>TOTAL FONDS PROPRES DE BASE (FPB)</t>
        </is>
      </c>
      <c r="E15" s="740">
        <f>E7+E8+E9+E10+E11+E12+E13+E14</f>
        <v/>
      </c>
      <c r="F15" s="740" t="n"/>
      <c r="G15" s="742">
        <f>SUM(G7:G14)</f>
        <v/>
      </c>
    </row>
    <row r="16">
      <c r="A16" s="11" t="inlineStr">
        <is>
          <t>M.X.RSL.10</t>
        </is>
      </c>
      <c r="B16" s="223" t="inlineStr">
        <is>
          <t>A1</t>
        </is>
      </c>
      <c r="C16" s="561" t="n"/>
      <c r="D16" s="119" t="inlineStr">
        <is>
          <t>A DEDUIRE</t>
        </is>
      </c>
      <c r="E16" s="739" t="n"/>
      <c r="F16" s="740" t="n"/>
      <c r="G16" s="742" t="n"/>
    </row>
    <row r="17">
      <c r="A17" s="11" t="inlineStr">
        <is>
          <t>M.X.RSL.12</t>
        </is>
      </c>
      <c r="B17" s="727" t="n"/>
      <c r="C17" s="561" t="n">
        <v>42</v>
      </c>
      <c r="D17" s="152" t="inlineStr">
        <is>
          <t xml:space="preserve">Immobilisations incorporelles </t>
        </is>
      </c>
      <c r="E17" s="740">
        <f>M.I.BILAN!F66</f>
        <v/>
      </c>
      <c r="F17" s="740" t="n">
        <v>100</v>
      </c>
      <c r="G17" s="744">
        <f>F17*E17/100</f>
        <v/>
      </c>
    </row>
    <row r="18">
      <c r="A18" s="11" t="inlineStr">
        <is>
          <t>M.X.RSL.13</t>
        </is>
      </c>
      <c r="B18" s="727" t="n"/>
      <c r="C18" s="561" t="n"/>
      <c r="D18" s="152" t="inlineStr">
        <is>
          <t>Actions propres détenues, évaluées à leur valeur comptable</t>
        </is>
      </c>
      <c r="E18" s="384" t="n"/>
      <c r="F18" s="740" t="n">
        <v>100</v>
      </c>
      <c r="G18" s="745">
        <f>+E18*F18/100</f>
        <v/>
      </c>
    </row>
    <row r="19" ht="42.6" customHeight="1">
      <c r="A19" s="11" t="inlineStr">
        <is>
          <t>M.X.RSL.14</t>
        </is>
      </c>
      <c r="B19" s="727" t="n"/>
      <c r="C19" s="561" t="n">
        <v>401</v>
      </c>
      <c r="D19" s="290" t="inlineStr">
        <is>
          <t xml:space="preserve">Toute participation dans une autre institution financière régulée
 (établissement de crédit, IFI, compagnie d’assurance, fonds de 
garantie des dépôts et de résolution, ou autre </t>
        </is>
      </c>
      <c r="E19" s="739">
        <f>+M.I.BILAN!F61</f>
        <v/>
      </c>
      <c r="F19" s="740" t="n">
        <v>100</v>
      </c>
      <c r="G19" s="742">
        <f>+E19*F19/100</f>
        <v/>
      </c>
    </row>
    <row r="20" ht="16.2" customHeight="1">
      <c r="A20" s="11" t="inlineStr">
        <is>
          <t>M.X.RSL.15</t>
        </is>
      </c>
      <c r="B20" s="727" t="n"/>
      <c r="C20" s="561" t="n">
        <v>571</v>
      </c>
      <c r="D20" s="290" t="inlineStr">
        <is>
          <t>Capital social souscrit non libéré</t>
        </is>
      </c>
      <c r="E20" s="739">
        <f>M.I.BILAN!F145</f>
        <v/>
      </c>
      <c r="F20" s="740" t="n">
        <v>100</v>
      </c>
      <c r="G20" s="742">
        <f>F20*E20*1/100</f>
        <v/>
      </c>
    </row>
    <row r="21">
      <c r="A21" s="11" t="inlineStr">
        <is>
          <t>M.X.RSL.16</t>
        </is>
      </c>
      <c r="B21" s="727" t="n"/>
      <c r="C21" s="561" t="n">
        <v>59</v>
      </c>
      <c r="D21" s="152" t="inlineStr">
        <is>
          <t xml:space="preserve">Déficit d’exercice en instance d’approbation </t>
        </is>
      </c>
      <c r="E21" s="739">
        <f>IF(M.I.BILAN!D148&lt;0,M.I.BILAN!D148,0)</f>
        <v/>
      </c>
      <c r="F21" s="740" t="n">
        <v>100</v>
      </c>
      <c r="G21" s="742">
        <f>+E21*F21/100</f>
        <v/>
      </c>
    </row>
    <row r="22">
      <c r="A22" s="11" t="inlineStr">
        <is>
          <t>M.X.RSL.17</t>
        </is>
      </c>
      <c r="B22" s="727" t="n"/>
      <c r="C22" s="561" t="n">
        <v>353</v>
      </c>
      <c r="D22" s="152" t="inlineStr">
        <is>
          <t xml:space="preserve">Dividendes à payer </t>
        </is>
      </c>
      <c r="E22" s="739">
        <f>+M.I.BILAN!F125</f>
        <v/>
      </c>
      <c r="F22" s="740" t="n">
        <v>100</v>
      </c>
      <c r="G22" s="742">
        <f>+E22*F22/100</f>
        <v/>
      </c>
    </row>
    <row r="23" ht="58.2" customHeight="1">
      <c r="A23" s="11" t="inlineStr">
        <is>
          <t>M.X.RSL.18</t>
        </is>
      </c>
      <c r="B23" s="727" t="n"/>
      <c r="C23" s="561" t="n"/>
      <c r="D23" s="288" t="inlineStr">
        <is>
          <t>Provisions complémentaires à constituer pour dépréciation ou 
risque de non recouvrement d’actifs, ou pour charges et pertes diverses</t>
        </is>
      </c>
      <c r="E23" s="384" t="n"/>
      <c r="F23" s="740" t="n">
        <v>100</v>
      </c>
      <c r="G23" s="742">
        <f>+E23*F23/100</f>
        <v/>
      </c>
    </row>
    <row r="24">
      <c r="A24" s="11" t="inlineStr">
        <is>
          <t>M.X.RSL.19</t>
        </is>
      </c>
      <c r="B24" s="746" t="n"/>
      <c r="C24" s="291" t="n"/>
      <c r="D24" s="289" t="inlineStr">
        <is>
          <t xml:space="preserve">TOTAL A DEDUIRE </t>
        </is>
      </c>
      <c r="E24" s="747">
        <f>E17+E18+E19+E21+E22+E23</f>
        <v/>
      </c>
      <c r="F24" s="748" t="n"/>
      <c r="G24" s="749">
        <f>SUM(G17:G23)</f>
        <v/>
      </c>
    </row>
    <row r="25">
      <c r="A25" s="11" t="inlineStr">
        <is>
          <t>M.X.RSL.20</t>
        </is>
      </c>
      <c r="B25" s="607" t="inlineStr">
        <is>
          <t>A2</t>
        </is>
      </c>
      <c r="C25" s="292" t="n"/>
      <c r="D25" s="292" t="inlineStr">
        <is>
          <t>MONTANT FONDS PROPRES DE BASE (A-A1)</t>
        </is>
      </c>
      <c r="E25" s="747">
        <f>E15-E24</f>
        <v/>
      </c>
      <c r="F25" s="748" t="n"/>
      <c r="G25" s="750">
        <f>G15-G24</f>
        <v/>
      </c>
    </row>
    <row r="26">
      <c r="A26" s="11" t="n"/>
      <c r="B26" s="607" t="n"/>
      <c r="C26" s="292" t="n"/>
      <c r="D26" s="292" t="n"/>
      <c r="E26" s="751" t="n"/>
      <c r="F26" s="751" t="n"/>
      <c r="G26" s="752" t="n"/>
    </row>
    <row r="27" ht="26.4" customHeight="1">
      <c r="A27" s="8" t="inlineStr">
        <is>
          <t>CODE</t>
        </is>
      </c>
      <c r="B27" s="74" t="inlineStr">
        <is>
          <t>ELEMENT</t>
        </is>
      </c>
      <c r="C27" s="74" t="inlineStr">
        <is>
          <t>N° Compte</t>
        </is>
      </c>
      <c r="D27" s="74" t="inlineStr">
        <is>
          <t>FONDS PROPRES COMPLEMENTAIRES (FPC)</t>
        </is>
      </c>
      <c r="E27" s="74" t="inlineStr">
        <is>
          <t>MONTANT GNF</t>
        </is>
      </c>
      <c r="F27" s="74" t="inlineStr">
        <is>
          <t>TAUX DE PONDERATION</t>
        </is>
      </c>
      <c r="G27" s="74" t="inlineStr">
        <is>
          <t>MONTANT RETENU</t>
        </is>
      </c>
    </row>
    <row r="28">
      <c r="A28" s="11" t="inlineStr">
        <is>
          <t>M.X.RSL.21</t>
        </is>
      </c>
      <c r="B28" s="531" t="inlineStr">
        <is>
          <t>B</t>
        </is>
      </c>
      <c r="C28" s="75" t="n"/>
      <c r="D28" s="76" t="inlineStr">
        <is>
          <t>Réserves de réévaluation certifiées par le commissaire aux comptes</t>
        </is>
      </c>
      <c r="E28" s="739" t="n"/>
      <c r="F28" s="740" t="n">
        <v>100</v>
      </c>
      <c r="G28" s="753">
        <f>+E28*F28/100</f>
        <v/>
      </c>
    </row>
    <row r="29">
      <c r="A29" s="11" t="inlineStr">
        <is>
          <t>M.X.RSL.22</t>
        </is>
      </c>
      <c r="B29" s="727" t="n"/>
      <c r="C29" s="75" t="n">
        <v>342</v>
      </c>
      <c r="D29" s="147" t="inlineStr">
        <is>
          <t xml:space="preserve">Comptes bloqués d’associés </t>
        </is>
      </c>
      <c r="E29" s="739">
        <f>+M.I.BILAN!F120</f>
        <v/>
      </c>
      <c r="F29" s="740" t="n">
        <v>100</v>
      </c>
      <c r="G29" s="753">
        <f>+E29*F29/100</f>
        <v/>
      </c>
    </row>
    <row r="30" ht="28.8" customHeight="1">
      <c r="A30" s="11" t="inlineStr">
        <is>
          <t>M.X.RSL.23</t>
        </is>
      </c>
      <c r="B30" s="727" t="n"/>
      <c r="C30" s="75" t="n">
        <v>51</v>
      </c>
      <c r="D30" s="294" t="inlineStr">
        <is>
          <t>Subventions d’investissement amortissables au rythme des immobilisations financières</t>
        </is>
      </c>
      <c r="E30" s="739">
        <f>+M.I.BILAN!F133</f>
        <v/>
      </c>
      <c r="F30" s="740" t="n">
        <v>100</v>
      </c>
      <c r="G30" s="753">
        <f>+E30*F30/100</f>
        <v/>
      </c>
    </row>
    <row r="31">
      <c r="A31" s="11" t="inlineStr">
        <is>
          <t>M.X.RSL.24</t>
        </is>
      </c>
      <c r="B31" s="727" t="n"/>
      <c r="C31" s="75" t="n">
        <v>53</v>
      </c>
      <c r="D31" s="147" t="inlineStr">
        <is>
          <t>Dettes bancaires subordonnées à durée inderminée ou terme ≥ 5 ans</t>
        </is>
      </c>
      <c r="E31" s="739">
        <f>+M.I.BILAN!F136</f>
        <v/>
      </c>
      <c r="F31" s="740" t="n">
        <v>100</v>
      </c>
      <c r="G31" s="753">
        <f>+E31*F31/100</f>
        <v/>
      </c>
    </row>
    <row r="32">
      <c r="A32" s="11" t="inlineStr">
        <is>
          <t>M.X.RSL.25</t>
        </is>
      </c>
      <c r="B32" s="725" t="n"/>
      <c r="C32" s="291" t="n"/>
      <c r="D32" s="292" t="inlineStr">
        <is>
          <t>TOTAL FONDS PROPRES COMPLEMENTAIRES</t>
        </is>
      </c>
      <c r="E32" s="739">
        <f>E28+E29+E30+E31</f>
        <v/>
      </c>
      <c r="F32" s="740" t="n">
        <v>100</v>
      </c>
      <c r="G32" s="744">
        <f>+E32*F32/100</f>
        <v/>
      </c>
    </row>
    <row r="33">
      <c r="A33" s="10" t="inlineStr">
        <is>
          <t>M.X.RSL.26</t>
        </is>
      </c>
      <c r="B33" s="223" t="inlineStr">
        <is>
          <t>B1</t>
        </is>
      </c>
      <c r="C33" s="75" t="n"/>
      <c r="D33" s="132" t="inlineStr">
        <is>
          <t>A DEDUIRE</t>
        </is>
      </c>
      <c r="E33" s="739" t="n"/>
      <c r="F33" s="740" t="n">
        <v>100</v>
      </c>
      <c r="G33" s="744">
        <f>+E33*F33/100</f>
        <v/>
      </c>
    </row>
    <row r="34" ht="22.8" customHeight="1">
      <c r="A34" s="754" t="inlineStr">
        <is>
          <t>M.X.RSL.27</t>
        </is>
      </c>
      <c r="B34" s="727" t="n"/>
      <c r="C34" s="556" t="n">
        <v>403</v>
      </c>
      <c r="D34" s="295" t="inlineStr">
        <is>
          <t xml:space="preserve">Les titres et dettes subordonnés détenus dans d’autres institutions 
financières </t>
        </is>
      </c>
      <c r="E34" s="739">
        <f>+M.I.BILAN!F63</f>
        <v/>
      </c>
      <c r="F34" s="740" t="n">
        <v>100</v>
      </c>
      <c r="G34" s="744">
        <f>+E34*F34/100</f>
        <v/>
      </c>
    </row>
    <row r="35" ht="22.8" customHeight="1">
      <c r="A35" s="724" t="n"/>
      <c r="B35" s="727" t="n"/>
      <c r="C35" s="746" t="n"/>
      <c r="D35" s="295" t="inlineStr">
        <is>
          <t xml:space="preserve">Les comptes courants d’associés bloqués dans d’autres institutions
 financières </t>
        </is>
      </c>
      <c r="E35" s="739" t="n"/>
      <c r="F35" s="740" t="n">
        <v>100</v>
      </c>
      <c r="G35" s="744">
        <f>+E35*F35/100</f>
        <v/>
      </c>
    </row>
    <row r="36">
      <c r="A36" s="11" t="inlineStr">
        <is>
          <t>M.X.RSL.28</t>
        </is>
      </c>
      <c r="B36" s="746" t="n"/>
      <c r="C36" s="83" t="n"/>
      <c r="D36" s="296" t="inlineStr">
        <is>
          <t xml:space="preserve">TOTAL A DEDUIRE </t>
        </is>
      </c>
      <c r="E36" s="755">
        <f>E34+E35</f>
        <v/>
      </c>
      <c r="F36" s="740" t="n">
        <v>100</v>
      </c>
      <c r="G36" s="744">
        <f>+E36*F36/100</f>
        <v/>
      </c>
    </row>
    <row r="37">
      <c r="A37" s="12" t="inlineStr">
        <is>
          <t>M.X.RSL.29</t>
        </is>
      </c>
      <c r="B37" s="90" t="inlineStr">
        <is>
          <t>B2</t>
        </is>
      </c>
      <c r="C37" s="133" t="n"/>
      <c r="D37" s="244" t="inlineStr">
        <is>
          <t>MONTANT FONDS PROPRES COMPLEMENTAIRES (B-B1)</t>
        </is>
      </c>
      <c r="E37" s="740">
        <f>E32-E36</f>
        <v/>
      </c>
      <c r="F37" s="740" t="n">
        <v>100</v>
      </c>
      <c r="G37" s="744">
        <f>+E37*F37/100</f>
        <v/>
      </c>
    </row>
    <row r="38">
      <c r="A38" s="298" t="n"/>
      <c r="B38" s="298" t="n"/>
      <c r="C38" s="577" t="inlineStr">
        <is>
          <t>NB:  MONTANT DE FPC ADMIS (&lt;=50% FPB)</t>
        </is>
      </c>
      <c r="D38" s="82" t="n"/>
      <c r="E38" s="748" t="n"/>
      <c r="F38" s="748" t="n"/>
      <c r="G38" s="748" t="n"/>
    </row>
    <row r="39">
      <c r="A39" s="67" t="inlineStr">
        <is>
          <t>M.X.RSL.30</t>
        </is>
      </c>
      <c r="B39" s="299" t="inlineStr">
        <is>
          <t>C</t>
        </is>
      </c>
      <c r="C39" s="291" t="n"/>
      <c r="D39" s="289" t="inlineStr">
        <is>
          <t>FONDS PROPRES NETS (FPB+FPC)</t>
        </is>
      </c>
      <c r="E39" s="747">
        <f>E25+E37</f>
        <v/>
      </c>
      <c r="F39" s="748" t="n"/>
      <c r="G39" s="747">
        <f>IF((G37&lt;=0.5*G25),G37+G25,(G25+0.5*G25))</f>
        <v/>
      </c>
    </row>
    <row r="40">
      <c r="A40" s="1" t="n"/>
      <c r="B40" s="88" t="n"/>
      <c r="C40" s="89" t="n"/>
      <c r="D40" s="89" t="n"/>
      <c r="E40" s="89" t="n"/>
      <c r="F40" s="89" t="n"/>
      <c r="G40" s="89" t="n"/>
    </row>
    <row r="41">
      <c r="A41" s="1" t="n"/>
      <c r="B41" s="88" t="n"/>
      <c r="C41" s="579" t="inlineStr">
        <is>
          <t>DETERMINATION DE L'ACTIF NET A RISQUE</t>
        </is>
      </c>
      <c r="D41" s="756" t="n"/>
      <c r="E41" s="89" t="n"/>
      <c r="F41" s="89" t="n"/>
      <c r="G41" s="89" t="n"/>
    </row>
    <row r="42" ht="26.4" customHeight="1">
      <c r="A42" s="8" t="inlineStr">
        <is>
          <t>CODE</t>
        </is>
      </c>
      <c r="B42" s="74" t="inlineStr">
        <is>
          <t>ELEMENT</t>
        </is>
      </c>
      <c r="C42" s="74" t="inlineStr">
        <is>
          <t>N° Compte</t>
        </is>
      </c>
      <c r="D42" s="90" t="inlineStr">
        <is>
          <t>LIBELLES</t>
        </is>
      </c>
      <c r="E42" s="74" t="inlineStr">
        <is>
          <t>MONTANT GNF</t>
        </is>
      </c>
      <c r="F42" s="74" t="inlineStr">
        <is>
          <t>TAUX DE PONDERATION</t>
        </is>
      </c>
      <c r="G42" s="74" t="inlineStr">
        <is>
          <t>MONTANT RETENU</t>
        </is>
      </c>
    </row>
    <row r="43">
      <c r="A43" s="65" t="inlineStr">
        <is>
          <t>M.X.RSL.31</t>
        </is>
      </c>
      <c r="B43" s="300" t="n"/>
      <c r="C43" s="301" t="n"/>
      <c r="D43" s="628" t="inlineStr">
        <is>
          <t>Comptes de trésorerie</t>
        </is>
      </c>
      <c r="E43" s="757" t="n">
        <v>0</v>
      </c>
      <c r="F43" s="758" t="n"/>
      <c r="G43" s="757" t="n"/>
    </row>
    <row r="44">
      <c r="A44" s="65" t="inlineStr">
        <is>
          <t>M.X.RSL.32</t>
        </is>
      </c>
      <c r="B44" s="196" t="n"/>
      <c r="C44" s="561" t="n">
        <v>102</v>
      </c>
      <c r="D44" s="288" t="inlineStr">
        <is>
          <t>BCRG</t>
        </is>
      </c>
      <c r="E44" s="219">
        <f>+M.I.BILAN!F10</f>
        <v/>
      </c>
      <c r="F44" s="141" t="n">
        <v>0</v>
      </c>
      <c r="G44" s="759">
        <f>+E44*F44</f>
        <v/>
      </c>
    </row>
    <row r="45">
      <c r="A45" s="65" t="inlineStr">
        <is>
          <t>M.X.RSL.33</t>
        </is>
      </c>
      <c r="B45" s="196" t="n"/>
      <c r="C45" s="566" t="n">
        <v>101</v>
      </c>
      <c r="D45" s="303" t="inlineStr">
        <is>
          <t>Caisses</t>
        </is>
      </c>
      <c r="E45" s="707">
        <f>+M.I.BILAN!F9</f>
        <v/>
      </c>
      <c r="F45" s="141" t="n">
        <v>0.25</v>
      </c>
      <c r="G45" s="759">
        <f>+E45*F45</f>
        <v/>
      </c>
    </row>
    <row r="46">
      <c r="A46" s="65" t="inlineStr">
        <is>
          <t>M.X.RSL.34</t>
        </is>
      </c>
      <c r="B46" s="196" t="n"/>
      <c r="C46" s="566" t="n">
        <v>105</v>
      </c>
      <c r="D46" s="163" t="inlineStr">
        <is>
          <t>Chèques et effets à l'encaissement</t>
        </is>
      </c>
      <c r="E46" s="219">
        <f>+M.I.BILAN!F13</f>
        <v/>
      </c>
      <c r="F46" s="141" t="n">
        <v>0.25</v>
      </c>
      <c r="G46" s="759">
        <f>+E46*F46</f>
        <v/>
      </c>
    </row>
    <row r="47">
      <c r="A47" s="65" t="inlineStr">
        <is>
          <t>M.X.RSL.35</t>
        </is>
      </c>
      <c r="B47" s="196" t="n"/>
      <c r="C47" s="566" t="n">
        <v>103</v>
      </c>
      <c r="D47" s="163" t="inlineStr">
        <is>
          <t>Placements en banque</t>
        </is>
      </c>
      <c r="E47" s="707">
        <f>+M.I.BILAN!F11</f>
        <v/>
      </c>
      <c r="F47" s="141" t="n">
        <v>0.25</v>
      </c>
      <c r="G47" s="759">
        <f>+E47*F47</f>
        <v/>
      </c>
    </row>
    <row r="48">
      <c r="A48" s="65" t="inlineStr">
        <is>
          <t>M.X.RSL.36</t>
        </is>
      </c>
      <c r="B48" s="196" t="n"/>
      <c r="C48" s="566" t="n">
        <v>106</v>
      </c>
      <c r="D48" s="163" t="inlineStr">
        <is>
          <t>Placements auprès de l'organe faîtier</t>
        </is>
      </c>
      <c r="E48" s="219">
        <f>+M.I.BILAN!F14</f>
        <v/>
      </c>
      <c r="F48" s="141" t="n">
        <v>0.25</v>
      </c>
      <c r="G48" s="759">
        <f>+E48*F48</f>
        <v/>
      </c>
    </row>
    <row r="49">
      <c r="A49" s="65" t="inlineStr">
        <is>
          <t>M.X.RSL.37</t>
        </is>
      </c>
      <c r="B49" s="196" t="n"/>
      <c r="C49" s="561" t="n">
        <v>104</v>
      </c>
      <c r="D49" s="163" t="inlineStr">
        <is>
          <t>Placements dans d'autres IFI, hors réseau</t>
        </is>
      </c>
      <c r="E49" s="219" t="n"/>
      <c r="F49" s="141" t="n">
        <v>0.5</v>
      </c>
      <c r="G49" s="759">
        <f>+E49*F49</f>
        <v/>
      </c>
    </row>
    <row r="50">
      <c r="A50" s="65" t="inlineStr">
        <is>
          <t>M.X.RSL.38</t>
        </is>
      </c>
      <c r="B50" s="196" t="n"/>
      <c r="C50" s="725" t="n"/>
      <c r="D50" s="163" t="inlineStr">
        <is>
          <t>Autres placements financiers</t>
        </is>
      </c>
      <c r="E50" s="219">
        <f>+M.I.BILAN!F12</f>
        <v/>
      </c>
      <c r="F50" s="141" t="n">
        <v>0.5</v>
      </c>
      <c r="G50" s="759">
        <f>+E50*F50</f>
        <v/>
      </c>
    </row>
    <row r="51" ht="39.6" customHeight="1">
      <c r="A51" s="65" t="inlineStr">
        <is>
          <t>M.X.RSL.39</t>
        </is>
      </c>
      <c r="B51" s="196" t="n"/>
      <c r="C51" s="301" t="n"/>
      <c r="D51" s="303" t="inlineStr">
        <is>
          <t>Portefeuille de crédit sain à la clientèle, après déduction des dépôts de garantie (gage-espèce) éventuels, pouvant être compensés en cas de non remboursement</t>
        </is>
      </c>
      <c r="E51" s="707">
        <f>+M.I.BILAN!F34-M.I.BILAN!F106</f>
        <v/>
      </c>
      <c r="F51" s="142" t="n">
        <v>1</v>
      </c>
      <c r="G51" s="759">
        <f>+E51*F51</f>
        <v/>
      </c>
    </row>
    <row r="52">
      <c r="A52" s="65" t="inlineStr">
        <is>
          <t>M.X.RSL.40</t>
        </is>
      </c>
      <c r="B52" s="196" t="n"/>
      <c r="C52" s="301" t="n">
        <v>3</v>
      </c>
      <c r="D52" s="163" t="inlineStr">
        <is>
          <t>Opérations diverses</t>
        </is>
      </c>
      <c r="E52" s="707">
        <f>+M.I.BILAN!F46</f>
        <v/>
      </c>
      <c r="F52" s="141" t="n">
        <v>1</v>
      </c>
      <c r="G52" s="759">
        <f>+E52*F52</f>
        <v/>
      </c>
    </row>
    <row r="53" ht="28.2" customHeight="1">
      <c r="A53" s="65" t="inlineStr">
        <is>
          <t>M.X.RSL.41</t>
        </is>
      </c>
      <c r="B53" s="196" t="n"/>
      <c r="C53" s="301" t="n">
        <v>21</v>
      </c>
      <c r="D53" s="303" t="inlineStr">
        <is>
          <t>Toutes créances en souffrance (au secteur financier, à la clientèle, en opérations diverses), pour leur valeur nette</t>
        </is>
      </c>
      <c r="E53" s="707">
        <f>+M.I.BILAN!F41</f>
        <v/>
      </c>
      <c r="F53" s="141" t="n">
        <v>1.5</v>
      </c>
      <c r="G53" s="759">
        <f>+E53*F53</f>
        <v/>
      </c>
    </row>
    <row r="54" ht="31.2" customHeight="1">
      <c r="A54" s="65" t="inlineStr">
        <is>
          <t>M.X.RSL.42</t>
        </is>
      </c>
      <c r="B54" s="196" t="n"/>
      <c r="C54" s="301" t="n"/>
      <c r="D54" s="303" t="inlineStr">
        <is>
          <t>Immobilisations nettes, après déduction des éléments retirés des fonds propres</t>
        </is>
      </c>
      <c r="E54" s="707">
        <f>M.I.BILAN!F59-M.I.BILAN!F61-M.I.BILAN!F63-M.I.BILAN!F66</f>
        <v/>
      </c>
      <c r="F54" s="141" t="n">
        <v>1</v>
      </c>
      <c r="G54" s="759">
        <f>+E54*F54</f>
        <v/>
      </c>
    </row>
    <row r="55" ht="33.6" customHeight="1">
      <c r="A55" s="65" t="inlineStr">
        <is>
          <t>M.X.RSL.43</t>
        </is>
      </c>
      <c r="B55" s="196" t="n"/>
      <c r="C55" s="301" t="n">
        <v>90</v>
      </c>
      <c r="D55" s="304" t="inlineStr">
        <is>
          <t>les engagementrs de financement et garanties octroyées figurant au hors bilan</t>
        </is>
      </c>
      <c r="E55" s="707">
        <f>M.III.HS_BILAN!D7</f>
        <v/>
      </c>
      <c r="F55" s="141" t="n">
        <v>1</v>
      </c>
      <c r="G55" s="759">
        <f>+E55*F55</f>
        <v/>
      </c>
    </row>
    <row r="56">
      <c r="A56" s="370" t="inlineStr">
        <is>
          <t>M.X.RSL.44</t>
        </is>
      </c>
      <c r="B56" s="90" t="inlineStr">
        <is>
          <t>D</t>
        </is>
      </c>
      <c r="C56" s="305" t="n"/>
      <c r="D56" s="157" t="inlineStr">
        <is>
          <t xml:space="preserve">TOTAL </t>
        </is>
      </c>
      <c r="E56" s="691">
        <f>E44+E45+E46+E47+E48+E49+E50+E51+E52+E53+E54+E55</f>
        <v/>
      </c>
      <c r="F56" s="748">
        <f>SUM(E56)</f>
        <v/>
      </c>
      <c r="G56" s="691">
        <f>G55+G54+G53+G52+G51+G50+G49+G48+G47+G46+G45+G44</f>
        <v/>
      </c>
    </row>
    <row r="57">
      <c r="A57" s="567" t="n"/>
    </row>
    <row r="58" ht="28.8" customHeight="1">
      <c r="A58" s="1" t="inlineStr">
        <is>
          <t>M.X.RSL.45</t>
        </is>
      </c>
      <c r="B58" s="175" t="inlineStr">
        <is>
          <t>E</t>
        </is>
      </c>
      <c r="C58" s="415" t="inlineStr">
        <is>
          <t xml:space="preserve">     </t>
        </is>
      </c>
      <c r="D58" s="416" t="inlineStr">
        <is>
          <t xml:space="preserve">   RATIO DE SOLVABILITE (C/D) ( ratio minimal exigé &gt;= 15%)</t>
        </is>
      </c>
      <c r="E58" s="760">
        <f>IF(G56=0,0,G39/G56*100)</f>
        <v/>
      </c>
      <c r="F58" s="761" t="n"/>
      <c r="G58" s="762" t="n"/>
    </row>
    <row r="59">
      <c r="A59" s="1" t="n"/>
      <c r="B59" s="1" t="n"/>
      <c r="C59" s="307" t="n"/>
      <c r="D59" s="1" t="n"/>
      <c r="E59" s="1" t="n"/>
      <c r="F59" s="1" t="n"/>
      <c r="G59" s="763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8" t="inlineStr">
        <is>
          <t>CODE</t>
        </is>
      </c>
      <c r="B61" s="74" t="inlineStr">
        <is>
          <t>ELEMENT</t>
        </is>
      </c>
      <c r="C61" s="74" t="inlineStr">
        <is>
          <t>N° Compte</t>
        </is>
      </c>
      <c r="D61" s="90" t="inlineStr">
        <is>
          <t>LIBELLES</t>
        </is>
      </c>
      <c r="E61" s="297" t="inlineStr">
        <is>
          <t>MONTANT GNF</t>
        </is>
      </c>
      <c r="F61" s="1" t="n"/>
      <c r="G61" s="1" t="n"/>
    </row>
    <row r="62">
      <c r="A62" s="135" t="inlineStr">
        <is>
          <t>M.X.RSL.46</t>
        </is>
      </c>
      <c r="B62" s="308" t="inlineStr">
        <is>
          <t>F</t>
        </is>
      </c>
      <c r="C62" s="308" t="n">
        <v>10</v>
      </c>
      <c r="D62" s="309" t="inlineStr">
        <is>
          <t>Encaisses et comptes ordinaires ( à vue)</t>
        </is>
      </c>
      <c r="E62" s="719">
        <f>+M.I.BILAN!D8</f>
        <v/>
      </c>
      <c r="F62" s="1" t="n"/>
      <c r="G62" s="1" t="n"/>
    </row>
    <row r="63">
      <c r="A63" s="567" t="n"/>
      <c r="B63" s="568" t="n"/>
      <c r="C63" s="568" t="n"/>
      <c r="D63" s="568" t="n"/>
      <c r="E63" s="568" t="n"/>
      <c r="F63" s="568" t="n"/>
      <c r="G63" s="568" t="n"/>
    </row>
    <row r="64">
      <c r="A64" s="567" t="n"/>
      <c r="B64" s="568" t="n"/>
      <c r="C64" s="568" t="n"/>
      <c r="D64" s="568" t="n"/>
      <c r="E64" s="568" t="n"/>
      <c r="F64" s="568" t="n"/>
      <c r="G64" s="568" t="n"/>
    </row>
    <row r="65" ht="17.4" customHeight="1">
      <c r="A65" s="137" t="inlineStr">
        <is>
          <t>M.X.RSL.47</t>
        </is>
      </c>
      <c r="B65" s="308" t="inlineStr">
        <is>
          <t>G</t>
        </is>
      </c>
      <c r="C65" s="577" t="n">
        <v>241</v>
      </c>
      <c r="D65" s="310" t="inlineStr">
        <is>
          <t>Dépôt à vue</t>
        </is>
      </c>
      <c r="E65" s="719">
        <f>+M.I.BILAN!D101</f>
        <v/>
      </c>
      <c r="F65" s="1" t="n"/>
      <c r="G65" s="1" t="n"/>
    </row>
    <row r="66" ht="12" customHeight="1">
      <c r="A66" s="137" t="inlineStr">
        <is>
          <t>M.X.RSL.48</t>
        </is>
      </c>
      <c r="B66" s="175" t="inlineStr">
        <is>
          <t>H</t>
        </is>
      </c>
      <c r="C66" s="415" t="n"/>
      <c r="D66" s="416" t="inlineStr">
        <is>
          <t>RATIO DE LIQUIDITE ( F/G ) en %   (ratio minimal exigé &gt;= 20%)</t>
        </is>
      </c>
      <c r="E66" s="719">
        <f>IF(E65=0,0,E62/E65*100)</f>
        <v/>
      </c>
      <c r="F66" s="1" t="n"/>
      <c r="G66" s="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Yzdis5P78isBSGzvzUpSA==" formatRows="1" sort="1" spinCount="100000" hashValue="Z5GByOk1WnPQQXDgYmKSHttDQjjR7cU7XtgerirFX+krtA20vvQrK6p268Sy+rZpzNrfa1VYSxTIiyJWynmSLA=="/>
  <mergeCells count="14">
    <mergeCell ref="B16:B24"/>
    <mergeCell ref="C1:G1"/>
    <mergeCell ref="C2:G2"/>
    <mergeCell ref="C3:G3"/>
    <mergeCell ref="C4:G4"/>
    <mergeCell ref="B7:B15"/>
    <mergeCell ref="C49:C50"/>
    <mergeCell ref="A57:G57"/>
    <mergeCell ref="B28:B32"/>
    <mergeCell ref="B33:B36"/>
    <mergeCell ref="A34:A35"/>
    <mergeCell ref="C34:C35"/>
    <mergeCell ref="C38:D38"/>
    <mergeCell ref="C41:D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showGridLines="0" workbookViewId="0">
      <selection activeCell="I12" sqref="I12"/>
    </sheetView>
  </sheetViews>
  <sheetFormatPr baseColWidth="10" defaultColWidth="9.109375" defaultRowHeight="13.2"/>
  <cols>
    <col width="13.33203125" bestFit="1" customWidth="1" style="1" min="1" max="1"/>
    <col width="31.44140625" customWidth="1" style="1" min="2" max="2"/>
    <col width="26" customWidth="1" style="1" min="3" max="3"/>
    <col width="23.6640625" customWidth="1" style="1" min="4" max="4"/>
    <col width="24" customWidth="1" style="1" min="5" max="5"/>
    <col width="21.6640625" customWidth="1" style="1" min="6" max="6"/>
    <col width="23.6640625" customWidth="1" style="1" min="7" max="7"/>
    <col width="19.44140625" customWidth="1" style="1" min="8" max="8"/>
    <col width="22.33203125" customWidth="1" style="1" min="9" max="9"/>
    <col width="9.109375" customWidth="1" style="1" min="10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252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M.XI.REPARTITION DU PORTEFEUILLE DE CREDIT PAR SECTEUR</t>
        </is>
      </c>
      <c r="D4" s="711" t="n"/>
      <c r="E4" s="711" t="n"/>
      <c r="F4" s="711" t="n"/>
      <c r="G4" s="712" t="n"/>
    </row>
    <row r="5" ht="26.25" customHeight="1"/>
    <row r="6" ht="37.5" customHeight="1">
      <c r="A6" s="8" t="inlineStr">
        <is>
          <t>CODE</t>
        </is>
      </c>
      <c r="B6" s="90" t="inlineStr">
        <is>
          <t>ELEMENT</t>
        </is>
      </c>
      <c r="C6" s="74" t="inlineStr">
        <is>
          <t>Agriculture Elevage       Pêche</t>
        </is>
      </c>
      <c r="D6" s="74" t="inlineStr">
        <is>
          <t>Travaux publics       Bâtiments   Logements</t>
        </is>
      </c>
      <c r="E6" s="74" t="inlineStr">
        <is>
          <t>Commerce  Restaurant  Hôtellerie</t>
        </is>
      </c>
      <c r="F6" s="74" t="inlineStr">
        <is>
          <t>Industrie     Artisanat</t>
        </is>
      </c>
      <c r="G6" s="74" t="inlineStr">
        <is>
          <t>Transport    Communication</t>
        </is>
      </c>
      <c r="H6" s="74" t="inlineStr">
        <is>
          <t>Autres</t>
        </is>
      </c>
      <c r="I6" s="74" t="inlineStr">
        <is>
          <t>TOTAL</t>
        </is>
      </c>
    </row>
    <row r="7" ht="24.9" customHeight="1">
      <c r="A7" s="34" t="inlineStr">
        <is>
          <t>M.XI.RPCS.1</t>
        </is>
      </c>
      <c r="B7" s="311" t="inlineStr">
        <is>
          <t>Non résidents</t>
        </is>
      </c>
      <c r="C7" s="695" t="n"/>
      <c r="D7" s="695" t="n"/>
      <c r="E7" s="695" t="n"/>
      <c r="F7" s="695" t="n"/>
      <c r="G7" s="695" t="n"/>
      <c r="H7" s="695" t="n"/>
      <c r="I7" s="684">
        <f>C7+D7+E7+F7+G7+H7</f>
        <v/>
      </c>
    </row>
    <row r="8" ht="24.9" customHeight="1">
      <c r="A8" s="11" t="inlineStr">
        <is>
          <t>M.XI.RPCS.2</t>
        </is>
      </c>
      <c r="B8" s="312" t="inlineStr">
        <is>
          <t>Ménages</t>
        </is>
      </c>
      <c r="C8" s="666" t="n"/>
      <c r="D8" s="666" t="n"/>
      <c r="E8" s="666" t="n"/>
      <c r="F8" s="666" t="n"/>
      <c r="G8" s="666" t="n"/>
      <c r="H8" s="666" t="n"/>
      <c r="I8" s="690">
        <f>C8+D8+E8+F8+G8+H8</f>
        <v/>
      </c>
    </row>
    <row r="9" ht="33" customHeight="1">
      <c r="A9" s="11" t="inlineStr">
        <is>
          <t>M.XI.RPCS.3</t>
        </is>
      </c>
      <c r="B9" s="313" t="inlineStr">
        <is>
          <t>ISBLSM (Institutions sans but lucratif au service des menages)</t>
        </is>
      </c>
      <c r="C9" s="666" t="n"/>
      <c r="D9" s="666" t="n"/>
      <c r="E9" s="666" t="n"/>
      <c r="F9" s="666" t="n"/>
      <c r="G9" s="666" t="n"/>
      <c r="H9" s="666" t="n"/>
      <c r="I9" s="690">
        <f>C9+D9+E9+F9+G9+H9</f>
        <v/>
      </c>
    </row>
    <row r="10" ht="24.9" customHeight="1">
      <c r="A10" s="12" t="inlineStr">
        <is>
          <t>M.XI.RPCS.4</t>
        </is>
      </c>
      <c r="B10" s="314" t="inlineStr">
        <is>
          <t>Autres</t>
        </is>
      </c>
      <c r="C10" s="700" t="n"/>
      <c r="D10" s="700" t="n"/>
      <c r="E10" s="700" t="n"/>
      <c r="F10" s="700" t="n"/>
      <c r="G10" s="700" t="n"/>
      <c r="H10" s="700" t="n"/>
      <c r="I10" s="691">
        <f>C10+D10+E10+F10+G10+H10</f>
        <v/>
      </c>
    </row>
    <row r="11" ht="24.9" customHeight="1">
      <c r="A11" s="49" t="n"/>
      <c r="B11" s="315" t="n"/>
      <c r="C11" s="316" t="n"/>
      <c r="D11" s="316" t="n"/>
      <c r="E11" s="316" t="n"/>
      <c r="F11" s="316" t="n"/>
      <c r="G11" s="316" t="n"/>
      <c r="H11" s="316" t="n"/>
      <c r="I11" s="316" t="n"/>
    </row>
    <row r="12" ht="24.9" customHeight="1">
      <c r="A12" s="19" t="inlineStr">
        <is>
          <t>M.XI.RPCS.5</t>
        </is>
      </c>
      <c r="B12" s="317" t="inlineStr">
        <is>
          <t>TOTAL</t>
        </is>
      </c>
      <c r="C12" s="702">
        <f>SUM(C7:C10)</f>
        <v/>
      </c>
      <c r="D12" s="702">
        <f>SUM(D7:D10)</f>
        <v/>
      </c>
      <c r="E12" s="702">
        <f>SUM(E7:E10)</f>
        <v/>
      </c>
      <c r="F12" s="702">
        <f>SUM(F7:F10)</f>
        <v/>
      </c>
      <c r="G12" s="702">
        <f>SUM(G7:G10)</f>
        <v/>
      </c>
      <c r="H12" s="702">
        <f>SUM(H7:H10)</f>
        <v/>
      </c>
      <c r="I12" s="692">
        <f>SUM(I7:I10)</f>
        <v/>
      </c>
    </row>
    <row r="13" ht="24.9" customHeight="1">
      <c r="A13" s="49" t="n"/>
      <c r="B13" s="315" t="n"/>
      <c r="C13" s="316" t="n"/>
      <c r="D13" s="316" t="n"/>
      <c r="E13" s="316" t="n"/>
      <c r="F13" s="316" t="n"/>
      <c r="G13" s="316" t="n"/>
      <c r="H13" s="316" t="n"/>
      <c r="I13" s="316" t="n"/>
    </row>
    <row r="14" ht="24.9" customHeight="1">
      <c r="A14" s="19" t="inlineStr">
        <is>
          <t>M.XI.RPCS.6</t>
        </is>
      </c>
      <c r="B14" s="318" t="inlineStr">
        <is>
          <t>% dans les crédits de l'IMF</t>
        </is>
      </c>
      <c r="C14" s="44">
        <f>IF($I$12=0,0,+C12/$I$12*100)</f>
        <v/>
      </c>
      <c r="D14" s="44">
        <f>IF($I$12=0,0,+D12/$I$12*100)</f>
        <v/>
      </c>
      <c r="E14" s="44">
        <f>IF($I$12=0,0,+E12/$I$12*100)</f>
        <v/>
      </c>
      <c r="F14" s="44">
        <f>IF($I$12=0,0,+F12/$I$12*100)</f>
        <v/>
      </c>
      <c r="G14" s="44">
        <f>IF($I$12=0,0,+G12/$I$12*100)</f>
        <v/>
      </c>
      <c r="H14" s="44">
        <f>IF($I$12=0,0,+H12/$I$12*100)</f>
        <v/>
      </c>
      <c r="I14" s="44">
        <f>IF($I$12=0,0,+I12/$I$12*100)</f>
        <v/>
      </c>
    </row>
    <row r="15" ht="24.9" customHeight="1">
      <c r="A15" s="49" t="n"/>
      <c r="B15" s="315" t="n"/>
      <c r="C15" s="316" t="n"/>
      <c r="D15" s="316" t="n"/>
      <c r="E15" s="316" t="n"/>
      <c r="F15" s="316" t="n"/>
      <c r="G15" s="316" t="n"/>
      <c r="H15" s="316" t="n"/>
      <c r="I15" s="316" t="n"/>
    </row>
    <row r="16" ht="24.9" customHeight="1">
      <c r="A16" s="34" t="inlineStr">
        <is>
          <t>M.XI.RPCS.7</t>
        </is>
      </c>
      <c r="B16" s="311" t="inlineStr">
        <is>
          <t>Hommes</t>
        </is>
      </c>
      <c r="C16" s="695" t="n"/>
      <c r="D16" s="695" t="n"/>
      <c r="E16" s="695" t="n"/>
      <c r="F16" s="695" t="n"/>
      <c r="G16" s="695" t="n"/>
      <c r="H16" s="695" t="n"/>
      <c r="I16" s="684">
        <f>+C16+D16+E16+F16+G16+H16</f>
        <v/>
      </c>
    </row>
    <row r="17" ht="24.9" customHeight="1">
      <c r="A17" s="11" t="inlineStr">
        <is>
          <t>M.XI.RPCS.8</t>
        </is>
      </c>
      <c r="B17" s="312" t="inlineStr">
        <is>
          <t>Femmes</t>
        </is>
      </c>
      <c r="C17" s="666" t="n"/>
      <c r="D17" s="666" t="n"/>
      <c r="E17" s="666" t="n"/>
      <c r="F17" s="666" t="n"/>
      <c r="G17" s="666" t="n"/>
      <c r="H17" s="666" t="n"/>
      <c r="I17" s="690">
        <f>+C17+D17+E17+F17+G17+H17</f>
        <v/>
      </c>
    </row>
    <row r="18" ht="24.9" customHeight="1">
      <c r="A18" s="12" t="inlineStr">
        <is>
          <t>M.XI.RPCS.9</t>
        </is>
      </c>
      <c r="B18" s="314" t="inlineStr">
        <is>
          <t>Personnes morales</t>
        </is>
      </c>
      <c r="C18" s="700" t="n"/>
      <c r="D18" s="700" t="n"/>
      <c r="E18" s="700" t="n"/>
      <c r="F18" s="700" t="n"/>
      <c r="G18" s="700" t="n"/>
      <c r="H18" s="700" t="n"/>
      <c r="I18" s="691">
        <f>+C18+D18+E18+F18+G18+H18</f>
        <v/>
      </c>
    </row>
    <row r="21" ht="15.6" customHeight="1">
      <c r="A21" s="34" t="inlineStr">
        <is>
          <t>M.XI.RPCS.10</t>
        </is>
      </c>
      <c r="B21" s="319" t="inlineStr">
        <is>
          <t>Moyenne Guinée</t>
        </is>
      </c>
      <c r="C21" s="764" t="n"/>
      <c r="D21" s="764" t="n"/>
      <c r="E21" s="695" t="n"/>
      <c r="F21" s="695" t="n"/>
      <c r="G21" s="695" t="n"/>
      <c r="H21" s="695" t="n"/>
      <c r="I21" s="684">
        <f>+C21+D21+E21+F21+G21+H21</f>
        <v/>
      </c>
    </row>
    <row r="22" ht="15.6" customHeight="1">
      <c r="A22" s="11" t="inlineStr">
        <is>
          <t>M.XI.RPCS.11</t>
        </is>
      </c>
      <c r="B22" s="246" t="inlineStr">
        <is>
          <t>Basse Guinée</t>
        </is>
      </c>
      <c r="C22" s="666" t="n"/>
      <c r="D22" s="666" t="n"/>
      <c r="E22" s="666" t="n"/>
      <c r="F22" s="666" t="n"/>
      <c r="G22" s="666" t="n"/>
      <c r="H22" s="666" t="n"/>
      <c r="I22" s="765">
        <f>+C22+D22+E22+F22+G22+H22</f>
        <v/>
      </c>
    </row>
    <row r="23" ht="15.6" customHeight="1">
      <c r="A23" s="11" t="inlineStr">
        <is>
          <t>M.XI.RPCS.12</t>
        </is>
      </c>
      <c r="B23" s="246" t="inlineStr">
        <is>
          <t>Guinée Forestière</t>
        </is>
      </c>
      <c r="C23" s="666" t="n"/>
      <c r="D23" s="666" t="n"/>
      <c r="E23" s="666" t="n"/>
      <c r="F23" s="666" t="n"/>
      <c r="G23" s="666" t="n"/>
      <c r="H23" s="666" t="n"/>
      <c r="I23" s="690">
        <f>+C23+D23+E23+F23+G23+H23</f>
        <v/>
      </c>
    </row>
    <row r="24" ht="15.6" customHeight="1">
      <c r="A24" s="12" t="inlineStr">
        <is>
          <t>M.XI.RPCS.13</t>
        </is>
      </c>
      <c r="B24" s="247" t="inlineStr">
        <is>
          <t>Haute Guinée</t>
        </is>
      </c>
      <c r="C24" s="700" t="n"/>
      <c r="D24" s="766" t="n"/>
      <c r="E24" s="700" t="n"/>
      <c r="F24" s="700" t="n"/>
      <c r="G24" s="700" t="n"/>
      <c r="H24" s="700" t="n"/>
      <c r="I24" s="767">
        <f>+C24+D24+E24+F24+G24+H24</f>
        <v/>
      </c>
    </row>
    <row r="25">
      <c r="B25" s="414" t="n"/>
      <c r="C25" s="414" t="n"/>
      <c r="D25" s="414" t="n"/>
      <c r="E25" s="414" t="n"/>
      <c r="F25" s="414" t="n"/>
    </row>
    <row r="26" ht="20.25" customHeight="1">
      <c r="B26" s="583" t="n"/>
      <c r="C26" s="756" t="n"/>
      <c r="D26" s="756" t="n"/>
      <c r="E26" s="756" t="n"/>
      <c r="F26" s="756" t="n"/>
    </row>
    <row r="27" ht="15.6" customHeight="1">
      <c r="A27" s="34" t="inlineStr">
        <is>
          <t>M.XI.RPCS.14</t>
        </is>
      </c>
      <c r="B27" s="319" t="inlineStr">
        <is>
          <t>Moyenne Guinée</t>
        </is>
      </c>
      <c r="C27" s="666">
        <f>IF($C$12=0,0,+C21/$C$12*100)</f>
        <v/>
      </c>
      <c r="D27" s="666">
        <f>IF($D$12=0,0,+D21/$D$12*100)</f>
        <v/>
      </c>
      <c r="E27" s="666">
        <f>IF($E$12=0,0,+E21/$E$12*100)</f>
        <v/>
      </c>
      <c r="F27" s="666">
        <f>IF($F$12=0,0,+F21/$F$12*100)</f>
        <v/>
      </c>
      <c r="G27" s="695">
        <f>IF($G$12=0,0,+G21/$G$12*100)</f>
        <v/>
      </c>
      <c r="H27" s="695">
        <f>IF($H$12=0,0,+H21/$H$12*100)</f>
        <v/>
      </c>
      <c r="I27" s="684">
        <f>IF($I$12=0,0,+I21/$I$12*100)</f>
        <v/>
      </c>
    </row>
    <row r="28" ht="15.6" customHeight="1">
      <c r="A28" s="11" t="inlineStr">
        <is>
          <t>M.XI.RPCS.15</t>
        </is>
      </c>
      <c r="B28" s="246" t="inlineStr">
        <is>
          <t>Basse Guinée</t>
        </is>
      </c>
      <c r="C28" s="666">
        <f>IF($C$12=0,0,+C22/$C$12*100)</f>
        <v/>
      </c>
      <c r="D28" s="666">
        <f>IF($D$12=0,0,+D22/$D$12*100)</f>
        <v/>
      </c>
      <c r="E28" s="666">
        <f>IF($E$12=0,0,+E22/$E$12*100)</f>
        <v/>
      </c>
      <c r="F28" s="666">
        <f>IF($F$12=0,0,+F22/$F$12*100)</f>
        <v/>
      </c>
      <c r="G28" s="666">
        <f>IF($G$12=0,0,+G22/$G$12*100)</f>
        <v/>
      </c>
      <c r="H28" s="666">
        <f>IF($H$12=0,0,+H22/$H$12*100)</f>
        <v/>
      </c>
      <c r="I28" s="690">
        <f>IF($I$12=0,0,+I22/$I$12*100)</f>
        <v/>
      </c>
    </row>
    <row r="29" ht="15.6" customHeight="1">
      <c r="A29" s="11" t="inlineStr">
        <is>
          <t>M.XI.RPCS.16</t>
        </is>
      </c>
      <c r="B29" s="246" t="inlineStr">
        <is>
          <t>Guinée Forestière</t>
        </is>
      </c>
      <c r="C29" s="666">
        <f>IF($C$12=0,0,+C23/$C$12*100)</f>
        <v/>
      </c>
      <c r="D29" s="666">
        <f>IF($D$12=0,0,+D23/$D$12*100)</f>
        <v/>
      </c>
      <c r="E29" s="666">
        <f>IF($E$12=0,0,+E23/$E$12*100)</f>
        <v/>
      </c>
      <c r="F29" s="666">
        <f>IF($F$12=0,0,+F23/$F$12*100)</f>
        <v/>
      </c>
      <c r="G29" s="666">
        <f>IF($G$12=0,0,+G23/$G$12*100)</f>
        <v/>
      </c>
      <c r="H29" s="666">
        <f>IF($H$12=0,0,+H23/$H$12*100)</f>
        <v/>
      </c>
      <c r="I29" s="690">
        <f>IF($I$12=0,0,+I23/$I$12*100)</f>
        <v/>
      </c>
    </row>
    <row r="30" ht="15.6" customHeight="1">
      <c r="A30" s="12" t="inlineStr">
        <is>
          <t>M.XI.RPCS.17</t>
        </is>
      </c>
      <c r="B30" s="250" t="inlineStr">
        <is>
          <t>Haute Guinée</t>
        </is>
      </c>
      <c r="C30" s="700">
        <f>IF($C$12=0,0,+C24/$C$12*100)</f>
        <v/>
      </c>
      <c r="D30" s="700">
        <f>IF($D$12=0,0,+D24/$D$12*100)</f>
        <v/>
      </c>
      <c r="E30" s="700">
        <f>IF($E$12=0,0,+E24/$E$12*100)</f>
        <v/>
      </c>
      <c r="F30" s="700">
        <f>IF($F$12=0,0,+F24/$F$12*100)</f>
        <v/>
      </c>
      <c r="G30" s="700">
        <f>IF($G$12=0,0,+G24/$G$12*100)</f>
        <v/>
      </c>
      <c r="H30" s="700">
        <f>IF($H$12=0,0,+H24/$H$12*100)</f>
        <v/>
      </c>
      <c r="I30" s="767">
        <f>IF($I$12=0,0,+I24/$I$12*100)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+rMG/jcCMM5BqbwhfsaPzQ==" formatRows="1" sort="1" spinCount="100000" hashValue="KP8kallKH4cylfuwGvKu2pkK0kMwnywaqowHND2xlzXTqjxMFaPhpB6MaULlmLhemC/rWDsD3iMwbnhOx51GSA=="/>
  <mergeCells count="5">
    <mergeCell ref="B26:F26"/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42" verticalDpi="30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topLeftCell="B2" workbookViewId="0">
      <selection activeCell="D8" sqref="D8"/>
    </sheetView>
  </sheetViews>
  <sheetFormatPr baseColWidth="10" defaultColWidth="9.109375" defaultRowHeight="13.2"/>
  <cols>
    <col width="12" customWidth="1" style="1" min="1" max="1"/>
    <col width="31.44140625" customWidth="1" style="1" min="2" max="2"/>
    <col width="30.6640625" customWidth="1" style="1" min="3" max="3"/>
    <col width="23.109375" customWidth="1" style="1" min="4" max="4"/>
    <col width="24.109375" customWidth="1" style="1" min="5" max="5"/>
    <col width="21.5546875" customWidth="1" style="1" min="6" max="6"/>
    <col width="21" customWidth="1" style="1" min="7" max="7"/>
    <col width="29.44140625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252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68" t="inlineStr">
        <is>
          <t>M.XII.ETAT DE RECOUVREMENTS DES CREANCES EN SOUFFRANCE RADIEES DU PORTEFEUILLE CREDIT</t>
        </is>
      </c>
      <c r="D4" s="711" t="n"/>
      <c r="E4" s="711" t="n"/>
      <c r="F4" s="711" t="n"/>
      <c r="G4" s="712" t="n"/>
    </row>
    <row r="5" ht="26.25" customHeight="1"/>
    <row r="6" ht="24.9" customHeight="1">
      <c r="A6" s="40" t="inlineStr">
        <is>
          <t>CODE</t>
        </is>
      </c>
      <c r="B6" s="584" t="inlineStr">
        <is>
          <t>Tranches de jours de retard</t>
        </is>
      </c>
      <c r="C6" s="584" t="inlineStr">
        <is>
          <t>Solde des crédits au 31 décembre précédent</t>
        </is>
      </c>
      <c r="D6" s="769" t="inlineStr">
        <is>
          <t>RECOUVREMENT AU COURS DE L'EXERCICE</t>
        </is>
      </c>
      <c r="E6" s="722" t="n"/>
      <c r="F6" s="722" t="n"/>
      <c r="G6" s="722" t="n"/>
      <c r="H6" s="770" t="n"/>
    </row>
    <row r="7" ht="24.9" customHeight="1">
      <c r="A7" s="771" t="n"/>
      <c r="B7" s="727" t="n"/>
      <c r="C7" s="725" t="n"/>
      <c r="D7" s="231" t="inlineStr">
        <is>
          <t>1er trimestre</t>
        </is>
      </c>
      <c r="E7" s="231" t="inlineStr">
        <is>
          <t>2ème trimestre</t>
        </is>
      </c>
      <c r="F7" s="231" t="inlineStr">
        <is>
          <t>3ème trimestre</t>
        </is>
      </c>
      <c r="G7" s="231" t="inlineStr">
        <is>
          <t>4ème trimestre</t>
        </is>
      </c>
      <c r="H7" s="232" t="inlineStr">
        <is>
          <t>TOTAL</t>
        </is>
      </c>
    </row>
    <row r="8" ht="24.9" customHeight="1">
      <c r="A8" s="772" t="n"/>
      <c r="B8" s="725" t="n"/>
      <c r="C8" s="320" t="inlineStr">
        <is>
          <t>Principal</t>
        </is>
      </c>
      <c r="D8" s="320" t="inlineStr">
        <is>
          <t>Principal</t>
        </is>
      </c>
      <c r="E8" s="320" t="inlineStr">
        <is>
          <t>Principal</t>
        </is>
      </c>
      <c r="F8" s="320" t="inlineStr">
        <is>
          <t>Principal</t>
        </is>
      </c>
      <c r="G8" s="320" t="inlineStr">
        <is>
          <t>Principal</t>
        </is>
      </c>
      <c r="H8" s="321" t="inlineStr">
        <is>
          <t>Principal</t>
        </is>
      </c>
    </row>
    <row r="9" ht="24.9" customHeight="1">
      <c r="A9" s="10" t="inlineStr">
        <is>
          <t>M.XII.RCS.1</t>
        </is>
      </c>
      <c r="B9" s="322" t="inlineStr">
        <is>
          <t>(91 à 180 jours)</t>
        </is>
      </c>
      <c r="C9" s="666" t="n"/>
      <c r="D9" s="666" t="n"/>
      <c r="E9" s="666" t="n"/>
      <c r="F9" s="666" t="n"/>
      <c r="G9" s="714" t="n"/>
      <c r="H9" s="688" t="n"/>
    </row>
    <row r="10" ht="24.9" customHeight="1">
      <c r="A10" s="11" t="inlineStr">
        <is>
          <t>M.XII.RCS.2</t>
        </is>
      </c>
      <c r="B10" s="323" t="inlineStr">
        <is>
          <t>(181 à 365 jours)</t>
        </is>
      </c>
      <c r="C10" s="666" t="n"/>
      <c r="D10" s="666" t="n"/>
      <c r="E10" s="666" t="n"/>
      <c r="F10" s="666" t="n"/>
      <c r="G10" s="714" t="n"/>
      <c r="H10" s="690" t="n"/>
    </row>
    <row r="11" ht="24.9" customHeight="1">
      <c r="A11" s="11" t="inlineStr">
        <is>
          <t>M.XII.RCS.3</t>
        </is>
      </c>
      <c r="B11" s="323" t="inlineStr">
        <is>
          <t>(366 jours à 720 jours)</t>
        </is>
      </c>
      <c r="C11" s="666" t="n"/>
      <c r="D11" s="666" t="n"/>
      <c r="E11" s="666" t="n"/>
      <c r="F11" s="666" t="n"/>
      <c r="G11" s="714" t="n"/>
      <c r="H11" s="690" t="n"/>
    </row>
    <row r="12" ht="24.9" customHeight="1">
      <c r="A12" s="19" t="inlineStr">
        <is>
          <t>M.XII.RCS.4</t>
        </is>
      </c>
      <c r="B12" s="324" t="inlineStr">
        <is>
          <t>(plus de 720 jours)</t>
        </is>
      </c>
      <c r="C12" s="773" t="n"/>
      <c r="D12" s="773" t="n"/>
      <c r="E12" s="773" t="n"/>
      <c r="F12" s="773" t="n"/>
      <c r="G12" s="714" t="n"/>
      <c r="H12" s="690" t="n"/>
    </row>
    <row r="13" ht="24.9" customHeight="1">
      <c r="A13" s="20" t="inlineStr">
        <is>
          <t>M.XII.RCS.5</t>
        </is>
      </c>
      <c r="B13" s="325" t="inlineStr">
        <is>
          <t>TOTAL</t>
        </is>
      </c>
      <c r="C13" s="702">
        <f>SUM(C9:C12)</f>
        <v/>
      </c>
      <c r="D13" s="702">
        <f>SUM(D9:D12)</f>
        <v/>
      </c>
      <c r="E13" s="702">
        <f>SUM(E9:E12)</f>
        <v/>
      </c>
      <c r="F13" s="702">
        <f>SUM(F9:F12)</f>
        <v/>
      </c>
      <c r="G13" s="702">
        <f>SUM(G9:G12)</f>
        <v/>
      </c>
      <c r="H13" s="692">
        <f>SUM(H9:H12)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HG+OF7+yf/ZaCm5UygOlA==" formatRows="1" sort="1" spinCount="100000" hashValue="k21vH2rbNJ6Wxyo2BlnP65CAdDKvegYUWxajSpt0lsnknWsmreAvppVdiAfFf2jiuXIgLogRy5IHmv/uRUb0mA=="/>
  <mergeCells count="8">
    <mergeCell ref="B6:B8"/>
    <mergeCell ref="C6:C7"/>
    <mergeCell ref="D6:H6"/>
    <mergeCell ref="A6:A8"/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45" verticalDpi="30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topLeftCell="A7" workbookViewId="0">
      <selection activeCell="E25" sqref="E25"/>
    </sheetView>
  </sheetViews>
  <sheetFormatPr baseColWidth="10" defaultColWidth="9.109375" defaultRowHeight="13.2"/>
  <cols>
    <col width="14.44140625" bestFit="1" customWidth="1" style="1" min="1" max="1"/>
    <col width="10.109375" customWidth="1" style="1" min="2" max="2"/>
    <col width="10.5546875" customWidth="1" style="1" min="3" max="3"/>
    <col width="66.109375" customWidth="1" style="1" min="4" max="4"/>
    <col width="24.88671875" customWidth="1" style="1" min="5" max="5"/>
    <col width="13.44140625" customWidth="1" style="1" min="6" max="6"/>
    <col width="9.109375" customWidth="1" style="1" min="7" max="16384"/>
  </cols>
  <sheetData>
    <row r="1" ht="20.1" customHeight="1">
      <c r="A1" s="595" t="inlineStr">
        <is>
          <t>Nom de l'institution</t>
        </is>
      </c>
      <c r="B1" s="774" t="n"/>
      <c r="C1" s="526">
        <f>'M.0.INFO.G'!C1</f>
        <v/>
      </c>
      <c r="D1" s="708" t="n"/>
      <c r="E1" s="709" t="n"/>
    </row>
    <row r="2" ht="20.1" customHeight="1">
      <c r="A2" s="595" t="inlineStr">
        <is>
          <t>Code de l'institution</t>
        </is>
      </c>
      <c r="B2" s="774" t="n"/>
      <c r="C2" s="526">
        <f>'M.0.INFO.G'!C2</f>
        <v/>
      </c>
      <c r="D2" s="708" t="n"/>
      <c r="E2" s="709" t="n"/>
    </row>
    <row r="3" ht="20.1" customHeight="1">
      <c r="A3" s="595" t="inlineStr">
        <is>
          <t>Date des rapports</t>
        </is>
      </c>
      <c r="B3" s="774" t="n"/>
      <c r="C3" s="775">
        <f>'M.0.INFO.G'!C3</f>
        <v/>
      </c>
      <c r="D3" s="708" t="n"/>
      <c r="E3" s="709" t="n"/>
    </row>
    <row r="4" ht="33" customHeight="1">
      <c r="A4" s="597" t="inlineStr">
        <is>
          <t xml:space="preserve">Rapport </t>
        </is>
      </c>
      <c r="B4" s="774" t="n"/>
      <c r="C4" s="611" t="inlineStr">
        <is>
          <t>M.XIII.RATIO DE DIVERSIFICATION ET DE LIMITATION DES PARTICIPATIONS AUTRES QUE  DANS LES IFI</t>
        </is>
      </c>
      <c r="D4" s="708" t="n"/>
      <c r="E4" s="709" t="n"/>
    </row>
    <row r="5" ht="26.25" customHeight="1">
      <c r="B5" s="603" t="inlineStr">
        <is>
          <t>A) - RATIO DE DIVERSIFICATION</t>
        </is>
      </c>
    </row>
    <row r="6" ht="26.25" customHeight="1">
      <c r="B6" s="756" t="n"/>
      <c r="C6" s="756" t="n"/>
      <c r="D6" s="756" t="n"/>
    </row>
    <row r="7" ht="33.75" customHeight="1">
      <c r="A7" s="74" t="inlineStr">
        <is>
          <t>CODE</t>
        </is>
      </c>
      <c r="B7" s="74" t="inlineStr">
        <is>
          <t>ELEMENT</t>
        </is>
      </c>
      <c r="C7" s="74" t="inlineStr">
        <is>
          <t>N° Compte</t>
        </is>
      </c>
      <c r="D7" s="74" t="inlineStr">
        <is>
          <t>LIBELLE</t>
        </is>
      </c>
      <c r="E7" s="74" t="inlineStr">
        <is>
          <t>MONTANT GNF</t>
        </is>
      </c>
    </row>
    <row r="8" ht="24.9" customHeight="1">
      <c r="A8" s="48" t="inlineStr">
        <is>
          <t>M.XIII.OATA.A.1</t>
        </is>
      </c>
      <c r="B8" s="600" t="inlineStr">
        <is>
          <t>I</t>
        </is>
      </c>
      <c r="C8" s="75" t="n">
        <v>715</v>
      </c>
      <c r="D8" s="76" t="inlineStr">
        <is>
          <t>Produits non bancaires</t>
        </is>
      </c>
      <c r="E8" s="707">
        <f>M.II.RESULTAT!D88+M.II.RESULTAT!D98</f>
        <v/>
      </c>
    </row>
    <row r="9" ht="24.9" customHeight="1">
      <c r="A9" s="48" t="inlineStr">
        <is>
          <t>M.XIII.OATA.A.2</t>
        </is>
      </c>
      <c r="B9" s="601" t="inlineStr">
        <is>
          <t>II</t>
        </is>
      </c>
      <c r="C9" s="79" t="n"/>
      <c r="D9" s="80" t="inlineStr">
        <is>
          <t>TOTAL DES PRODUITS</t>
        </is>
      </c>
      <c r="E9" s="707">
        <f>M.II.RESULTAT!D61</f>
        <v/>
      </c>
      <c r="H9" s="221" t="n"/>
    </row>
    <row r="10" ht="39" customHeight="1">
      <c r="A10" s="776" t="inlineStr">
        <is>
          <t>M.XIII.OATA.A.3</t>
        </is>
      </c>
      <c r="B10" s="777" t="inlineStr">
        <is>
          <t>I/II</t>
        </is>
      </c>
      <c r="C10" s="778" t="n"/>
      <c r="D10" s="779" t="inlineStr">
        <is>
          <t>RATIO DE DIVERSIFICATION (I/II) : La norme à respecter est de 5% maximum</t>
        </is>
      </c>
      <c r="E10" s="780">
        <f>IF(E9=0,0,E8/E9*100)</f>
        <v/>
      </c>
    </row>
    <row r="11" ht="24" customHeight="1">
      <c r="H11" s="222" t="n"/>
    </row>
    <row r="12" ht="15" customHeight="1">
      <c r="B12" s="604" t="inlineStr">
        <is>
          <t>B) - RATIO DE LIMITATION DES PARTICIPATIONS AUTRES DANS LES IFI</t>
        </is>
      </c>
    </row>
    <row r="14">
      <c r="A14" s="74" t="inlineStr">
        <is>
          <t>CODE</t>
        </is>
      </c>
      <c r="B14" s="74" t="inlineStr">
        <is>
          <t>ELEMENT</t>
        </is>
      </c>
      <c r="C14" s="74" t="inlineStr">
        <is>
          <t>N° Compte</t>
        </is>
      </c>
      <c r="D14" s="74" t="inlineStr">
        <is>
          <t>LIBELLE</t>
        </is>
      </c>
      <c r="E14" s="74" t="inlineStr">
        <is>
          <t>MONTANT GNF</t>
        </is>
      </c>
    </row>
    <row r="15">
      <c r="A15" s="48" t="n"/>
      <c r="B15" s="600" t="inlineStr">
        <is>
          <t>I</t>
        </is>
      </c>
      <c r="C15" s="75" t="n"/>
      <c r="D15" s="146" t="inlineStr">
        <is>
          <t>Somme des Titres de Participation</t>
        </is>
      </c>
      <c r="E15" s="780">
        <f>+E16</f>
        <v/>
      </c>
    </row>
    <row r="16">
      <c r="A16" s="48" t="inlineStr">
        <is>
          <t>M.XIII.OATA.B.2</t>
        </is>
      </c>
      <c r="B16" s="320" t="inlineStr">
        <is>
          <t>II</t>
        </is>
      </c>
      <c r="C16" s="75" t="n">
        <v>402</v>
      </c>
      <c r="D16" s="147" t="inlineStr">
        <is>
          <t>Autres Titres de participation</t>
        </is>
      </c>
      <c r="E16" s="781">
        <f>M.I.BILAN!F62</f>
        <v/>
      </c>
    </row>
    <row r="17">
      <c r="A17" s="48" t="inlineStr">
        <is>
          <t>M.XIII.OATA.B.3</t>
        </is>
      </c>
      <c r="B17" s="727" t="n"/>
      <c r="C17" s="145" t="n"/>
      <c r="D17" s="148" t="n"/>
      <c r="E17" s="782" t="n"/>
    </row>
    <row r="18">
      <c r="A18" s="48" t="inlineStr">
        <is>
          <t>M.XIII.OATA.B.4</t>
        </is>
      </c>
      <c r="B18" s="746" t="n"/>
      <c r="C18" s="79" t="n"/>
      <c r="D18" s="80" t="inlineStr">
        <is>
          <t xml:space="preserve">Fonds Propres Nets </t>
        </is>
      </c>
      <c r="E18" s="781">
        <f>M.X.RSL!G39</f>
        <v/>
      </c>
    </row>
    <row r="19" ht="41.25" customHeight="1">
      <c r="A19" s="783" t="inlineStr">
        <is>
          <t>M.XIII.OATA.B.5</t>
        </is>
      </c>
      <c r="B19" s="784" t="inlineStr">
        <is>
          <t>I/II</t>
        </is>
      </c>
      <c r="C19" s="776" t="n"/>
      <c r="D19" s="785" t="inlineStr">
        <is>
          <t>RATIO DE LIMITATION DES PARTICIPATIONS AUTRES QUE DANS LES IFI (I/II) : La norme à respecter est de 25% maximum</t>
        </is>
      </c>
      <c r="E19" s="780">
        <f>IF(E18=0,0,E15/E18*100)</f>
        <v/>
      </c>
    </row>
    <row r="21" ht="15" customHeight="1">
      <c r="B21" s="604" t="inlineStr">
        <is>
          <t>C) - COUVERTURE DES IMMOBILISATIONS PAR LES FONDS PROPRES</t>
        </is>
      </c>
    </row>
    <row r="23">
      <c r="A23" s="74" t="inlineStr">
        <is>
          <t>CODE</t>
        </is>
      </c>
      <c r="B23" s="74" t="inlineStr">
        <is>
          <t>ELEMENT</t>
        </is>
      </c>
      <c r="C23" s="74" t="inlineStr">
        <is>
          <t>N° Compte</t>
        </is>
      </c>
      <c r="D23" s="74" t="inlineStr">
        <is>
          <t>LIBELLE</t>
        </is>
      </c>
      <c r="E23" s="74" t="inlineStr">
        <is>
          <t>MONTANT GNF</t>
        </is>
      </c>
    </row>
    <row r="24" ht="16.5" customHeight="1">
      <c r="A24" s="48" t="inlineStr">
        <is>
          <t>M.XIII.OATA.C.1</t>
        </is>
      </c>
      <c r="B24" s="600" t="inlineStr">
        <is>
          <t>I</t>
        </is>
      </c>
      <c r="C24" s="75" t="n">
        <v>402</v>
      </c>
      <c r="D24" s="147" t="inlineStr">
        <is>
          <t>Autres Titres de Participations</t>
        </is>
      </c>
      <c r="E24" s="780">
        <f>M.I.BILAN!F62</f>
        <v/>
      </c>
    </row>
    <row r="25" ht="16.5" customHeight="1">
      <c r="A25" s="48" t="inlineStr">
        <is>
          <t>M.XIII.OATA.C.2</t>
        </is>
      </c>
      <c r="B25" s="600" t="n"/>
      <c r="C25" s="75" t="n">
        <v>404</v>
      </c>
      <c r="D25" s="147" t="inlineStr">
        <is>
          <t>Autres Titres immobilisées hors Institutions Financières</t>
        </is>
      </c>
      <c r="E25" s="780">
        <f>M.I.BILAN!F64</f>
        <v/>
      </c>
    </row>
    <row r="26" ht="16.5" customHeight="1">
      <c r="A26" s="48" t="inlineStr">
        <is>
          <t>M.XIII.OATA.C.3</t>
        </is>
      </c>
      <c r="B26" s="600" t="n"/>
      <c r="C26" s="75" t="n">
        <v>41</v>
      </c>
      <c r="D26" s="147" t="inlineStr">
        <is>
          <t>Dépôts et cautionnements (long terme)</t>
        </is>
      </c>
      <c r="E26" s="780">
        <f>M.I.BILAN!F65</f>
        <v/>
      </c>
    </row>
    <row r="27" ht="16.5" customHeight="1">
      <c r="A27" s="48" t="inlineStr">
        <is>
          <t>M.XIII.OATA.C.4</t>
        </is>
      </c>
      <c r="B27" s="600" t="n"/>
      <c r="C27" s="75" t="n">
        <v>43</v>
      </c>
      <c r="D27" s="147" t="inlineStr">
        <is>
          <t>Immobilisations corporelles</t>
        </is>
      </c>
      <c r="E27" s="780">
        <f>M.I.BILAN!F69</f>
        <v/>
      </c>
    </row>
    <row r="28" ht="16.5" customHeight="1">
      <c r="A28" s="48" t="inlineStr">
        <is>
          <t>M.XIII.OATA.C.5</t>
        </is>
      </c>
      <c r="B28" s="600" t="n"/>
      <c r="C28" s="75" t="n">
        <v>44</v>
      </c>
      <c r="D28" s="147" t="inlineStr">
        <is>
          <t>Immobilisations en cours</t>
        </is>
      </c>
      <c r="E28" s="780">
        <f>M.I.BILAN!F75</f>
        <v/>
      </c>
    </row>
    <row r="29" ht="19.5" customHeight="1">
      <c r="A29" s="48" t="inlineStr">
        <is>
          <t>M.XIII.OATA.C.6</t>
        </is>
      </c>
      <c r="B29" s="320" t="inlineStr">
        <is>
          <t>II</t>
        </is>
      </c>
      <c r="C29" s="75" t="n"/>
      <c r="D29" s="146" t="inlineStr">
        <is>
          <t>Total des Immobilisations</t>
        </is>
      </c>
      <c r="E29" s="780">
        <f>SUM(E24:E28)</f>
        <v/>
      </c>
    </row>
    <row r="30" ht="32.25" customHeight="1">
      <c r="A30" s="48" t="inlineStr">
        <is>
          <t>M.XIII.OATA.C.7</t>
        </is>
      </c>
      <c r="B30" s="746" t="n"/>
      <c r="C30" s="79" t="n"/>
      <c r="D30" s="162" t="inlineStr">
        <is>
          <t>Fonds Propres Nets</t>
        </is>
      </c>
      <c r="E30" s="780">
        <f>M.X.RSL!G39</f>
        <v/>
      </c>
    </row>
    <row r="31" ht="39" customHeight="1">
      <c r="A31" s="783" t="inlineStr">
        <is>
          <t>M.XIII.OATA.C.8</t>
        </is>
      </c>
      <c r="B31" s="784" t="inlineStr">
        <is>
          <t>I/II</t>
        </is>
      </c>
      <c r="C31" s="776" t="n"/>
      <c r="D31" s="785" t="inlineStr">
        <is>
          <t>RATIO DE COUVERTURE DES IMMOBILISATIONS PAR LES FONDS PROPRES  (I/II) : La norme à respecter est de 50% maximum</t>
        </is>
      </c>
      <c r="E31" s="780">
        <f>IF(E30=0,0,E29/E30*100)</f>
        <v/>
      </c>
    </row>
    <row r="34">
      <c r="D34" s="166" t="inlineStr">
        <is>
          <t>D) - CONSTITUTIONS DES RESERVES DES IMFS</t>
        </is>
      </c>
    </row>
    <row r="36">
      <c r="A36" s="74" t="inlineStr">
        <is>
          <t>CODE</t>
        </is>
      </c>
      <c r="B36" s="74" t="inlineStr">
        <is>
          <t>ELEMENT</t>
        </is>
      </c>
      <c r="C36" s="74" t="inlineStr">
        <is>
          <t>N°Compte</t>
        </is>
      </c>
      <c r="D36" s="74" t="inlineStr">
        <is>
          <t>LIBELLE</t>
        </is>
      </c>
      <c r="E36" s="74" t="inlineStr">
        <is>
          <t>MONTANT GNF</t>
        </is>
      </c>
    </row>
    <row r="37">
      <c r="A37" s="20" t="inlineStr">
        <is>
          <t>M.XIII.OATA.D.1</t>
        </is>
      </c>
      <c r="B37" s="93" t="inlineStr">
        <is>
          <t>I</t>
        </is>
      </c>
      <c r="C37" s="93" t="n"/>
      <c r="D37" s="94" t="inlineStr">
        <is>
          <t xml:space="preserve">EXCEDENT </t>
        </is>
      </c>
      <c r="E37" s="719">
        <f>M.I.BILAN!D148</f>
        <v/>
      </c>
    </row>
    <row r="38">
      <c r="A38" s="20" t="inlineStr">
        <is>
          <t>M.XIII.OATA.D.2</t>
        </is>
      </c>
      <c r="B38" s="578" t="inlineStr">
        <is>
          <t>II</t>
        </is>
      </c>
      <c r="C38" s="786" t="n"/>
      <c r="D38" s="94" t="inlineStr">
        <is>
          <t>RESERVE LEGALE OBLIGATOIRE (N-1)</t>
        </is>
      </c>
      <c r="E38" s="787" t="n"/>
    </row>
    <row r="39">
      <c r="A39" s="20" t="inlineStr">
        <is>
          <t>M.XIII.OATA.D.3</t>
        </is>
      </c>
      <c r="B39" s="756" t="n"/>
      <c r="C39" s="756" t="n"/>
      <c r="D39" s="131" t="inlineStr">
        <is>
          <t>RESERVE LEGALE OBLIGATOIRE (N)</t>
        </is>
      </c>
      <c r="E39" s="719">
        <f>M.I.BILAN!F142</f>
        <v/>
      </c>
    </row>
    <row r="41">
      <c r="B41" s="88" t="n"/>
      <c r="C41" s="88" t="n"/>
      <c r="D41" s="594" t="n"/>
      <c r="E41" s="756" t="n"/>
    </row>
    <row r="42">
      <c r="A42" s="8" t="inlineStr">
        <is>
          <t>CODE</t>
        </is>
      </c>
      <c r="B42" s="90" t="inlineStr">
        <is>
          <t>ELEMENT</t>
        </is>
      </c>
      <c r="C42" s="90" t="inlineStr">
        <is>
          <t>N°Compte</t>
        </is>
      </c>
      <c r="D42" s="90" t="inlineStr">
        <is>
          <t>LIBELLE</t>
        </is>
      </c>
      <c r="E42" s="74" t="inlineStr">
        <is>
          <t>MONTANT GNF</t>
        </is>
      </c>
    </row>
    <row r="43" ht="18.75" customHeight="1">
      <c r="A43" s="65" t="inlineStr">
        <is>
          <t>M.XIII.OATA.E.1</t>
        </is>
      </c>
      <c r="B43" s="569" t="inlineStr">
        <is>
          <t>III</t>
        </is>
      </c>
      <c r="C43" s="165" t="n"/>
      <c r="D43" s="163" t="inlineStr">
        <is>
          <t>Variation en montant de la Reserve légale Obligatoire : (N - N-1)</t>
        </is>
      </c>
      <c r="E43" s="719">
        <f>E39-E38</f>
        <v/>
      </c>
    </row>
    <row r="44" ht="22.5" customHeight="1">
      <c r="A44" s="788" t="inlineStr">
        <is>
          <t>M.XIII.OATA.E.2</t>
        </is>
      </c>
      <c r="B44" s="789" t="inlineStr">
        <is>
          <t>III/I</t>
        </is>
      </c>
      <c r="C44" s="790" t="n"/>
      <c r="D44" s="791" t="inlineStr">
        <is>
          <t xml:space="preserve">RATIO DE RESERVE LEGALE OBLIGATOIRE (III/I) : La norme à respecter est de 15% des bénéfices de l'exercice minimum. </t>
        </is>
      </c>
      <c r="E44" s="792">
        <f>IF(E37=0,0,E43/E37*100)</f>
        <v/>
      </c>
    </row>
    <row r="45" ht="23.25" customHeight="1">
      <c r="A45" s="793" t="n"/>
      <c r="B45" s="756" t="n"/>
      <c r="C45" s="735" t="n"/>
      <c r="D45" s="746" t="n"/>
      <c r="E45" s="79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x3x8+y8dTLTqcKUHNdwkw==" formatRows="1" sort="1" spinCount="100000" hashValue="lESCf4xPLmmFiGBLb9mZd5L/mLhhbOTM83fjLyEQ2AfjpV5Y8rdvEgWV5ntS34Iri0i2IyXkp4fDHTzvfJvkrQ=="/>
  <mergeCells count="21">
    <mergeCell ref="A44:A45"/>
    <mergeCell ref="B44:B45"/>
    <mergeCell ref="C44:C45"/>
    <mergeCell ref="D44:D45"/>
    <mergeCell ref="E44:E45"/>
    <mergeCell ref="D41:E41"/>
    <mergeCell ref="A1:B1"/>
    <mergeCell ref="A2:B2"/>
    <mergeCell ref="A3:B3"/>
    <mergeCell ref="A4:B4"/>
    <mergeCell ref="B16:B18"/>
    <mergeCell ref="B5:D6"/>
    <mergeCell ref="B12:D12"/>
    <mergeCell ref="C1:E1"/>
    <mergeCell ref="C2:E2"/>
    <mergeCell ref="C3:E3"/>
    <mergeCell ref="B38:B39"/>
    <mergeCell ref="C38:C39"/>
    <mergeCell ref="C4:E4"/>
    <mergeCell ref="B29:B30"/>
    <mergeCell ref="B21:D21"/>
  </mergeCells>
  <pageMargins left="0.7" right="0.7" top="0.75" bottom="0.75" header="0.3" footer="0.3"/>
  <pageSetup orientation="portrait" paperSize="9" scale="71" verticalDpi="30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topLeftCell="A5" workbookViewId="0">
      <selection activeCell="D8" sqref="D8"/>
    </sheetView>
  </sheetViews>
  <sheetFormatPr baseColWidth="10" defaultColWidth="9.109375" defaultRowHeight="13.2"/>
  <cols>
    <col width="14.77734375" customWidth="1" style="1" min="1" max="1"/>
    <col width="20.5546875" customWidth="1" style="1" min="2" max="2"/>
    <col width="64.6640625" customWidth="1" style="1" min="3" max="3"/>
    <col width="39.44140625" customWidth="1" style="1" min="4" max="4"/>
    <col width="14.33203125" customWidth="1" style="1" min="5" max="5"/>
    <col width="9.109375" customWidth="1" style="1" min="6" max="16384"/>
  </cols>
  <sheetData>
    <row r="1" ht="20.1" customHeight="1">
      <c r="B1" s="642" t="inlineStr">
        <is>
          <t>Nom de l'institution</t>
        </is>
      </c>
      <c r="C1" s="3">
        <f>'M.0.INFO.G'!C1</f>
        <v/>
      </c>
    </row>
    <row r="2" ht="20.1" customHeight="1">
      <c r="B2" s="642" t="inlineStr">
        <is>
          <t>Code de l'institution</t>
        </is>
      </c>
      <c r="C2" s="3">
        <f>'M.0.INFO.G'!C2</f>
        <v/>
      </c>
    </row>
    <row r="3" ht="20.1" customHeight="1">
      <c r="B3" s="642" t="inlineStr">
        <is>
          <t>Date des rapports</t>
        </is>
      </c>
      <c r="C3" s="3">
        <f>'M.0.INFO.G'!C3</f>
        <v/>
      </c>
    </row>
    <row r="4" ht="45.75" customHeight="1">
      <c r="B4" s="642" t="inlineStr">
        <is>
          <t xml:space="preserve">Rapport </t>
        </is>
      </c>
      <c r="C4" s="172" t="inlineStr">
        <is>
          <t xml:space="preserve">M.XIV.FONDS DE SOLIDARITE FINANCIERE </t>
        </is>
      </c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LIBELLE</t>
        </is>
      </c>
      <c r="D6" s="74" t="inlineStr">
        <is>
          <t>MONTANT GNF</t>
        </is>
      </c>
    </row>
    <row r="7" ht="33.75" customHeight="1">
      <c r="A7" s="48" t="inlineStr">
        <is>
          <t>M.XIV.FS.A.1</t>
        </is>
      </c>
      <c r="B7" s="566" t="inlineStr">
        <is>
          <t>I</t>
        </is>
      </c>
      <c r="C7" s="152" t="inlineStr">
        <is>
          <t>Total Actif brut moyen et des engagements par signature (N-1)</t>
        </is>
      </c>
      <c r="D7" s="795" t="n"/>
    </row>
    <row r="8" ht="24.9" customHeight="1">
      <c r="A8" s="48" t="inlineStr">
        <is>
          <t>M.XIV.FS.A.2</t>
        </is>
      </c>
      <c r="B8" s="561" t="inlineStr">
        <is>
          <t>II</t>
        </is>
      </c>
      <c r="C8" s="152" t="inlineStr">
        <is>
          <t xml:space="preserve">Total Actif brut moyen </t>
        </is>
      </c>
      <c r="D8" s="167">
        <f>IFERROR(M.XXII.INDIC.PRUDENTIELS!C38,0)</f>
        <v/>
      </c>
    </row>
    <row r="9" ht="24.9" customHeight="1">
      <c r="A9" s="48" t="inlineStr">
        <is>
          <t>M.XIV.FS.A.3</t>
        </is>
      </c>
      <c r="B9" s="561" t="inlineStr">
        <is>
          <t>III</t>
        </is>
      </c>
      <c r="C9" s="158" t="inlineStr">
        <is>
          <t>Variation de l'actif moyen (II-I)</t>
        </is>
      </c>
      <c r="D9" s="796">
        <f>IFERROR(+D8-D7,0)</f>
        <v/>
      </c>
    </row>
    <row r="10" ht="24.9" customHeight="1">
      <c r="A10" s="48" t="inlineStr">
        <is>
          <t>M.XIV.FS.A.4</t>
        </is>
      </c>
      <c r="B10" s="565" t="inlineStr">
        <is>
          <t>IV</t>
        </is>
      </c>
      <c r="C10" s="168" t="inlineStr">
        <is>
          <t>Engagements par signature (N)</t>
        </is>
      </c>
      <c r="D10" s="797">
        <f>+M.III.HS_BILAN!D7</f>
        <v/>
      </c>
    </row>
    <row r="11" ht="24.9" customHeight="1">
      <c r="A11" s="48" t="inlineStr">
        <is>
          <t>M.XIV.FS.A.5</t>
        </is>
      </c>
      <c r="B11" s="223" t="inlineStr">
        <is>
          <t>V</t>
        </is>
      </c>
      <c r="C11" s="170" t="inlineStr">
        <is>
          <t>Base de calcul du Fonds de solidarité (III+IV)</t>
        </is>
      </c>
      <c r="D11" s="798">
        <f>IFERROR(+D9+D10,0)</f>
        <v/>
      </c>
    </row>
    <row r="13">
      <c r="B13" s="88" t="n"/>
      <c r="C13" s="594" t="inlineStr">
        <is>
          <t>RESPECT DE L'INSTRUCTION</t>
        </is>
      </c>
      <c r="D13" s="756" t="n"/>
      <c r="E13" s="89" t="n"/>
    </row>
    <row r="14" ht="20.1" customHeight="1">
      <c r="A14" s="8" t="inlineStr">
        <is>
          <t>CODE</t>
        </is>
      </c>
      <c r="B14" s="90" t="inlineStr">
        <is>
          <t>ELEMENT</t>
        </is>
      </c>
      <c r="C14" s="90" t="inlineStr">
        <is>
          <t>LIBELLE</t>
        </is>
      </c>
      <c r="D14" s="74" t="inlineStr">
        <is>
          <t>MONTANT GNF</t>
        </is>
      </c>
    </row>
    <row r="15" ht="15" customHeight="1">
      <c r="A15" s="48" t="inlineStr">
        <is>
          <t>M.XIV.FS.B.1</t>
        </is>
      </c>
      <c r="B15" s="494" t="inlineStr">
        <is>
          <t>VIII</t>
        </is>
      </c>
      <c r="C15" s="92" t="inlineStr">
        <is>
          <t>Fonds de solidarité Financière (N)</t>
        </is>
      </c>
      <c r="D15" s="798">
        <f>M.I.BILAN!F147</f>
        <v/>
      </c>
    </row>
    <row r="16" ht="15" customHeight="1">
      <c r="A16" s="48" t="inlineStr">
        <is>
          <t>M.XIV.FS.B.2</t>
        </is>
      </c>
      <c r="B16" s="494" t="inlineStr">
        <is>
          <t>IX</t>
        </is>
      </c>
      <c r="C16" s="92" t="inlineStr">
        <is>
          <t>Fonds de solidarité Financière (N-1)</t>
        </is>
      </c>
      <c r="D16" s="799" t="n"/>
    </row>
    <row r="17" ht="15" customHeight="1">
      <c r="A17" s="48" t="inlineStr">
        <is>
          <t>M.XIV.FS.B.3</t>
        </is>
      </c>
      <c r="B17" s="494" t="inlineStr">
        <is>
          <t>X</t>
        </is>
      </c>
      <c r="C17" s="326" t="inlineStr">
        <is>
          <t>Variation du Fonds de solidarité financière</t>
        </is>
      </c>
      <c r="D17" s="798">
        <f>D15-D16</f>
        <v/>
      </c>
    </row>
    <row r="18" ht="42" customHeight="1">
      <c r="A18" s="493" t="inlineStr">
        <is>
          <t>M.XIV.FS.B.4</t>
        </is>
      </c>
      <c r="B18" s="484" t="inlineStr">
        <is>
          <t>X/V</t>
        </is>
      </c>
      <c r="C18" s="492" t="inlineStr">
        <is>
          <t>Procéder de contrôle:  le rapport du calcul (X/V) doit être &gt;= 2%</t>
        </is>
      </c>
      <c r="D18" s="780">
        <f>IF(D17=0,0,D17/D11*100)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EopgPIUf9tzOC0MAOyAGw==" formatRows="1" sort="1" spinCount="100000" hashValue="KTyJqjK9pcteA4wTVoTmi5+w71Gsp74HMs0YxDgI2s22qJ63YoA8ufeVrUXxj8jakL102HtA/FE2dcR5Bz2UDA=="/>
  <mergeCells count="1">
    <mergeCell ref="C13:D13"/>
  </mergeCells>
  <pageMargins left="0.7" right="0.7" top="0.75" bottom="0.75" header="0.3" footer="0.3"/>
  <pageSetup orientation="portrait" paperSize="9" scale="69" verticalDpi="30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E29" sqref="E29"/>
    </sheetView>
  </sheetViews>
  <sheetFormatPr baseColWidth="10" defaultColWidth="9.109375" defaultRowHeight="13.2"/>
  <cols>
    <col width="16.109375" customWidth="1" style="1" min="1" max="1"/>
    <col width="26.44140625" customWidth="1" style="1" min="2" max="2"/>
    <col width="10.5546875" customWidth="1" style="1" min="3" max="3"/>
    <col width="60.5546875" customWidth="1" style="1" min="4" max="4"/>
    <col width="36.6640625" customWidth="1" style="1" min="5" max="5"/>
    <col width="13.44140625" customWidth="1" style="1" min="6" max="6"/>
    <col width="9.109375" customWidth="1" style="1" min="7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9" t="n"/>
    </row>
    <row r="4" ht="20.1" customHeight="1">
      <c r="B4" s="642" t="inlineStr">
        <is>
          <t xml:space="preserve">Rapport </t>
        </is>
      </c>
      <c r="C4" s="710" t="inlineStr">
        <is>
          <t>M.XVI.COUVERTURE DES EMPLOIS A MOYEN ET LONG TERME PAR LES RESSOURCES STABLES</t>
        </is>
      </c>
      <c r="D4" s="711" t="n"/>
      <c r="E4" s="712" t="n"/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N° Compte</t>
        </is>
      </c>
      <c r="D6" s="74" t="inlineStr">
        <is>
          <t>LIBELLE</t>
        </is>
      </c>
      <c r="E6" s="74" t="inlineStr">
        <is>
          <t>MONTANT GNF</t>
        </is>
      </c>
    </row>
    <row r="7" ht="33.75" customHeight="1">
      <c r="A7" s="48" t="inlineStr">
        <is>
          <t>M.XIX.CERS.1</t>
        </is>
      </c>
      <c r="B7" s="533" t="inlineStr">
        <is>
          <t>I</t>
        </is>
      </c>
      <c r="C7" s="75" t="n"/>
      <c r="D7" s="78" t="inlineStr">
        <is>
          <t>EMPLOIS</t>
        </is>
      </c>
      <c r="E7" s="800" t="n"/>
    </row>
    <row r="8" ht="25.5" customHeight="1">
      <c r="A8" s="48" t="inlineStr">
        <is>
          <t>M.XIX.CERS.2</t>
        </is>
      </c>
      <c r="B8" s="727" t="n"/>
      <c r="C8" s="561" t="n">
        <v>12</v>
      </c>
      <c r="D8" s="152" t="inlineStr">
        <is>
          <t>Secteur financier, PMLT, éhéances supérieures à 2 ans</t>
        </is>
      </c>
      <c r="E8" s="707">
        <f>M.I.BILAN!F28</f>
        <v/>
      </c>
    </row>
    <row r="9" ht="18" customHeight="1">
      <c r="A9" s="48" t="inlineStr">
        <is>
          <t>M.XIX.CERS.4</t>
        </is>
      </c>
      <c r="B9" s="727" t="n"/>
      <c r="C9" s="75" t="n">
        <v>202</v>
      </c>
      <c r="D9" s="152" t="inlineStr">
        <is>
          <t xml:space="preserve">Crédit à moyen terme, </t>
        </is>
      </c>
      <c r="E9" s="707">
        <f>M.I.BILAN!F38</f>
        <v/>
      </c>
    </row>
    <row r="10" ht="22.5" customHeight="1">
      <c r="A10" s="48" t="inlineStr">
        <is>
          <t>M.XIX.CERS.5</t>
        </is>
      </c>
      <c r="B10" s="727" t="n"/>
      <c r="C10" s="561" t="n">
        <v>203</v>
      </c>
      <c r="D10" s="152" t="inlineStr">
        <is>
          <t xml:space="preserve">Crédit à long terme, </t>
        </is>
      </c>
      <c r="E10" s="707">
        <f>M.I.BILAN!F39</f>
        <v/>
      </c>
    </row>
    <row r="11" ht="18" customHeight="1">
      <c r="A11" s="48" t="inlineStr">
        <is>
          <t>M.XIX.CERS.6</t>
        </is>
      </c>
      <c r="B11" s="727" t="n"/>
      <c r="C11" s="75" t="n">
        <v>21</v>
      </c>
      <c r="D11" s="152" t="inlineStr">
        <is>
          <t>Crédits en souffrance</t>
        </is>
      </c>
      <c r="E11" s="707">
        <f>+M.I.BILAN!F41</f>
        <v/>
      </c>
    </row>
    <row r="12" ht="13.5" customHeight="1">
      <c r="A12" s="48" t="inlineStr">
        <is>
          <t>M.XIX.CERS.7</t>
        </is>
      </c>
      <c r="B12" s="727" t="n"/>
      <c r="C12" s="75" t="n">
        <v>323</v>
      </c>
      <c r="D12" s="152" t="inlineStr">
        <is>
          <t>Autres créances en souffrance</t>
        </is>
      </c>
      <c r="E12" s="707">
        <f>+M.I.BILAN!F52</f>
        <v/>
      </c>
    </row>
    <row r="13" ht="13.5" customHeight="1">
      <c r="A13" s="48" t="inlineStr">
        <is>
          <t>M.XIX.CERS.8</t>
        </is>
      </c>
      <c r="B13" s="727" t="n"/>
      <c r="C13" s="75" t="n">
        <v>4</v>
      </c>
      <c r="D13" s="152" t="inlineStr">
        <is>
          <t>Immobilisations</t>
        </is>
      </c>
      <c r="E13" s="707">
        <f>+M.I.BILAN!F59</f>
        <v/>
      </c>
    </row>
    <row r="14" ht="24.9" customHeight="1">
      <c r="A14" s="48" t="inlineStr">
        <is>
          <t>M.XIX.CERS.9</t>
        </is>
      </c>
      <c r="B14" s="725" t="n"/>
      <c r="C14" s="75" t="n"/>
      <c r="D14" s="158" t="inlineStr">
        <is>
          <t>TOTAL EMPLOIS</t>
        </is>
      </c>
      <c r="E14" s="707">
        <f>SUM(E8:E13)</f>
        <v/>
      </c>
    </row>
    <row r="15" ht="24.9" customHeight="1">
      <c r="A15" s="48" t="inlineStr">
        <is>
          <t>M.XIX.CERS.10</t>
        </is>
      </c>
      <c r="B15" s="320" t="inlineStr">
        <is>
          <t>II</t>
        </is>
      </c>
      <c r="C15" s="155" t="n"/>
      <c r="D15" s="158" t="inlineStr">
        <is>
          <t>RESSOURCES</t>
        </is>
      </c>
      <c r="E15" s="800" t="n"/>
    </row>
    <row r="16" ht="34.5" customHeight="1">
      <c r="A16" s="48" t="inlineStr">
        <is>
          <t>M.XIX.CERS.11</t>
        </is>
      </c>
      <c r="B16" s="727" t="n"/>
      <c r="C16" s="159" t="n">
        <v>17</v>
      </c>
      <c r="D16" s="153" t="inlineStr">
        <is>
          <t>Emprunts à moyen et long terme auprès du secteur financier (Moins compte 178: dettes rattachées)</t>
        </is>
      </c>
      <c r="E16" s="707">
        <f>+M.I.BILAN!F88-M.I.BILAN!F95</f>
        <v/>
      </c>
    </row>
    <row r="17" ht="24.9" customHeight="1">
      <c r="A17" s="48" t="inlineStr">
        <is>
          <t>M.XIX.CERS.12</t>
        </is>
      </c>
      <c r="B17" s="727" t="n"/>
      <c r="C17" s="159" t="n">
        <v>18</v>
      </c>
      <c r="D17" s="154" t="inlineStr">
        <is>
          <t>Ressources affectées (échéance supérieure à 2ans)</t>
        </is>
      </c>
      <c r="E17" s="800" t="n"/>
    </row>
    <row r="18" ht="24.9" customHeight="1">
      <c r="A18" s="48" t="inlineStr">
        <is>
          <t>M.XIX.CERS.13</t>
        </is>
      </c>
      <c r="B18" s="727" t="n"/>
      <c r="C18" s="159" t="n">
        <v>242</v>
      </c>
      <c r="D18" s="154" t="inlineStr">
        <is>
          <t>Quôte part des dépôts à terme (DAT), échéances sup à 2 ans</t>
        </is>
      </c>
      <c r="E18" s="707">
        <f>M.I.BILAN!F105</f>
        <v/>
      </c>
    </row>
    <row r="19" ht="27.75" customHeight="1">
      <c r="A19" s="48" t="inlineStr">
        <is>
          <t>M.XIX.CERS.14</t>
        </is>
      </c>
      <c r="B19" s="727" t="n"/>
      <c r="C19" s="159" t="n">
        <v>243</v>
      </c>
      <c r="D19" s="153" t="inlineStr">
        <is>
          <t>Quôte part des dépôts de garantie, couvrant des crédits à moyen et long terme</t>
        </is>
      </c>
      <c r="E19" s="707">
        <f>M.I.BILAN!F108</f>
        <v/>
      </c>
    </row>
    <row r="20" ht="24.9" customHeight="1">
      <c r="A20" s="48" t="inlineStr">
        <is>
          <t>M.XIX.CERS.15</t>
        </is>
      </c>
      <c r="B20" s="727" t="n"/>
      <c r="C20" s="159" t="n">
        <v>50</v>
      </c>
      <c r="D20" s="154" t="inlineStr">
        <is>
          <t>Provisions du passif</t>
        </is>
      </c>
      <c r="E20" s="707">
        <f>M.I.BILAN!F132</f>
        <v/>
      </c>
    </row>
    <row r="21" ht="24.9" customHeight="1">
      <c r="A21" s="48" t="inlineStr">
        <is>
          <t>M.XIX.CERS.16</t>
        </is>
      </c>
      <c r="B21" s="727" t="n"/>
      <c r="C21" s="159" t="n">
        <v>51</v>
      </c>
      <c r="D21" s="160" t="inlineStr">
        <is>
          <t>Subvention d'investissement</t>
        </is>
      </c>
      <c r="E21" s="707">
        <f>M.I.BILAN!F133</f>
        <v/>
      </c>
    </row>
    <row r="22" ht="24.9" customHeight="1">
      <c r="A22" s="48" t="inlineStr">
        <is>
          <t>M.XIX.CERS.17</t>
        </is>
      </c>
      <c r="B22" s="727" t="n"/>
      <c r="C22" s="159" t="n">
        <v>52</v>
      </c>
      <c r="D22" s="160" t="inlineStr">
        <is>
          <t>Report à nouveau</t>
        </is>
      </c>
      <c r="E22" s="707">
        <f>M.I.BILAN!F134</f>
        <v/>
      </c>
    </row>
    <row r="23" ht="24.9" customHeight="1">
      <c r="A23" s="48" t="inlineStr">
        <is>
          <t>M.XIX.CERS.18</t>
        </is>
      </c>
      <c r="B23" s="727" t="n"/>
      <c r="C23" s="159" t="n">
        <v>53</v>
      </c>
      <c r="D23" s="160" t="inlineStr">
        <is>
          <t>Dettes subordonnées &amp; assimilées éligibles aux fonds propres</t>
        </is>
      </c>
      <c r="E23" s="707">
        <f>M.I.BILAN!F135</f>
        <v/>
      </c>
    </row>
    <row r="24" ht="24.9" customHeight="1">
      <c r="A24" s="48" t="inlineStr">
        <is>
          <t>M.XIX.CERS.19</t>
        </is>
      </c>
      <c r="B24" s="727" t="n"/>
      <c r="C24" s="159" t="n">
        <v>54</v>
      </c>
      <c r="D24" s="160" t="inlineStr">
        <is>
          <t>Réserves facultatives</t>
        </is>
      </c>
      <c r="E24" s="707">
        <f>M.I.BILAN!F141</f>
        <v/>
      </c>
    </row>
    <row r="25" ht="24.9" customHeight="1">
      <c r="A25" s="48" t="inlineStr">
        <is>
          <t>M.XIX.CERS.20</t>
        </is>
      </c>
      <c r="B25" s="727" t="n"/>
      <c r="C25" s="159" t="n">
        <v>55</v>
      </c>
      <c r="D25" s="160" t="inlineStr">
        <is>
          <t>Réserves générales</t>
        </is>
      </c>
      <c r="E25" s="707">
        <f>M.I.BILAN!F142</f>
        <v/>
      </c>
    </row>
    <row r="26" ht="24.9" customHeight="1">
      <c r="A26" s="48" t="inlineStr">
        <is>
          <t>M.XIX.CERS.21</t>
        </is>
      </c>
      <c r="B26" s="727" t="n"/>
      <c r="C26" s="159" t="n">
        <v>56</v>
      </c>
      <c r="D26" s="160" t="inlineStr">
        <is>
          <t xml:space="preserve">Fonds de dotation impartageable, à caractère de réserve </t>
        </is>
      </c>
      <c r="E26" s="707">
        <f>M.I.BILAN!F143</f>
        <v/>
      </c>
    </row>
    <row r="27" ht="24.9" customHeight="1">
      <c r="A27" s="48" t="inlineStr">
        <is>
          <t>M.XIX.CERS.22</t>
        </is>
      </c>
      <c r="B27" s="727" t="n"/>
      <c r="C27" s="159" t="n">
        <v>572</v>
      </c>
      <c r="D27" s="160" t="inlineStr">
        <is>
          <t>Capital social fixe ou dont le remboursement peut être bloqué, libéré</t>
        </is>
      </c>
      <c r="E27" s="707">
        <f>M.I.BILAN!F146</f>
        <v/>
      </c>
    </row>
    <row r="28" ht="24.9" customHeight="1">
      <c r="A28" s="48" t="inlineStr">
        <is>
          <t>M.XIX.CERS.23</t>
        </is>
      </c>
      <c r="B28" s="727" t="n"/>
      <c r="C28" s="159" t="n">
        <v>58</v>
      </c>
      <c r="D28" s="160" t="inlineStr">
        <is>
          <t>Fonds de solidarité financière des réseaux</t>
        </is>
      </c>
      <c r="E28" s="707">
        <f>M.I.BILAN!F147</f>
        <v/>
      </c>
    </row>
    <row r="29" ht="24.9" customHeight="1">
      <c r="A29" s="48" t="inlineStr">
        <is>
          <t>M.XIX.CERS.24</t>
        </is>
      </c>
      <c r="B29" s="727" t="n"/>
      <c r="C29" s="159" t="n">
        <v>59</v>
      </c>
      <c r="D29" s="160" t="inlineStr">
        <is>
          <t>15% du compte 59 excédent ou 100% du déficit ( en cours d'affectation)</t>
        </is>
      </c>
      <c r="E29" s="707">
        <f>M.I.BILAN!F148</f>
        <v/>
      </c>
    </row>
    <row r="30" ht="24.9" customHeight="1">
      <c r="A30" s="48" t="inlineStr">
        <is>
          <t>M.XIX.CERS.25</t>
        </is>
      </c>
      <c r="B30" s="746" t="n"/>
      <c r="C30" s="156" t="n"/>
      <c r="D30" s="157" t="inlineStr">
        <is>
          <t>TOTAL RESSOURCES</t>
        </is>
      </c>
      <c r="E30" s="707">
        <f>SUM(E16:E29)</f>
        <v/>
      </c>
    </row>
    <row r="31" ht="24.9" customHeight="1">
      <c r="A31" s="68" t="n"/>
      <c r="B31" s="81" t="n"/>
      <c r="C31" s="82" t="n"/>
      <c r="D31" s="82" t="n"/>
      <c r="E31" s="82" t="n"/>
    </row>
    <row r="32" ht="54" customHeight="1">
      <c r="A32" s="161" t="inlineStr">
        <is>
          <t>M.XIX.CERS.26</t>
        </is>
      </c>
      <c r="B32" s="801" t="inlineStr">
        <is>
          <t>RATIO DE COUVERTURE DES EMPLOIS (ML&amp;T) PAR LES RESSOURCES STABLES (II/I) : La norme à respecter est de 100% minimum</t>
        </is>
      </c>
      <c r="C32" s="82" t="n"/>
      <c r="D32" s="802" t="n"/>
      <c r="E32" s="780">
        <f>IF(E14=0,0,E30/E14*100)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4vf3Q488Zg25tyu+W7bmGA==" formatRows="1" sort="1" spinCount="100000" hashValue="pRxMKv2WDcvmRsPMX68BGRhzYP11cS5anSn9J3clQoujh0Dd+5C+3SMkxrPs2goef9IGiBjPAM8/S4JFOru6NQ=="/>
  <mergeCells count="7">
    <mergeCell ref="B32:D32"/>
    <mergeCell ref="C1:E1"/>
    <mergeCell ref="C2:E2"/>
    <mergeCell ref="C3:E3"/>
    <mergeCell ref="C4:E4"/>
    <mergeCell ref="B15:B30"/>
    <mergeCell ref="B7:B14"/>
  </mergeCells>
  <pageMargins left="0.7" right="0.7" top="0.75" bottom="0.75" header="0.3" footer="0.3"/>
  <pageSetup orientation="portrait" paperSize="9" scale="64" verticalDpi="30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topLeftCell="C52" workbookViewId="0">
      <selection activeCell="E74" sqref="E74"/>
    </sheetView>
  </sheetViews>
  <sheetFormatPr baseColWidth="10" defaultColWidth="9.109375" defaultRowHeight="13.2"/>
  <cols>
    <col width="17.5546875" customWidth="1" style="1" min="1" max="1"/>
    <col width="35.5546875" customWidth="1" style="1" min="2" max="2"/>
    <col width="30.5546875" customWidth="1" style="1" min="3" max="3"/>
    <col width="35.5546875" customWidth="1" style="1" min="4" max="4"/>
    <col width="27.88671875" customWidth="1" style="1" min="5" max="5"/>
    <col width="23.33203125" customWidth="1" style="1" min="6" max="6"/>
    <col width="28.21875" customWidth="1" style="1" min="7" max="7"/>
    <col width="44.5546875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3">
        <f>'M.0.INFO.G'!C1</f>
        <v/>
      </c>
    </row>
    <row r="2" ht="20.1" customHeight="1">
      <c r="B2" s="642" t="inlineStr">
        <is>
          <t>Code de l'institution</t>
        </is>
      </c>
      <c r="C2" s="3">
        <f>'M.0.INFO.G'!C2</f>
        <v/>
      </c>
    </row>
    <row r="3" ht="20.1" customHeight="1">
      <c r="B3" s="642" t="inlineStr">
        <is>
          <t>Date des rapports</t>
        </is>
      </c>
      <c r="C3" s="3">
        <f>'M.0.INFO.G'!C3</f>
        <v/>
      </c>
    </row>
    <row r="4" ht="34.5" customHeight="1">
      <c r="B4" s="642" t="inlineStr">
        <is>
          <t xml:space="preserve">Rapport </t>
        </is>
      </c>
      <c r="C4" s="85" t="inlineStr">
        <is>
          <t>M.XV.RECAP</t>
        </is>
      </c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802" t="n"/>
      <c r="D6" s="95" t="inlineStr">
        <is>
          <t>VALEUR</t>
        </is>
      </c>
    </row>
    <row r="7" ht="20.1" customHeight="1">
      <c r="A7" s="803" t="n"/>
      <c r="B7" s="640" t="inlineStr">
        <is>
          <t>INFORMATIONS GENERALES</t>
        </is>
      </c>
      <c r="C7" s="804" t="n"/>
      <c r="D7" s="803" t="n"/>
    </row>
    <row r="8" ht="20.1" customHeight="1">
      <c r="A8" s="64" t="inlineStr">
        <is>
          <t>M.XVIII.RECAP.1</t>
        </is>
      </c>
      <c r="B8" s="633" t="inlineStr">
        <is>
          <t xml:space="preserve">Nombre total de point de couverture des services </t>
        </is>
      </c>
      <c r="C8" s="709" t="n"/>
      <c r="D8" s="707">
        <f>M.IX.SG!F8</f>
        <v/>
      </c>
    </row>
    <row r="9" ht="20.1" customHeight="1">
      <c r="A9" s="64" t="inlineStr">
        <is>
          <t>M.XVIII.RECAP.2</t>
        </is>
      </c>
      <c r="B9" s="633" t="inlineStr">
        <is>
          <t>Nombre d'agences ou de caisses de base</t>
        </is>
      </c>
      <c r="C9" s="709" t="n"/>
      <c r="D9" s="707">
        <f>M.IX.SG!G8</f>
        <v/>
      </c>
    </row>
    <row r="10" ht="20.1" customHeight="1">
      <c r="A10" s="64" t="inlineStr">
        <is>
          <t>M.XVIII.RECAP.3</t>
        </is>
      </c>
      <c r="B10" s="633" t="inlineStr">
        <is>
          <t xml:space="preserve">Nombre de points de service </t>
        </is>
      </c>
      <c r="C10" s="709" t="n"/>
      <c r="D10" s="707">
        <f>M.IX.SG!H8</f>
        <v/>
      </c>
    </row>
    <row r="11" ht="20.1" customHeight="1">
      <c r="A11" s="64" t="inlineStr">
        <is>
          <t>M.XVIII.RECAP.4</t>
        </is>
      </c>
      <c r="B11" s="642" t="inlineStr">
        <is>
          <t>Nombre d'employés</t>
        </is>
      </c>
      <c r="C11" s="709" t="n"/>
      <c r="D11" s="707">
        <f>+D12+D13</f>
        <v/>
      </c>
    </row>
    <row r="12" ht="20.1" customHeight="1">
      <c r="A12" s="64" t="inlineStr">
        <is>
          <t>M.XVIII.RECAP.5</t>
        </is>
      </c>
      <c r="B12" s="633" t="inlineStr">
        <is>
          <t xml:space="preserve">          CDI</t>
        </is>
      </c>
      <c r="C12" s="709" t="n"/>
      <c r="D12" s="805" t="n"/>
    </row>
    <row r="13" ht="20.1" customHeight="1">
      <c r="A13" s="64" t="inlineStr">
        <is>
          <t>M.XVIII.RECAP.6</t>
        </is>
      </c>
      <c r="B13" s="633" t="inlineStr">
        <is>
          <t xml:space="preserve">          CDD</t>
        </is>
      </c>
      <c r="C13" s="709" t="n"/>
      <c r="D13" s="805" t="n"/>
    </row>
    <row r="14" ht="20.1" customHeight="1">
      <c r="A14" s="64" t="inlineStr">
        <is>
          <t>M.XVIII.RECAP.7</t>
        </is>
      </c>
      <c r="B14" s="629" t="inlineStr">
        <is>
          <t>Nombre d'agents de crédit</t>
        </is>
      </c>
      <c r="C14" s="709" t="n"/>
      <c r="D14" s="707" t="n">
        <v>0</v>
      </c>
    </row>
    <row r="15" ht="20.1" customHeight="1">
      <c r="A15" s="64" t="inlineStr">
        <is>
          <t>M.XVIII.RECAP.8</t>
        </is>
      </c>
      <c r="B15" s="629" t="inlineStr">
        <is>
          <t>Nombre de clients, membres ou bénéficiaires</t>
        </is>
      </c>
      <c r="C15" s="709" t="n"/>
      <c r="D15" s="707">
        <f>+D16+D17+D18</f>
        <v/>
      </c>
    </row>
    <row r="16" ht="20.1" customHeight="1">
      <c r="A16" s="64" t="inlineStr">
        <is>
          <t>M.XVIII.RECAP.9</t>
        </is>
      </c>
      <c r="B16" s="633" t="inlineStr">
        <is>
          <t xml:space="preserve">         Hommes</t>
        </is>
      </c>
      <c r="C16" s="709" t="n"/>
      <c r="D16" s="805" t="n"/>
    </row>
    <row r="17" ht="20.1" customHeight="1">
      <c r="A17" s="64" t="inlineStr">
        <is>
          <t>M.XVIII.RECAP.10</t>
        </is>
      </c>
      <c r="B17" s="633" t="inlineStr">
        <is>
          <t xml:space="preserve">         Femmes</t>
        </is>
      </c>
      <c r="C17" s="709" t="n"/>
      <c r="D17" s="805" t="n"/>
    </row>
    <row r="18" ht="20.1" customHeight="1">
      <c r="A18" s="64" t="inlineStr">
        <is>
          <t>M.XVIII.RECAP.11</t>
        </is>
      </c>
      <c r="B18" s="633" t="inlineStr">
        <is>
          <t xml:space="preserve">         Personnes morales</t>
        </is>
      </c>
      <c r="C18" s="709" t="n"/>
      <c r="D18" s="805" t="n"/>
    </row>
    <row r="19" ht="20.1" customHeight="1">
      <c r="A19" s="64" t="inlineStr">
        <is>
          <t>M.XVIII.RECAP.12</t>
        </is>
      </c>
      <c r="B19" s="629" t="inlineStr">
        <is>
          <t xml:space="preserve">Nombre de crédits accordés depuis le 1er janvier </t>
        </is>
      </c>
      <c r="C19" s="709" t="n"/>
      <c r="D19" s="707">
        <f>+D20+D21+D22</f>
        <v/>
      </c>
    </row>
    <row r="20" ht="20.1" customHeight="1">
      <c r="A20" s="64" t="inlineStr">
        <is>
          <t>M.XVIII.RECAP.13</t>
        </is>
      </c>
      <c r="B20" s="633" t="inlineStr">
        <is>
          <t xml:space="preserve">         Nombre de crédits accordés aux Hommes</t>
        </is>
      </c>
      <c r="C20" s="709" t="n"/>
      <c r="D20" s="805" t="n"/>
    </row>
    <row r="21" ht="20.1" customHeight="1">
      <c r="A21" s="64" t="inlineStr">
        <is>
          <t>M.XVIII.RECAP.14</t>
        </is>
      </c>
      <c r="B21" s="633" t="inlineStr">
        <is>
          <t xml:space="preserve">         Nombre de crédits accordés aux Femmes</t>
        </is>
      </c>
      <c r="C21" s="709" t="n"/>
      <c r="D21" s="805" t="n"/>
    </row>
    <row r="22" ht="20.1" customHeight="1">
      <c r="A22" s="64" t="inlineStr">
        <is>
          <t>M.XVIII.RECAP.15</t>
        </is>
      </c>
      <c r="B22" s="633" t="inlineStr">
        <is>
          <t xml:space="preserve">        Nombre de crédits accordés aux Personnes morales</t>
        </is>
      </c>
      <c r="C22" s="709" t="n"/>
      <c r="D22" s="805" t="n"/>
    </row>
    <row r="23" ht="20.1" customHeight="1">
      <c r="A23" s="64" t="inlineStr">
        <is>
          <t>M.XVIII.RECAP.16</t>
        </is>
      </c>
      <c r="B23" s="629" t="inlineStr">
        <is>
          <t xml:space="preserve">Volume des crédits accordés par genre depuis le 1er janvier </t>
        </is>
      </c>
      <c r="C23" s="709" t="n"/>
      <c r="D23" s="707">
        <f>+D24+D25+D26</f>
        <v/>
      </c>
      <c r="J23" s="327" t="n"/>
      <c r="K23" s="327" t="n"/>
      <c r="L23" s="328" t="n"/>
    </row>
    <row r="24" ht="20.1" customHeight="1">
      <c r="A24" s="64" t="inlineStr">
        <is>
          <t>M.XVIII.RECAP.17</t>
        </is>
      </c>
      <c r="B24" s="631" t="inlineStr">
        <is>
          <t>Femmes</t>
        </is>
      </c>
      <c r="C24" s="709" t="n"/>
      <c r="D24" s="805" t="n"/>
      <c r="J24" s="327" t="n"/>
      <c r="K24" s="327" t="n"/>
      <c r="L24" s="328" t="n"/>
    </row>
    <row r="25" ht="20.1" customHeight="1">
      <c r="A25" s="64" t="inlineStr">
        <is>
          <t>M.XVIII.RECAP.18</t>
        </is>
      </c>
      <c r="B25" s="631" t="inlineStr">
        <is>
          <t>Hommes</t>
        </is>
      </c>
      <c r="C25" s="709" t="n"/>
      <c r="D25" s="805" t="n"/>
      <c r="J25" s="327" t="n"/>
      <c r="K25" s="327" t="n"/>
      <c r="L25" s="328" t="n"/>
    </row>
    <row r="26" ht="20.1" customHeight="1">
      <c r="A26" s="64" t="inlineStr">
        <is>
          <t>M.XVIII.RECAP.19</t>
        </is>
      </c>
      <c r="B26" s="631" t="inlineStr">
        <is>
          <t>Entreprise individuelle ou personnes morales</t>
        </is>
      </c>
      <c r="C26" s="709" t="n"/>
      <c r="D26" s="805" t="n"/>
      <c r="J26" s="327" t="n"/>
      <c r="K26" s="327" t="n"/>
      <c r="L26" s="328" t="n"/>
    </row>
    <row r="27" ht="20.1" customHeight="1">
      <c r="A27" s="803" t="n"/>
      <c r="B27" s="636" t="inlineStr">
        <is>
          <t>PORTEFEUILLE DE PRÊTS</t>
        </is>
      </c>
      <c r="C27" s="709" t="n"/>
      <c r="D27" s="803" t="n"/>
    </row>
    <row r="28" ht="19.5" customHeight="1">
      <c r="A28" s="64" t="inlineStr">
        <is>
          <t>M.XVIII.RECAP.20</t>
        </is>
      </c>
      <c r="B28" s="629" t="inlineStr">
        <is>
          <t>Répartition du Volume de financement des crédits par secteur d'activités</t>
        </is>
      </c>
      <c r="C28" s="709" t="n"/>
      <c r="D28" s="707">
        <f>SUM(D29:D34)</f>
        <v/>
      </c>
    </row>
    <row r="29" ht="20.1" customHeight="1">
      <c r="A29" s="64" t="inlineStr">
        <is>
          <t>M.XVIII.RECAP.21</t>
        </is>
      </c>
      <c r="B29" s="633" t="inlineStr">
        <is>
          <t xml:space="preserve">        Agriculture,Elévage,Pêche</t>
        </is>
      </c>
      <c r="C29" s="709" t="n"/>
      <c r="D29" s="805" t="n"/>
    </row>
    <row r="30" ht="20.1" customHeight="1">
      <c r="A30" s="64" t="inlineStr">
        <is>
          <t>M.XVIII.RECAP.22</t>
        </is>
      </c>
      <c r="B30" s="633" t="inlineStr">
        <is>
          <t xml:space="preserve">       Travaux publics et Batiments</t>
        </is>
      </c>
      <c r="C30" s="709" t="n"/>
      <c r="D30" s="805" t="n"/>
    </row>
    <row r="31" ht="20.1" customHeight="1">
      <c r="A31" s="64" t="inlineStr">
        <is>
          <t>M.XVIII.RECAP.23</t>
        </is>
      </c>
      <c r="B31" s="633" t="inlineStr">
        <is>
          <t xml:space="preserve">       Commerce, Restaurant,Hotélrie</t>
        </is>
      </c>
      <c r="C31" s="709" t="n"/>
      <c r="D31" s="805" t="n"/>
    </row>
    <row r="32" ht="20.1" customHeight="1">
      <c r="A32" s="64" t="inlineStr">
        <is>
          <t>M.XVIII.RECAP.24</t>
        </is>
      </c>
      <c r="B32" s="633" t="inlineStr">
        <is>
          <t xml:space="preserve">       Industrie, Artisanat</t>
        </is>
      </c>
      <c r="C32" s="709" t="n"/>
      <c r="D32" s="805" t="n"/>
    </row>
    <row r="33" ht="20.1" customHeight="1">
      <c r="A33" s="64" t="inlineStr">
        <is>
          <t>M.XVIII.RECAP.25</t>
        </is>
      </c>
      <c r="B33" s="633" t="inlineStr">
        <is>
          <t xml:space="preserve">      Transport, Communication</t>
        </is>
      </c>
      <c r="C33" s="709" t="n"/>
      <c r="D33" s="805" t="n"/>
    </row>
    <row r="34" ht="20.1" customHeight="1">
      <c r="A34" s="64" t="inlineStr">
        <is>
          <t>M.XVIII.RECAP.26</t>
        </is>
      </c>
      <c r="B34" s="633" t="inlineStr">
        <is>
          <t xml:space="preserve">      Autres</t>
        </is>
      </c>
      <c r="C34" s="709" t="n"/>
      <c r="D34" s="805" t="n"/>
    </row>
    <row r="35" ht="20.1" customHeight="1">
      <c r="A35" s="64" t="inlineStr">
        <is>
          <t>M.XVIII.RECAP.27</t>
        </is>
      </c>
      <c r="B35" s="646" t="inlineStr">
        <is>
          <t>Rapport sur la qualité du portefeuille</t>
        </is>
      </c>
      <c r="C35" s="709" t="n"/>
      <c r="D35" s="707">
        <f>SUM(D36,D37)</f>
        <v/>
      </c>
    </row>
    <row r="36" ht="20.1" customHeight="1">
      <c r="A36" s="64" t="inlineStr">
        <is>
          <t>M.XVIII.RECAP.28</t>
        </is>
      </c>
      <c r="B36" s="633" t="inlineStr">
        <is>
          <t>Portefeuille des crédits à jour</t>
        </is>
      </c>
      <c r="C36" s="709" t="n"/>
      <c r="D36" s="707">
        <f>M.I.BILAN!F34</f>
        <v/>
      </c>
    </row>
    <row r="37" ht="20.1" customHeight="1">
      <c r="A37" s="64" t="inlineStr">
        <is>
          <t>M.XVIII.RECAP.29</t>
        </is>
      </c>
      <c r="B37" s="633" t="inlineStr">
        <is>
          <t>Portefeuille des crédits en souffrance</t>
        </is>
      </c>
      <c r="C37" s="709" t="n"/>
      <c r="D37" s="707">
        <f>SUM(D38:D43)</f>
        <v/>
      </c>
    </row>
    <row r="38" ht="20.1" customHeight="1">
      <c r="A38" s="64" t="inlineStr">
        <is>
          <t>M.XVIII.RECAP.30</t>
        </is>
      </c>
      <c r="B38" s="633" t="inlineStr">
        <is>
          <t>1 - 29 jours</t>
        </is>
      </c>
      <c r="C38" s="709" t="n"/>
      <c r="D38" s="805" t="n"/>
    </row>
    <row r="39" ht="20.1" customHeight="1">
      <c r="A39" s="64" t="inlineStr">
        <is>
          <t>M.XVIII.RECAP.31</t>
        </is>
      </c>
      <c r="B39" s="633" t="inlineStr">
        <is>
          <t>30 - 89 jours</t>
        </is>
      </c>
      <c r="C39" s="709" t="n"/>
      <c r="D39" s="805" t="n"/>
    </row>
    <row r="40" ht="20.1" customHeight="1">
      <c r="A40" s="64" t="inlineStr">
        <is>
          <t>M.XVIII.RECAP.32</t>
        </is>
      </c>
      <c r="B40" s="633" t="inlineStr">
        <is>
          <t>90 - 179 jours</t>
        </is>
      </c>
      <c r="C40" s="709" t="n"/>
      <c r="D40" s="805" t="n"/>
    </row>
    <row r="41" ht="20.1" customHeight="1">
      <c r="A41" s="64" t="inlineStr">
        <is>
          <t>M.XVIII.RECAP.33</t>
        </is>
      </c>
      <c r="B41" s="633" t="inlineStr">
        <is>
          <t>180 - 359 jours</t>
        </is>
      </c>
      <c r="C41" s="709" t="n"/>
      <c r="D41" s="805" t="n"/>
    </row>
    <row r="42" ht="20.1" customHeight="1">
      <c r="A42" s="64" t="inlineStr">
        <is>
          <t>M.XVIII.RECAP.34</t>
        </is>
      </c>
      <c r="B42" s="633" t="inlineStr">
        <is>
          <t>360 - 719 jours</t>
        </is>
      </c>
      <c r="C42" s="709" t="n"/>
      <c r="D42" s="805" t="n"/>
    </row>
    <row r="43" ht="20.1" customHeight="1">
      <c r="A43" s="64" t="inlineStr">
        <is>
          <t>M.XVIII.RECAP.35</t>
        </is>
      </c>
      <c r="B43" s="633" t="inlineStr">
        <is>
          <t xml:space="preserve"> + 720 jours</t>
        </is>
      </c>
      <c r="C43" s="709" t="n"/>
      <c r="D43" s="805" t="n"/>
    </row>
    <row r="44" ht="20.1" customHeight="1">
      <c r="A44" s="803" t="n"/>
      <c r="B44" s="636" t="inlineStr">
        <is>
          <t>AUTRES ASPECTS</t>
        </is>
      </c>
      <c r="C44" s="709" t="n"/>
      <c r="D44" s="803" t="n"/>
    </row>
    <row r="45" ht="20.1" customHeight="1">
      <c r="A45" s="64" t="inlineStr">
        <is>
          <t>M.XVIII.RECAP.36</t>
        </is>
      </c>
      <c r="B45" s="633" t="inlineStr">
        <is>
          <t>Trésorerie (espèces et depôts en banque)</t>
        </is>
      </c>
      <c r="C45" s="709" t="n"/>
      <c r="D45" s="707">
        <f>M.I.BILAN!F8</f>
        <v/>
      </c>
    </row>
    <row r="46" ht="20.1" customHeight="1">
      <c r="A46" s="64" t="inlineStr">
        <is>
          <t>M.XVIII.RECAP.37</t>
        </is>
      </c>
      <c r="B46" s="633" t="inlineStr">
        <is>
          <t xml:space="preserve">Emprunts </t>
        </is>
      </c>
      <c r="C46" s="709" t="n"/>
      <c r="D46" s="707">
        <f>M.I.BILAN!F80+M.I.BILAN!F88</f>
        <v/>
      </c>
    </row>
    <row r="47" ht="20.1" customHeight="1">
      <c r="A47" s="64" t="inlineStr">
        <is>
          <t>M.XVIII.RECAP.38</t>
        </is>
      </c>
      <c r="B47" s="633" t="inlineStr">
        <is>
          <t>Encours total de dépôts</t>
        </is>
      </c>
      <c r="C47" s="709" t="n"/>
      <c r="D47" s="707">
        <f>M.I.BILAN!F99</f>
        <v/>
      </c>
    </row>
    <row r="48" ht="20.1" customHeight="1">
      <c r="A48" s="64" t="inlineStr">
        <is>
          <t>M.XVIII.RECAP.39</t>
        </is>
      </c>
      <c r="B48" s="633" t="inlineStr">
        <is>
          <t>Garantie financière</t>
        </is>
      </c>
      <c r="C48" s="709" t="n"/>
      <c r="D48" s="707">
        <f>M.I.BILAN!F106</f>
        <v/>
      </c>
    </row>
    <row r="49" ht="20.1" customHeight="1">
      <c r="A49" s="64" t="inlineStr">
        <is>
          <t>M.XVIII.RECAP.40</t>
        </is>
      </c>
      <c r="B49" s="633" t="inlineStr">
        <is>
          <t>Encours crédits en fin de période</t>
        </is>
      </c>
      <c r="C49" s="709" t="n"/>
      <c r="D49" s="707">
        <f>M.I.BILAN!F33</f>
        <v/>
      </c>
    </row>
    <row r="50" ht="20.1" customHeight="1">
      <c r="A50" s="64" t="inlineStr">
        <is>
          <t>M.XVIII.RECAP.41</t>
        </is>
      </c>
      <c r="B50" s="633" t="inlineStr">
        <is>
          <t>Volume des crédits débloqués depuis le 1er janvier</t>
        </is>
      </c>
      <c r="C50" s="709" t="n"/>
      <c r="D50" s="707">
        <f>M.V.PFC!C7</f>
        <v/>
      </c>
    </row>
    <row r="51" ht="20.1" customHeight="1">
      <c r="A51" s="64" t="inlineStr">
        <is>
          <t>M.XVIII.RECAP.42</t>
        </is>
      </c>
      <c r="B51" s="633" t="inlineStr">
        <is>
          <t>Fonds propres</t>
        </is>
      </c>
      <c r="C51" s="709" t="n"/>
      <c r="D51" s="707">
        <f>M.I.BILAN!F131</f>
        <v/>
      </c>
    </row>
    <row r="52" ht="20.1" customHeight="1">
      <c r="A52" s="64" t="inlineStr">
        <is>
          <t>M.XVIII.RECAP.43</t>
        </is>
      </c>
      <c r="B52" s="633" t="inlineStr">
        <is>
          <t>Résultat net</t>
        </is>
      </c>
      <c r="C52" s="709" t="n"/>
      <c r="D52" s="707">
        <f>M.I.BILAN!F148</f>
        <v/>
      </c>
    </row>
    <row r="53" ht="20.1" customHeight="1">
      <c r="A53" s="64" t="inlineStr">
        <is>
          <t>M.XVIII.RECAP.44</t>
        </is>
      </c>
      <c r="B53" s="633" t="inlineStr">
        <is>
          <t>Provisions pour créances douteuses</t>
        </is>
      </c>
      <c r="C53" s="709" t="n"/>
      <c r="D53" s="707">
        <f>M.I.BILAN!E33</f>
        <v/>
      </c>
    </row>
    <row r="54" ht="20.1" customHeight="1">
      <c r="A54" s="64" t="inlineStr">
        <is>
          <t>M.XVIII.RECAP.45</t>
        </is>
      </c>
      <c r="B54" s="635" t="inlineStr">
        <is>
          <t>Immobilisations nettes</t>
        </is>
      </c>
      <c r="C54" s="734" t="n"/>
      <c r="D54" s="806">
        <f>M.I.BILAN!F59</f>
        <v/>
      </c>
    </row>
    <row r="55" ht="20.1" customHeight="1">
      <c r="A55" s="370" t="inlineStr">
        <is>
          <t>M.XVIII.RECAP.46</t>
        </is>
      </c>
      <c r="B55" s="807" t="inlineStr">
        <is>
          <t>Total Actif net</t>
        </is>
      </c>
      <c r="C55" s="802" t="n"/>
      <c r="D55" s="780">
        <f>M.I.BILAN!F76</f>
        <v/>
      </c>
    </row>
    <row r="56" ht="12.75" customHeight="1">
      <c r="A56" s="97" t="n"/>
      <c r="B56" s="329" t="n"/>
      <c r="C56" s="329" t="n"/>
      <c r="D56" s="330" t="n"/>
      <c r="E56" s="330" t="n"/>
      <c r="F56" s="330" t="n"/>
      <c r="G56" s="330" t="n"/>
      <c r="H56" s="330" t="n"/>
    </row>
    <row r="57">
      <c r="A57" s="97" t="n"/>
      <c r="B57" s="329" t="n"/>
      <c r="C57" s="329" t="n"/>
      <c r="D57" s="329" t="n"/>
      <c r="E57" s="329" t="n"/>
      <c r="F57" s="329" t="n"/>
      <c r="G57" s="329" t="n"/>
      <c r="H57" s="329" t="n"/>
    </row>
    <row r="58" ht="50.1" customHeight="1" thickBot="1">
      <c r="A58" s="371" t="n"/>
      <c r="B58" s="331" t="inlineStr">
        <is>
          <t xml:space="preserve">Couverture  Géographique </t>
        </is>
      </c>
      <c r="C58" s="332" t="inlineStr">
        <is>
          <t>Conakry</t>
        </is>
      </c>
      <c r="D58" s="332" t="inlineStr">
        <is>
          <t>Basse Guinée</t>
        </is>
      </c>
      <c r="E58" s="332" t="inlineStr">
        <is>
          <t>Moyenne Guinée</t>
        </is>
      </c>
      <c r="F58" s="332" t="inlineStr">
        <is>
          <t>Haute Guinée</t>
        </is>
      </c>
      <c r="G58" s="332" t="inlineStr">
        <is>
          <t>Guinée Forestière</t>
        </is>
      </c>
      <c r="H58" s="333" t="inlineStr">
        <is>
          <t>Total</t>
        </is>
      </c>
    </row>
    <row r="59" ht="20.25" customHeight="1" thickTop="1">
      <c r="A59" s="372" t="inlineStr">
        <is>
          <t>M.XVIII.RECAP.47</t>
        </is>
      </c>
      <c r="B59" s="303" t="inlineStr">
        <is>
          <t>Nombre total de point de couverture des services</t>
        </is>
      </c>
      <c r="C59" s="517" t="n"/>
      <c r="D59" s="518" t="n"/>
      <c r="E59" s="518" t="n"/>
      <c r="F59" s="518" t="n"/>
      <c r="G59" s="518" t="n"/>
      <c r="H59" s="808">
        <f>C59+D59+E59+F59+G59</f>
        <v/>
      </c>
    </row>
    <row r="60" ht="16.5" customHeight="1">
      <c r="A60" s="134" t="inlineStr">
        <is>
          <t>M.XVIII.RECAP.48</t>
        </is>
      </c>
      <c r="B60" s="288" t="inlineStr">
        <is>
          <t>Nombre d'employé</t>
        </is>
      </c>
      <c r="C60" s="519" t="n"/>
      <c r="D60" s="520" t="n"/>
      <c r="E60" s="520" t="n"/>
      <c r="F60" s="520" t="n"/>
      <c r="G60" s="520" t="n"/>
      <c r="H60" s="809">
        <f>C60+D60+E60+F60+G60</f>
        <v/>
      </c>
    </row>
    <row r="61" ht="16.5" customHeight="1">
      <c r="A61" s="134" t="inlineStr">
        <is>
          <t>M.XVIII.RECAP.49</t>
        </is>
      </c>
      <c r="B61" s="334" t="inlineStr">
        <is>
          <t>Encours crédits</t>
        </is>
      </c>
      <c r="C61" s="521" t="n"/>
      <c r="D61" s="521" t="n"/>
      <c r="E61" s="521" t="n"/>
      <c r="F61" s="521" t="n"/>
      <c r="G61" s="521" t="n"/>
      <c r="H61" s="808">
        <f>C61+D61+E61+F61+G61</f>
        <v/>
      </c>
    </row>
    <row r="62" ht="17.25" customHeight="1">
      <c r="A62" s="134" t="inlineStr">
        <is>
          <t>M.XVIII.RECAP.50</t>
        </is>
      </c>
      <c r="B62" s="334" t="inlineStr">
        <is>
          <t>Encours dépôts</t>
        </is>
      </c>
      <c r="C62" s="521" t="n"/>
      <c r="D62" s="521" t="n"/>
      <c r="E62" s="521" t="n"/>
      <c r="F62" s="521" t="n"/>
      <c r="G62" s="521" t="n"/>
      <c r="H62" s="809">
        <f>C62+D62+E62+F62+G62</f>
        <v/>
      </c>
    </row>
    <row r="63" ht="15" customHeight="1">
      <c r="A63" s="138" t="inlineStr">
        <is>
          <t>M.XVIII.RECAP.51</t>
        </is>
      </c>
      <c r="B63" s="335" t="inlineStr">
        <is>
          <t>Encours des créances en souffrance</t>
        </is>
      </c>
      <c r="C63" s="522" t="n"/>
      <c r="D63" s="523" t="n"/>
      <c r="E63" s="522" t="n"/>
      <c r="F63" s="523" t="n"/>
      <c r="G63" s="522" t="n"/>
      <c r="H63" s="810">
        <f>C63+D63+E63+F63+G63</f>
        <v/>
      </c>
    </row>
    <row r="64">
      <c r="A64" s="138" t="inlineStr">
        <is>
          <t>M.XVIII.RECAP.52</t>
        </is>
      </c>
      <c r="B64" s="335" t="inlineStr">
        <is>
          <t>Volume de financement des crédits</t>
        </is>
      </c>
      <c r="C64" s="522" t="n"/>
      <c r="D64" s="523" t="n"/>
      <c r="E64" s="522" t="n"/>
      <c r="F64" s="523" t="n"/>
      <c r="G64" s="522" t="n"/>
      <c r="H64" s="808">
        <f>C64+D64+E64+F64+G64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IDMI63THyY7FG2GOsuBrQ==" formatRows="1" sort="1" spinCount="100000" hashValue="8UscHSyPhDC9RACS/fbQ+Z83gn4IFsQBSR/aS0cwhNqc0/wkZp4GiYRo8cvqhhNhFjKE0XmfK2nwjo4t2jXnDg=="/>
  <mergeCells count="50">
    <mergeCell ref="B55:C55"/>
    <mergeCell ref="B13:C13"/>
    <mergeCell ref="B14:C14"/>
    <mergeCell ref="B15:C15"/>
    <mergeCell ref="B16:C16"/>
    <mergeCell ref="B30:C30"/>
    <mergeCell ref="B29:C29"/>
    <mergeCell ref="B19:C19"/>
    <mergeCell ref="B17:C17"/>
    <mergeCell ref="B18:C18"/>
    <mergeCell ref="B35:C35"/>
    <mergeCell ref="B20:C20"/>
    <mergeCell ref="B21:C21"/>
    <mergeCell ref="B22:C22"/>
    <mergeCell ref="B27:C27"/>
    <mergeCell ref="B28:C28"/>
    <mergeCell ref="B6:C6"/>
    <mergeCell ref="B7:C7"/>
    <mergeCell ref="B8:C8"/>
    <mergeCell ref="B11:C11"/>
    <mergeCell ref="B12:C12"/>
    <mergeCell ref="B9:C9"/>
    <mergeCell ref="B34:C34"/>
    <mergeCell ref="B31:C31"/>
    <mergeCell ref="B32:C32"/>
    <mergeCell ref="B33:C33"/>
    <mergeCell ref="B47:C47"/>
    <mergeCell ref="B36:C36"/>
    <mergeCell ref="B37:C37"/>
    <mergeCell ref="B38:C38"/>
    <mergeCell ref="B39:C39"/>
    <mergeCell ref="B40:C40"/>
    <mergeCell ref="B46:C46"/>
    <mergeCell ref="B41:C41"/>
    <mergeCell ref="B42:C42"/>
    <mergeCell ref="B43:C43"/>
    <mergeCell ref="B44:C44"/>
    <mergeCell ref="B45:C45"/>
    <mergeCell ref="B54:C54"/>
    <mergeCell ref="B48:C48"/>
    <mergeCell ref="B49:C49"/>
    <mergeCell ref="B50:C50"/>
    <mergeCell ref="B51:C51"/>
    <mergeCell ref="B52:C52"/>
    <mergeCell ref="B53:C53"/>
    <mergeCell ref="B23:C23"/>
    <mergeCell ref="B24:C24"/>
    <mergeCell ref="B25:C25"/>
    <mergeCell ref="B26:C26"/>
    <mergeCell ref="B10:C10"/>
  </mergeCells>
  <conditionalFormatting sqref="E28:H28">
    <cfRule type="cellIs" priority="2" operator="between">
      <formula>-0.2</formula>
      <formula>0.2</formula>
    </cfRule>
  </conditionalFormatting>
  <pageMargins left="0.7" right="0.7" top="0.75" bottom="0.75" header="0.3" footer="0.3"/>
  <pageSetup orientation="portrait" paperSize="9" scale="48" verticalDpi="30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topLeftCell="A6" workbookViewId="0">
      <selection activeCell="C16" sqref="C16"/>
    </sheetView>
  </sheetViews>
  <sheetFormatPr baseColWidth="10" defaultColWidth="9.109375" defaultRowHeight="13.2"/>
  <cols>
    <col width="13.5546875" customWidth="1" style="1" min="1" max="1"/>
    <col width="31.44140625" customWidth="1" style="1" min="2" max="2"/>
    <col width="10.5546875" customWidth="1" style="1" min="3" max="3"/>
    <col width="43.44140625" customWidth="1" style="1" min="4" max="4"/>
    <col width="31.88671875" customWidth="1" style="1" min="5" max="5"/>
    <col width="17.109375" customWidth="1" style="1" min="6" max="6"/>
    <col width="31.6640625" customWidth="1" style="1" min="7" max="7"/>
    <col width="13.44140625" customWidth="1" style="1" min="8" max="8"/>
    <col width="9.109375" customWidth="1" style="1" min="9" max="16384"/>
  </cols>
  <sheetData>
    <row r="1" ht="20.1" customHeight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 ht="20.1" customHeight="1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 ht="20.1" customHeight="1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 ht="20.1" customHeight="1">
      <c r="B4" s="642" t="inlineStr">
        <is>
          <t xml:space="preserve">Rapport </t>
        </is>
      </c>
      <c r="C4" s="710" t="inlineStr">
        <is>
          <t>M.XVII.TAUX DE PROVISIONS</t>
        </is>
      </c>
      <c r="D4" s="711" t="n"/>
      <c r="E4" s="711" t="n"/>
      <c r="F4" s="711" t="n"/>
      <c r="G4" s="712" t="n"/>
    </row>
    <row r="5" ht="26.25" customHeight="1"/>
    <row r="6" ht="33.75" customHeight="1">
      <c r="A6" s="74" t="inlineStr">
        <is>
          <t>CODE</t>
        </is>
      </c>
      <c r="B6" s="74" t="inlineStr">
        <is>
          <t>ELEMENT</t>
        </is>
      </c>
      <c r="C6" s="74" t="inlineStr">
        <is>
          <t>N° Compte</t>
        </is>
      </c>
      <c r="D6" s="74" t="inlineStr">
        <is>
          <t>LIBELLE</t>
        </is>
      </c>
      <c r="E6" s="74" t="inlineStr">
        <is>
          <t>Montant en souffrance</t>
        </is>
      </c>
      <c r="F6" s="175" t="inlineStr">
        <is>
          <t>Norme</t>
        </is>
      </c>
      <c r="G6" s="74" t="inlineStr">
        <is>
          <t xml:space="preserve">Provisions </t>
        </is>
      </c>
    </row>
    <row r="7" ht="33.75" customHeight="1">
      <c r="A7" s="48" t="inlineStr">
        <is>
          <t>M.XX.PROV.2</t>
        </is>
      </c>
      <c r="B7" s="196" t="n"/>
      <c r="C7" s="75" t="n"/>
      <c r="D7" s="152" t="inlineStr">
        <is>
          <t>Retards de 1 à 29 jours</t>
        </is>
      </c>
      <c r="E7" s="811">
        <f>M.IV.IMPAYE!E8</f>
        <v/>
      </c>
      <c r="F7" s="180" t="n">
        <v>0</v>
      </c>
      <c r="G7" s="707">
        <f>E7*F7</f>
        <v/>
      </c>
    </row>
    <row r="8" ht="33.75" customHeight="1">
      <c r="A8" s="48" t="inlineStr">
        <is>
          <t>M.XX.PROV.3</t>
        </is>
      </c>
      <c r="B8" s="196" t="n"/>
      <c r="C8" s="75" t="n"/>
      <c r="D8" s="152" t="inlineStr">
        <is>
          <t>Retards de 30 à 89 jours</t>
        </is>
      </c>
      <c r="E8" s="811">
        <f>M.IV.IMPAYE!E9</f>
        <v/>
      </c>
      <c r="F8" s="180" t="n">
        <v>0.25</v>
      </c>
      <c r="G8" s="707">
        <f>E8*F8</f>
        <v/>
      </c>
    </row>
    <row r="9" ht="33.75" customHeight="1">
      <c r="A9" s="48" t="inlineStr">
        <is>
          <t>M.XX.PROV.4</t>
        </is>
      </c>
      <c r="B9" s="196" t="n"/>
      <c r="C9" s="75" t="n"/>
      <c r="D9" s="152" t="inlineStr">
        <is>
          <t>Retards de 90 à 179 jours</t>
        </is>
      </c>
      <c r="E9" s="811">
        <f>M.IV.IMPAYE!E10</f>
        <v/>
      </c>
      <c r="F9" s="180" t="n">
        <v>0.5</v>
      </c>
      <c r="G9" s="707">
        <f>E9*F9</f>
        <v/>
      </c>
    </row>
    <row r="10" ht="33.75" customHeight="1">
      <c r="A10" s="48" t="inlineStr">
        <is>
          <t>M.XX.PROV.5</t>
        </is>
      </c>
      <c r="B10" s="196" t="n"/>
      <c r="C10" s="75" t="n"/>
      <c r="D10" s="152" t="inlineStr">
        <is>
          <t>Retards de 180 à 719 jours</t>
        </is>
      </c>
      <c r="E10" s="811">
        <f>M.IV.IMPAYE!E11+M.IV.IMPAYE!E12</f>
        <v/>
      </c>
      <c r="F10" s="180" t="n">
        <v>0.75</v>
      </c>
      <c r="G10" s="707">
        <f>E10*F10</f>
        <v/>
      </c>
    </row>
    <row r="11" ht="33.75" customHeight="1">
      <c r="A11" s="48" t="inlineStr">
        <is>
          <t>M.XX.PROV.6</t>
        </is>
      </c>
      <c r="B11" s="196" t="n"/>
      <c r="C11" s="75" t="n"/>
      <c r="D11" s="152" t="inlineStr">
        <is>
          <t>Retards de plus de 720 jours</t>
        </is>
      </c>
      <c r="E11" s="811">
        <f>M.IV.IMPAYE!E13</f>
        <v/>
      </c>
      <c r="F11" s="180" t="n">
        <v>1</v>
      </c>
      <c r="G11" s="707">
        <f>E11*F11</f>
        <v/>
      </c>
    </row>
    <row r="12" ht="24.9" customHeight="1">
      <c r="A12" s="48" t="inlineStr">
        <is>
          <t>M.XX.PROV.7</t>
        </is>
      </c>
      <c r="B12" s="628" t="inlineStr">
        <is>
          <t>I</t>
        </is>
      </c>
      <c r="C12" s="75" t="n"/>
      <c r="D12" s="78" t="inlineStr">
        <is>
          <t>TOTAL PROVISION A CONSTITUER</t>
        </is>
      </c>
      <c r="E12" s="812">
        <f>E7+E8+E9+E10+E11</f>
        <v/>
      </c>
      <c r="F12" s="181" t="n"/>
      <c r="G12" s="707">
        <f>SUM(G7:G11)</f>
        <v/>
      </c>
    </row>
    <row r="13" ht="24.9" customHeight="1">
      <c r="A13" s="48" t="inlineStr">
        <is>
          <t>M.XX.PROV.10</t>
        </is>
      </c>
      <c r="B13" s="601" t="inlineStr">
        <is>
          <t>II</t>
        </is>
      </c>
      <c r="C13" s="79" t="n"/>
      <c r="D13" s="80" t="inlineStr">
        <is>
          <t>TOTAL PROVISIONS CONSTITUEES</t>
        </is>
      </c>
      <c r="E13" s="148" t="n"/>
      <c r="F13" s="182" t="n"/>
      <c r="G13" s="707">
        <f>M.I.BILAN!E33</f>
        <v/>
      </c>
    </row>
    <row r="14" ht="24.9" customHeight="1">
      <c r="A14" s="68" t="n"/>
      <c r="B14" s="81" t="n"/>
      <c r="C14" s="82" t="n"/>
      <c r="D14" s="82" t="n"/>
      <c r="E14" s="82" t="n"/>
      <c r="F14" s="82" t="n"/>
      <c r="G14" s="82" t="n"/>
    </row>
    <row r="15" ht="54" customHeight="1">
      <c r="A15" s="20" t="inlineStr">
        <is>
          <t>M.XX.PROV.11</t>
        </is>
      </c>
      <c r="B15" s="86" t="inlineStr">
        <is>
          <t>III</t>
        </is>
      </c>
      <c r="C15" s="83" t="n"/>
      <c r="D15" s="84" t="inlineStr">
        <is>
          <t>RATIO DE TAUX DE PROVISIONS (II/I) :
La norme à respecter est de 100% minimum</t>
        </is>
      </c>
      <c r="E15" s="84" t="n"/>
      <c r="F15" s="84" t="n"/>
      <c r="G15" s="780">
        <f>IF(G12=0,0,G13/G12*100)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1VY8VeQotdDEyzuoU2qTQ==" formatRows="1" sort="1" spinCount="100000" hashValue="dB5JdSCUkYiYYRRor8uUMeM120G0p6bSd4Urzo3obNEGfbHIEfb+3TZuUShy4EuPlGoCEI5jE4GWVEHpnp+dSw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58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G8" sqref="G8"/>
    </sheetView>
  </sheetViews>
  <sheetFormatPr baseColWidth="10" defaultColWidth="11.44140625" defaultRowHeight="14.4"/>
  <cols>
    <col width="46.44140625" customWidth="1" min="2" max="2"/>
    <col width="23.33203125" customWidth="1" min="3" max="3"/>
    <col width="18.33203125" customWidth="1" min="4" max="4"/>
    <col width="18.109375" customWidth="1" min="5" max="5"/>
    <col width="18.88671875" customWidth="1" min="6" max="6"/>
    <col width="17.88671875" customWidth="1" min="7" max="7"/>
  </cols>
  <sheetData>
    <row r="1">
      <c r="A1" s="1" t="n"/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>
      <c r="A2" s="1" t="n"/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>
      <c r="A3" s="1" t="n"/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>
      <c r="A4" s="1" t="n"/>
      <c r="B4" s="642" t="inlineStr">
        <is>
          <t xml:space="preserve">Rapport </t>
        </is>
      </c>
      <c r="C4" s="710" t="inlineStr">
        <is>
          <t>M.XVIII.DIX (10) CREANCIERS LES PLUS IMPORTANTS, hors secteur régulé</t>
        </is>
      </c>
      <c r="D4" s="711" t="n"/>
      <c r="E4" s="711" t="n"/>
      <c r="F4" s="711" t="n"/>
      <c r="G4" s="712" t="n"/>
    </row>
    <row r="5">
      <c r="A5" s="1" t="n"/>
      <c r="B5" s="1" t="n"/>
      <c r="C5" s="1" t="n"/>
      <c r="D5" s="1" t="n"/>
      <c r="E5" s="1" t="n"/>
      <c r="F5" s="1" t="n"/>
      <c r="G5" s="1" t="n"/>
    </row>
    <row r="6" ht="31.5" customHeight="1">
      <c r="A6" s="100" t="inlineStr">
        <is>
          <t>N°.</t>
        </is>
      </c>
      <c r="B6" s="90" t="inlineStr">
        <is>
          <t xml:space="preserve">Nom et prénoms </t>
        </is>
      </c>
      <c r="C6" s="74" t="inlineStr">
        <is>
          <t>Nature de Ressource</t>
        </is>
      </c>
      <c r="D6" s="74" t="inlineStr">
        <is>
          <t>Date originale</t>
        </is>
      </c>
      <c r="E6" s="74" t="inlineStr">
        <is>
          <t>Montant original</t>
        </is>
      </c>
      <c r="F6" s="90" t="inlineStr">
        <is>
          <t>Solde</t>
        </is>
      </c>
      <c r="G6" s="74" t="inlineStr">
        <is>
          <t>Date d'échéance</t>
        </is>
      </c>
    </row>
    <row r="7" ht="31.5" customHeight="1">
      <c r="A7" s="264" t="n">
        <v>1</v>
      </c>
      <c r="B7" s="113" t="n"/>
      <c r="C7" s="187" t="n"/>
      <c r="D7" s="412" t="n"/>
      <c r="E7" s="666" t="n"/>
      <c r="F7" s="666" t="n"/>
      <c r="G7" s="412" t="n"/>
    </row>
    <row r="8" ht="31.5" customHeight="1">
      <c r="A8" s="265" t="n">
        <v>2</v>
      </c>
      <c r="B8" s="111" t="n"/>
      <c r="C8" s="660" t="n"/>
      <c r="D8" s="412" t="n"/>
      <c r="E8" s="666" t="n"/>
      <c r="F8" s="666" t="n"/>
      <c r="G8" s="412" t="n"/>
    </row>
    <row r="9" ht="31.5" customHeight="1">
      <c r="A9" s="265" t="n">
        <v>3</v>
      </c>
      <c r="B9" s="111" t="n"/>
      <c r="C9" s="660" t="n"/>
      <c r="D9" s="412" t="n"/>
      <c r="E9" s="666" t="n"/>
      <c r="F9" s="666" t="n">
        <v>0</v>
      </c>
      <c r="G9" s="666" t="n">
        <v>0</v>
      </c>
    </row>
    <row r="10" ht="31.5" customHeight="1">
      <c r="A10" s="265" t="n">
        <v>4</v>
      </c>
      <c r="B10" s="111" t="n"/>
      <c r="C10" s="660" t="n"/>
      <c r="D10" s="666" t="n"/>
      <c r="E10" s="666" t="n"/>
      <c r="F10" s="666" t="n">
        <v>0</v>
      </c>
      <c r="G10" s="666" t="n">
        <v>0</v>
      </c>
    </row>
    <row r="11" ht="31.5" customHeight="1">
      <c r="A11" s="265" t="n">
        <v>5</v>
      </c>
      <c r="B11" s="111" t="n"/>
      <c r="C11" s="660" t="n"/>
      <c r="D11" s="666" t="n"/>
      <c r="E11" s="666" t="n"/>
      <c r="F11" s="666" t="n">
        <v>0</v>
      </c>
      <c r="G11" s="666" t="n">
        <v>0</v>
      </c>
    </row>
    <row r="12" ht="31.5" customHeight="1">
      <c r="A12" s="265" t="n">
        <v>6</v>
      </c>
      <c r="B12" s="111" t="n"/>
      <c r="C12" s="660" t="n"/>
      <c r="D12" s="666" t="n"/>
      <c r="E12" s="666" t="n"/>
      <c r="F12" s="666" t="n">
        <v>0</v>
      </c>
      <c r="G12" s="666" t="n">
        <v>0</v>
      </c>
    </row>
    <row r="13" ht="31.5" customHeight="1">
      <c r="A13" s="265" t="n">
        <v>7</v>
      </c>
      <c r="B13" s="111" t="n"/>
      <c r="C13" s="660" t="n"/>
      <c r="D13" s="666" t="n"/>
      <c r="E13" s="666" t="n"/>
      <c r="F13" s="666" t="n">
        <v>0</v>
      </c>
      <c r="G13" s="666" t="n">
        <v>0</v>
      </c>
    </row>
    <row r="14" ht="31.5" customHeight="1">
      <c r="A14" s="265" t="n">
        <v>8</v>
      </c>
      <c r="B14" s="111" t="n"/>
      <c r="C14" s="660" t="n"/>
      <c r="D14" s="666" t="n"/>
      <c r="E14" s="666" t="n"/>
      <c r="F14" s="666" t="n">
        <v>0</v>
      </c>
      <c r="G14" s="666" t="n">
        <v>0</v>
      </c>
    </row>
    <row r="15" ht="31.5" customHeight="1">
      <c r="A15" s="265" t="n">
        <v>9</v>
      </c>
      <c r="B15" s="111" t="n"/>
      <c r="C15" s="660" t="n"/>
      <c r="D15" s="666" t="n"/>
      <c r="E15" s="666" t="n"/>
      <c r="F15" s="666" t="n">
        <v>0</v>
      </c>
      <c r="G15" s="666" t="n">
        <v>0</v>
      </c>
    </row>
    <row r="16" ht="31.5" customHeight="1">
      <c r="A16" s="266" t="n">
        <v>10</v>
      </c>
      <c r="B16" s="112" t="n"/>
      <c r="C16" s="660" t="n"/>
      <c r="D16" s="666" t="n"/>
      <c r="E16" s="666" t="n"/>
      <c r="F16" s="666" t="n">
        <v>0</v>
      </c>
      <c r="G16" s="666" t="n">
        <v>0</v>
      </c>
    </row>
    <row r="17" ht="31.5" customHeight="1">
      <c r="A17" s="263" t="inlineStr">
        <is>
          <t>TOTAL</t>
        </is>
      </c>
      <c r="B17" s="675" t="inlineStr">
        <is>
          <t>N/A</t>
        </is>
      </c>
      <c r="C17" s="675" t="inlineStr">
        <is>
          <t>N/A</t>
        </is>
      </c>
      <c r="D17" s="675" t="inlineStr">
        <is>
          <t>N/A</t>
        </is>
      </c>
      <c r="E17" s="718">
        <f>SUM(E7:E16)</f>
        <v/>
      </c>
      <c r="F17" s="718">
        <f>SUM(F7:F16)</f>
        <v/>
      </c>
      <c r="G17" s="675" t="inlineStr">
        <is>
          <t>N/A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8M3uM0eTif4Dbr3nS07HA==" formatRows="1" sort="1" spinCount="100000" hashValue="H8zzqYO4LTgQj0sE6pWarBJS3GkdEz77teKxLQjKHgKHQKJNL+zrQah49GumaOUGlgazphk2K6QF1W+9F6wtyQ=="/>
  <mergeCells count="4">
    <mergeCell ref="C1:G1"/>
    <mergeCell ref="C2:G2"/>
    <mergeCell ref="C3:G3"/>
    <mergeCell ref="C4:G4"/>
  </mergeCells>
  <pageMargins left="0.7" right="0.7" top="0.75" bottom="0.75" header="0.3" footer="0.3"/>
  <pageSetup orientation="portrait" paperSize="9" scale="39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zoomScale="90" zoomScaleNormal="90" workbookViewId="0">
      <selection activeCell="D8" sqref="D8"/>
    </sheetView>
  </sheetViews>
  <sheetFormatPr baseColWidth="10" defaultColWidth="11.44140625" defaultRowHeight="14.4"/>
  <cols>
    <col width="7.5546875" customWidth="1" min="1" max="1"/>
    <col width="40.6640625" customWidth="1" min="2" max="2"/>
    <col width="21" customWidth="1" min="3" max="3"/>
    <col width="12.109375" customWidth="1" min="4" max="4"/>
    <col width="21.5546875" customWidth="1" min="5" max="5"/>
    <col width="12" customWidth="1" style="459" min="6" max="6"/>
    <col width="17.6640625" customWidth="1" min="7" max="7"/>
    <col width="18.109375" customWidth="1" min="8" max="8"/>
    <col width="12.5546875" customWidth="1" min="9" max="9"/>
    <col width="23.5546875" customWidth="1" min="10" max="10"/>
    <col width="13.109375" customWidth="1" min="11" max="11"/>
    <col width="18.44140625" customWidth="1" min="12" max="12"/>
  </cols>
  <sheetData>
    <row r="1">
      <c r="A1" s="1" t="n"/>
      <c r="B1" s="643" t="inlineStr">
        <is>
          <t>Nom de l'institution</t>
        </is>
      </c>
      <c r="C1" s="813">
        <f>'M.0.INFO.G'!C1</f>
        <v/>
      </c>
      <c r="D1" s="709" t="n"/>
      <c r="E1" s="386" t="n"/>
      <c r="F1" s="456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643" t="inlineStr">
        <is>
          <t>Code de l'institution</t>
        </is>
      </c>
      <c r="C2" s="813">
        <f>'M.0.INFO.G'!C2</f>
        <v/>
      </c>
      <c r="D2" s="709" t="n"/>
      <c r="E2" s="386" t="n"/>
      <c r="F2" s="456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643" t="inlineStr">
        <is>
          <t>Date des rapports</t>
        </is>
      </c>
      <c r="C3" s="814">
        <f>'M.0.INFO.G'!C3</f>
        <v/>
      </c>
      <c r="D3" s="709" t="n"/>
      <c r="E3" s="386" t="n"/>
      <c r="F3" s="456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643" t="inlineStr">
        <is>
          <t xml:space="preserve">Rapport </t>
        </is>
      </c>
      <c r="C4" s="815" t="inlineStr">
        <is>
          <t>M.XIX.LISTE DES CREDITS RESTRUCTURES</t>
        </is>
      </c>
      <c r="D4" s="709" t="n"/>
      <c r="E4" s="530" t="n"/>
      <c r="F4" s="457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444" t="n"/>
      <c r="G5" s="1" t="n"/>
      <c r="H5" s="1" t="n"/>
      <c r="I5" s="1" t="n"/>
      <c r="J5" s="1" t="n"/>
      <c r="K5" s="1" t="n"/>
      <c r="L5" s="1" t="n"/>
      <c r="M5" s="1" t="n"/>
    </row>
    <row r="6" ht="36.75" customHeight="1">
      <c r="A6" s="100" t="inlineStr">
        <is>
          <t>N°.</t>
        </is>
      </c>
      <c r="B6" s="90" t="inlineStr">
        <is>
          <t xml:space="preserve">Nom et prénoms </t>
        </is>
      </c>
      <c r="C6" s="74" t="inlineStr">
        <is>
          <t>Montant original</t>
        </is>
      </c>
      <c r="D6" s="74" t="inlineStr">
        <is>
          <t>Date</t>
        </is>
      </c>
      <c r="E6" s="74" t="inlineStr">
        <is>
          <t>Montant restructuré</t>
        </is>
      </c>
      <c r="F6" s="445" t="inlineStr">
        <is>
          <t xml:space="preserve">Date </t>
        </is>
      </c>
      <c r="G6" s="90" t="inlineStr">
        <is>
          <t>Solde</t>
        </is>
      </c>
      <c r="H6" s="74" t="inlineStr">
        <is>
          <t>Retard en capital</t>
        </is>
      </c>
      <c r="I6" s="74" t="inlineStr">
        <is>
          <t>Nombre de jours de retard</t>
        </is>
      </c>
      <c r="J6" s="74" t="inlineStr">
        <is>
          <t>Provision comptablisée</t>
        </is>
      </c>
      <c r="K6" s="74" t="inlineStr">
        <is>
          <t>Pourcentage couvert</t>
        </is>
      </c>
      <c r="L6" s="90" t="inlineStr">
        <is>
          <t>Garantie</t>
        </is>
      </c>
    </row>
    <row r="7" ht="27" customHeight="1">
      <c r="A7" s="336" t="n">
        <v>1</v>
      </c>
      <c r="B7" s="189" t="n"/>
      <c r="C7" s="816" t="n"/>
      <c r="D7" s="413" t="n"/>
      <c r="E7" s="816" t="n"/>
      <c r="F7" s="458" t="n"/>
      <c r="G7" s="816" t="n"/>
      <c r="H7" s="816" t="n"/>
      <c r="I7" s="816" t="n"/>
      <c r="J7" s="816" t="n"/>
      <c r="K7" s="816" t="n"/>
      <c r="L7" s="817" t="n"/>
    </row>
    <row r="8" ht="27" customHeight="1">
      <c r="A8" s="336" t="n">
        <v>2</v>
      </c>
      <c r="B8" s="189" t="n"/>
      <c r="C8" s="816" t="n"/>
      <c r="D8" s="413" t="n"/>
      <c r="E8" s="816" t="n"/>
      <c r="F8" s="458" t="n"/>
      <c r="G8" s="816" t="n"/>
      <c r="H8" s="816" t="n"/>
      <c r="I8" s="816" t="n"/>
      <c r="J8" s="816" t="n"/>
      <c r="K8" s="816" t="n"/>
      <c r="L8" s="817" t="n"/>
    </row>
    <row r="9" ht="27" customHeight="1">
      <c r="A9" s="336">
        <f>A8+1</f>
        <v/>
      </c>
      <c r="B9" s="189" t="n"/>
      <c r="C9" s="816" t="n"/>
      <c r="D9" s="413" t="n"/>
      <c r="E9" s="816" t="n"/>
      <c r="F9" s="458" t="n"/>
      <c r="G9" s="816" t="n"/>
      <c r="H9" s="816" t="n"/>
      <c r="I9" s="816" t="n"/>
      <c r="J9" s="816" t="n"/>
      <c r="K9" s="816">
        <f>IF(G9=0,0,J9/G9*100)</f>
        <v/>
      </c>
      <c r="L9" s="817" t="n"/>
    </row>
    <row r="10" ht="27" customHeight="1">
      <c r="A10" s="336">
        <f>A9+1</f>
        <v/>
      </c>
      <c r="B10" s="189" t="n"/>
      <c r="C10" s="816" t="n"/>
      <c r="D10" s="413" t="n"/>
      <c r="E10" s="816" t="n"/>
      <c r="F10" s="458" t="n"/>
      <c r="G10" s="816" t="n"/>
      <c r="H10" s="816" t="n"/>
      <c r="I10" s="816" t="n"/>
      <c r="J10" s="816" t="n"/>
      <c r="K10" s="816">
        <f>IF(G10=0,0,J10/G10*100)</f>
        <v/>
      </c>
      <c r="L10" s="817" t="n"/>
    </row>
    <row r="11" ht="27" customHeight="1">
      <c r="A11" s="336">
        <f>A10+1</f>
        <v/>
      </c>
      <c r="B11" s="189" t="n"/>
      <c r="C11" s="816" t="n"/>
      <c r="D11" s="413" t="n"/>
      <c r="E11" s="816" t="n"/>
      <c r="F11" s="458" t="n"/>
      <c r="G11" s="816" t="n"/>
      <c r="H11" s="816" t="n"/>
      <c r="I11" s="816" t="n"/>
      <c r="J11" s="816" t="n"/>
      <c r="K11" s="816">
        <f>IF(G11=0,0,J11/G11*100)</f>
        <v/>
      </c>
      <c r="L11" s="817" t="n"/>
    </row>
    <row r="12" ht="27" customHeight="1">
      <c r="A12" s="336">
        <f>A11+1</f>
        <v/>
      </c>
      <c r="B12" s="189" t="n"/>
      <c r="C12" s="816" t="n"/>
      <c r="D12" s="413" t="n"/>
      <c r="E12" s="816" t="n"/>
      <c r="F12" s="458" t="n"/>
      <c r="G12" s="816" t="n"/>
      <c r="H12" s="816" t="n"/>
      <c r="I12" s="816" t="n"/>
      <c r="J12" s="816" t="n"/>
      <c r="K12" s="816">
        <f>IF(G12=0,0,J12/G12*100)</f>
        <v/>
      </c>
      <c r="L12" s="817" t="n"/>
    </row>
    <row r="13" ht="27" customHeight="1">
      <c r="A13" s="336">
        <f>A12+1</f>
        <v/>
      </c>
      <c r="B13" s="189" t="n"/>
      <c r="C13" s="816" t="n"/>
      <c r="D13" s="413" t="n"/>
      <c r="E13" s="816" t="n"/>
      <c r="F13" s="458" t="n"/>
      <c r="G13" s="816" t="n"/>
      <c r="H13" s="816" t="n"/>
      <c r="I13" s="816" t="n"/>
      <c r="J13" s="816" t="n"/>
      <c r="K13" s="816">
        <f>IF(G13=0,0,J13/G13*100)</f>
        <v/>
      </c>
      <c r="L13" s="817" t="n"/>
    </row>
    <row r="14" ht="27" customHeight="1">
      <c r="A14" s="336">
        <f>A13+1</f>
        <v/>
      </c>
      <c r="B14" s="189" t="n"/>
      <c r="C14" s="816" t="n"/>
      <c r="D14" s="413" t="n"/>
      <c r="E14" s="816" t="n"/>
      <c r="F14" s="458" t="n"/>
      <c r="G14" s="816" t="n"/>
      <c r="H14" s="816" t="n"/>
      <c r="I14" s="816" t="n"/>
      <c r="J14" s="816" t="n"/>
      <c r="K14" s="816">
        <f>IF(G14=0,0,J14/G14*100)</f>
        <v/>
      </c>
      <c r="L14" s="817" t="n"/>
    </row>
    <row r="15" ht="27" customHeight="1">
      <c r="A15" s="336">
        <f>A14+1</f>
        <v/>
      </c>
      <c r="B15" s="189" t="n"/>
      <c r="C15" s="816" t="n"/>
      <c r="D15" s="413" t="n"/>
      <c r="E15" s="816" t="n"/>
      <c r="F15" s="458" t="n"/>
      <c r="G15" s="816" t="n"/>
      <c r="H15" s="816" t="n"/>
      <c r="I15" s="816" t="n"/>
      <c r="J15" s="816" t="n"/>
      <c r="K15" s="816">
        <f>IF(G15=0,0,J15/G15*100)</f>
        <v/>
      </c>
      <c r="L15" s="817" t="n"/>
    </row>
    <row r="16" ht="27" customHeight="1">
      <c r="A16" s="336">
        <f>A15+1</f>
        <v/>
      </c>
      <c r="B16" s="189" t="n"/>
      <c r="C16" s="816" t="n"/>
      <c r="D16" s="413" t="n"/>
      <c r="E16" s="816" t="n"/>
      <c r="F16" s="458" t="n"/>
      <c r="G16" s="816" t="n"/>
      <c r="H16" s="816" t="n"/>
      <c r="I16" s="816" t="n"/>
      <c r="J16" s="816" t="n"/>
      <c r="K16" s="816">
        <f>IF(G16=0,0,J16/G16*100)</f>
        <v/>
      </c>
      <c r="L16" s="817" t="n"/>
    </row>
    <row r="17" ht="27" customHeight="1">
      <c r="A17" s="336">
        <f>A16+1</f>
        <v/>
      </c>
      <c r="B17" s="189" t="n"/>
      <c r="C17" s="816" t="n"/>
      <c r="D17" s="413" t="n"/>
      <c r="E17" s="816" t="n"/>
      <c r="F17" s="458" t="n"/>
      <c r="G17" s="816" t="n"/>
      <c r="H17" s="816" t="n"/>
      <c r="I17" s="816" t="n"/>
      <c r="J17" s="816" t="n"/>
      <c r="K17" s="816">
        <f>IF(G17=0,0,J17/G17*100)</f>
        <v/>
      </c>
      <c r="L17" s="817" t="n"/>
    </row>
    <row r="18" ht="27" customHeight="1">
      <c r="A18" s="336">
        <f>A17+1</f>
        <v/>
      </c>
      <c r="B18" s="189" t="n"/>
      <c r="C18" s="816" t="n"/>
      <c r="D18" s="413" t="n"/>
      <c r="E18" s="816" t="n"/>
      <c r="F18" s="458" t="n"/>
      <c r="G18" s="816" t="n"/>
      <c r="H18" s="816" t="n"/>
      <c r="I18" s="816" t="n"/>
      <c r="J18" s="816" t="n"/>
      <c r="K18" s="816">
        <f>IF(G18=0,0,J18/G18*100)</f>
        <v/>
      </c>
      <c r="L18" s="817" t="n"/>
    </row>
    <row r="19" ht="27" customHeight="1">
      <c r="A19" s="336">
        <f>A18+1</f>
        <v/>
      </c>
      <c r="B19" s="189" t="n"/>
      <c r="C19" s="816" t="n"/>
      <c r="D19" s="413" t="n"/>
      <c r="E19" s="816" t="n"/>
      <c r="F19" s="458" t="n"/>
      <c r="G19" s="816" t="n"/>
      <c r="H19" s="816" t="n"/>
      <c r="I19" s="816" t="n"/>
      <c r="J19" s="816" t="n"/>
      <c r="K19" s="816">
        <f>IF(G19=0,0,J19/G19*100)</f>
        <v/>
      </c>
      <c r="L19" s="817" t="n"/>
    </row>
    <row r="20" ht="27" customHeight="1">
      <c r="A20" s="336">
        <f>A19+1</f>
        <v/>
      </c>
      <c r="B20" s="189" t="n"/>
      <c r="C20" s="816" t="n"/>
      <c r="D20" s="413" t="n"/>
      <c r="E20" s="816" t="n"/>
      <c r="F20" s="458" t="n"/>
      <c r="G20" s="816" t="n"/>
      <c r="H20" s="816" t="n"/>
      <c r="I20" s="816" t="n"/>
      <c r="J20" s="816" t="n"/>
      <c r="K20" s="816">
        <f>IF(G20=0,0,J20/G20*100)</f>
        <v/>
      </c>
      <c r="L20" s="817" t="n"/>
    </row>
    <row r="21" ht="27" customHeight="1">
      <c r="A21" s="336">
        <f>A20+1</f>
        <v/>
      </c>
      <c r="B21" s="189" t="n"/>
      <c r="C21" s="816" t="n"/>
      <c r="D21" s="413" t="n"/>
      <c r="E21" s="816" t="n"/>
      <c r="F21" s="458" t="n"/>
      <c r="G21" s="816" t="n"/>
      <c r="H21" s="816" t="n"/>
      <c r="I21" s="816" t="n"/>
      <c r="J21" s="816" t="n"/>
      <c r="K21" s="816">
        <f>IF(G21=0,0,J21/G21*100)</f>
        <v/>
      </c>
      <c r="L21" s="817" t="n"/>
    </row>
    <row r="22" ht="27" customHeight="1">
      <c r="A22" s="336">
        <f>A21+1</f>
        <v/>
      </c>
      <c r="B22" s="189" t="n"/>
      <c r="C22" s="816" t="n"/>
      <c r="D22" s="413" t="n"/>
      <c r="E22" s="816" t="n"/>
      <c r="F22" s="458" t="n"/>
      <c r="G22" s="816" t="n"/>
      <c r="H22" s="816" t="n"/>
      <c r="I22" s="816" t="n"/>
      <c r="J22" s="816" t="n"/>
      <c r="K22" s="816">
        <f>IF(G22=0,0,J22/G22*100)</f>
        <v/>
      </c>
      <c r="L22" s="817" t="n"/>
    </row>
    <row r="23" ht="27" customHeight="1">
      <c r="A23" s="336">
        <f>A22+1</f>
        <v/>
      </c>
      <c r="B23" s="189" t="n"/>
      <c r="C23" s="816" t="n"/>
      <c r="D23" s="413" t="n"/>
      <c r="E23" s="816" t="n"/>
      <c r="F23" s="458" t="n"/>
      <c r="G23" s="816" t="n"/>
      <c r="H23" s="816" t="n"/>
      <c r="I23" s="816" t="n"/>
      <c r="J23" s="816" t="n"/>
      <c r="K23" s="816">
        <f>IF(G23=0,0,J23/G23*100)</f>
        <v/>
      </c>
      <c r="L23" s="817" t="n"/>
    </row>
    <row r="24" ht="27" customHeight="1">
      <c r="A24" s="336">
        <f>A23+1</f>
        <v/>
      </c>
      <c r="B24" s="189" t="n"/>
      <c r="C24" s="816" t="n"/>
      <c r="D24" s="413" t="n"/>
      <c r="E24" s="816" t="n"/>
      <c r="F24" s="458" t="n"/>
      <c r="G24" s="816" t="n"/>
      <c r="H24" s="816" t="n"/>
      <c r="I24" s="816" t="n"/>
      <c r="J24" s="816" t="n"/>
      <c r="K24" s="816">
        <f>IF(G24=0,0,J24/G24*100)</f>
        <v/>
      </c>
      <c r="L24" s="817" t="n"/>
    </row>
    <row r="25" ht="27" customHeight="1">
      <c r="A25" s="336">
        <f>A24+1</f>
        <v/>
      </c>
      <c r="B25" s="189" t="n"/>
      <c r="C25" s="816" t="n"/>
      <c r="D25" s="413" t="n"/>
      <c r="E25" s="816" t="n"/>
      <c r="F25" s="458" t="n"/>
      <c r="G25" s="816" t="n"/>
      <c r="H25" s="816" t="n"/>
      <c r="I25" s="816" t="n"/>
      <c r="J25" s="816" t="n"/>
      <c r="K25" s="816">
        <f>IF(G25=0,0,J25/G25*100)</f>
        <v/>
      </c>
      <c r="L25" s="817" t="n"/>
    </row>
    <row r="26" ht="27" customHeight="1">
      <c r="A26" s="336">
        <f>A25+1</f>
        <v/>
      </c>
      <c r="B26" s="189" t="n"/>
      <c r="C26" s="816" t="n"/>
      <c r="D26" s="413" t="n"/>
      <c r="E26" s="816" t="n"/>
      <c r="F26" s="458" t="n"/>
      <c r="G26" s="816" t="n"/>
      <c r="H26" s="816" t="n"/>
      <c r="I26" s="816" t="n"/>
      <c r="J26" s="816" t="n"/>
      <c r="K26" s="816">
        <f>IF(G26=0,0,J26/G26*100)</f>
        <v/>
      </c>
      <c r="L26" s="817" t="n"/>
    </row>
    <row r="27" ht="27" customHeight="1">
      <c r="A27" s="336">
        <f>A26+1</f>
        <v/>
      </c>
      <c r="B27" s="189" t="n"/>
      <c r="C27" s="816" t="n"/>
      <c r="D27" s="413" t="n"/>
      <c r="E27" s="816" t="n"/>
      <c r="F27" s="458" t="n"/>
      <c r="G27" s="816" t="n"/>
      <c r="H27" s="816" t="n"/>
      <c r="I27" s="816" t="n"/>
      <c r="J27" s="816" t="n"/>
      <c r="K27" s="816">
        <f>IF(G27=0,0,J27/G27*100)</f>
        <v/>
      </c>
      <c r="L27" s="817" t="n"/>
    </row>
    <row r="28" ht="27" customHeight="1">
      <c r="A28" s="336">
        <f>A27+1</f>
        <v/>
      </c>
      <c r="B28" s="189" t="n"/>
      <c r="C28" s="816" t="n"/>
      <c r="D28" s="413" t="n"/>
      <c r="E28" s="816" t="n"/>
      <c r="F28" s="458" t="n"/>
      <c r="G28" s="816" t="n"/>
      <c r="H28" s="816" t="n"/>
      <c r="I28" s="816" t="n"/>
      <c r="J28" s="816" t="n"/>
      <c r="K28" s="816">
        <f>IF(G28=0,0,J28/G28*100)</f>
        <v/>
      </c>
      <c r="L28" s="817" t="n"/>
    </row>
    <row r="29" ht="27" customHeight="1">
      <c r="A29" s="336">
        <f>A28+1</f>
        <v/>
      </c>
      <c r="B29" s="189" t="n"/>
      <c r="C29" s="816" t="n"/>
      <c r="D29" s="413" t="n"/>
      <c r="E29" s="816" t="n"/>
      <c r="F29" s="458" t="n"/>
      <c r="G29" s="816" t="n"/>
      <c r="H29" s="816" t="n"/>
      <c r="I29" s="816" t="n"/>
      <c r="J29" s="816" t="n"/>
      <c r="K29" s="816">
        <f>IF(G29=0,0,J29/G29*100)</f>
        <v/>
      </c>
      <c r="L29" s="817" t="n"/>
    </row>
    <row r="30" ht="27" customHeight="1">
      <c r="A30" s="336">
        <f>A29+1</f>
        <v/>
      </c>
      <c r="B30" s="189" t="n"/>
      <c r="C30" s="816" t="n"/>
      <c r="D30" s="413" t="n"/>
      <c r="E30" s="816" t="n"/>
      <c r="F30" s="458" t="n"/>
      <c r="G30" s="816" t="n"/>
      <c r="H30" s="816" t="n"/>
      <c r="I30" s="816" t="n"/>
      <c r="J30" s="816" t="n"/>
      <c r="K30" s="816">
        <f>IF(G30=0,0,J30/G30*100)</f>
        <v/>
      </c>
      <c r="L30" s="817" t="n"/>
    </row>
    <row r="31" ht="27" customHeight="1">
      <c r="A31" s="336">
        <f>A30+1</f>
        <v/>
      </c>
      <c r="B31" s="189" t="n"/>
      <c r="C31" s="816" t="n"/>
      <c r="D31" s="413" t="n"/>
      <c r="E31" s="816" t="n"/>
      <c r="F31" s="458" t="n"/>
      <c r="G31" s="816" t="n"/>
      <c r="H31" s="816" t="n"/>
      <c r="I31" s="816" t="n"/>
      <c r="J31" s="816" t="n"/>
      <c r="K31" s="816">
        <f>IF(G31=0,0,J31/G31*100)</f>
        <v/>
      </c>
      <c r="L31" s="817" t="n"/>
    </row>
    <row r="32" ht="27" customHeight="1">
      <c r="A32" s="336">
        <f>A31+1</f>
        <v/>
      </c>
      <c r="B32" s="189" t="n"/>
      <c r="C32" s="816" t="n"/>
      <c r="D32" s="413" t="n"/>
      <c r="E32" s="816" t="n"/>
      <c r="F32" s="458" t="n"/>
      <c r="G32" s="816" t="n"/>
      <c r="H32" s="816" t="n"/>
      <c r="I32" s="816" t="n"/>
      <c r="J32" s="816" t="n"/>
      <c r="K32" s="816">
        <f>IF(G32=0,0,J32/G32*100)</f>
        <v/>
      </c>
      <c r="L32" s="817" t="n"/>
    </row>
    <row r="33" ht="27" customHeight="1">
      <c r="A33" s="336">
        <f>A32+1</f>
        <v/>
      </c>
      <c r="B33" s="189" t="n"/>
      <c r="C33" s="816" t="n"/>
      <c r="D33" s="387" t="n"/>
      <c r="E33" s="816" t="n"/>
      <c r="F33" s="458" t="n"/>
      <c r="G33" s="816" t="n"/>
      <c r="H33" s="816" t="n"/>
      <c r="I33" s="816" t="n"/>
      <c r="J33" s="816" t="n"/>
      <c r="K33" s="816">
        <f>IF(G33=0,0,J33/G33*100)</f>
        <v/>
      </c>
      <c r="L33" s="817" t="n"/>
    </row>
    <row r="34" ht="27" customHeight="1">
      <c r="A34" s="336">
        <f>A33+1</f>
        <v/>
      </c>
      <c r="B34" s="189" t="n"/>
      <c r="C34" s="816" t="n"/>
      <c r="D34" s="387" t="n"/>
      <c r="E34" s="816" t="n"/>
      <c r="F34" s="458" t="n"/>
      <c r="G34" s="816" t="n"/>
      <c r="H34" s="816" t="n"/>
      <c r="I34" s="816" t="n"/>
      <c r="J34" s="816" t="n"/>
      <c r="K34" s="816">
        <f>IF(G34=0,0,J34/G34*100)</f>
        <v/>
      </c>
      <c r="L34" s="817" t="n"/>
    </row>
    <row r="35" ht="36.75" customHeight="1">
      <c r="A35" s="336">
        <f>A34+1</f>
        <v/>
      </c>
      <c r="B35" s="90" t="n"/>
      <c r="C35" s="74" t="n"/>
      <c r="D35" s="74" t="n"/>
      <c r="E35" s="74" t="n"/>
      <c r="F35" s="445" t="n"/>
      <c r="G35" s="90" t="n"/>
      <c r="H35" s="74" t="n"/>
      <c r="I35" s="74" t="n"/>
      <c r="J35" s="74" t="n"/>
      <c r="K35" s="816">
        <f>IF(G35=0,0,J35/G35*100)</f>
        <v/>
      </c>
      <c r="L35" s="90" t="n"/>
    </row>
    <row r="36" ht="27" customHeight="1">
      <c r="A36" s="263" t="inlineStr">
        <is>
          <t>TOTAL</t>
        </is>
      </c>
      <c r="B36" s="675" t="inlineStr">
        <is>
          <t>N/A</t>
        </is>
      </c>
      <c r="C36" s="675">
        <f>SUM(C7:C35)</f>
        <v/>
      </c>
      <c r="D36" s="675" t="inlineStr">
        <is>
          <t>N/A</t>
        </is>
      </c>
      <c r="E36" s="718" t="n"/>
      <c r="F36" s="447" t="inlineStr">
        <is>
          <t>N/A</t>
        </is>
      </c>
      <c r="G36" s="718">
        <f>SUM(G7:G35)</f>
        <v/>
      </c>
      <c r="H36" s="718">
        <f>SUM(H7:H35)</f>
        <v/>
      </c>
      <c r="I36" s="718">
        <f>SUM(I7:I35)</f>
        <v/>
      </c>
      <c r="J36" s="818">
        <f>SUM(J7:J35)</f>
        <v/>
      </c>
      <c r="K36" s="816">
        <f>IF(G36=0,0,J36/G36*100)</f>
        <v/>
      </c>
      <c r="L36" s="818">
        <f>SUM(L7:L35)</f>
        <v/>
      </c>
    </row>
  </sheetData>
  <sheetProtection selectLockedCells="0" selectUnlockedCells="0" algorithmName="SHA-512" sheet="1" objects="0" insertRows="1" insertHyperlinks="1" autoFilter="1" scenarios="0" formatColumns="0" deleteColumns="1" insertColumns="1" pivotTables="1" deleteRows="1" formatCells="1" saltValue="FyDi31DlEjfE4HV8XkB+KA==" formatRows="1" sort="1" spinCount="100000" hashValue="s3OiEuHlf4+D2bpOvLqXpmFHDPvLeSdt2T2W0Z6NFyfTOgyjAR0siBl3HbPrXw0dZrIOS75r39p8N5ms8bulMQ=="/>
  <mergeCells count="4">
    <mergeCell ref="C1:D1"/>
    <mergeCell ref="C2:D2"/>
    <mergeCell ref="C3:D3"/>
    <mergeCell ref="C4:D4"/>
  </mergeCells>
  <pageMargins left="0.7" right="0.7" top="0.75" bottom="0.75" header="0.3" footer="0.3"/>
  <pageSetup orientation="portrait" paperSize="9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topLeftCell="A7" workbookViewId="0">
      <selection activeCell="D17" sqref="D17"/>
    </sheetView>
  </sheetViews>
  <sheetFormatPr baseColWidth="10" defaultColWidth="11.44140625" defaultRowHeight="14.4"/>
  <cols>
    <col width="43.33203125" customWidth="1" min="2" max="2"/>
    <col width="16.6640625" customWidth="1" min="3" max="3"/>
    <col width="20.6640625" customWidth="1" min="4" max="4"/>
    <col width="17.88671875" customWidth="1" min="5" max="5"/>
    <col width="16" customWidth="1" min="6" max="6"/>
    <col width="16.88671875" customWidth="1" min="7" max="8"/>
  </cols>
  <sheetData>
    <row r="1">
      <c r="B1" s="642" t="inlineStr">
        <is>
          <t>Nom de l'institution</t>
        </is>
      </c>
      <c r="C1" s="99">
        <f>'M.0.INFO.G'!C1</f>
        <v/>
      </c>
      <c r="D1" s="708" t="n"/>
      <c r="E1" s="708" t="n"/>
      <c r="F1" s="708" t="n"/>
      <c r="G1" s="709" t="n"/>
    </row>
    <row r="2">
      <c r="B2" s="642" t="inlineStr">
        <is>
          <t>Code de l'institution</t>
        </is>
      </c>
      <c r="C2" s="99">
        <f>'M.0.INFO.G'!C2</f>
        <v/>
      </c>
      <c r="D2" s="708" t="n"/>
      <c r="E2" s="708" t="n"/>
      <c r="F2" s="708" t="n"/>
      <c r="G2" s="709" t="n"/>
    </row>
    <row r="3">
      <c r="B3" s="642" t="inlineStr">
        <is>
          <t>Date des rapports</t>
        </is>
      </c>
      <c r="C3" s="99">
        <f>'M.0.INFO.G'!C3</f>
        <v/>
      </c>
      <c r="D3" s="708" t="n"/>
      <c r="E3" s="708" t="n"/>
      <c r="F3" s="708" t="n"/>
      <c r="G3" s="709" t="n"/>
    </row>
    <row r="4">
      <c r="B4" s="642" t="inlineStr">
        <is>
          <t xml:space="preserve">Rapport </t>
        </is>
      </c>
      <c r="C4" s="710" t="inlineStr">
        <is>
          <t>M.XX.DIX (10) BENEFICIAIRES PAR SIGNATURE LES PLUS IMPORTANTS</t>
        </is>
      </c>
      <c r="D4" s="711" t="n"/>
      <c r="E4" s="711" t="n"/>
      <c r="F4" s="711" t="n"/>
      <c r="G4" s="712" t="n"/>
    </row>
    <row r="5">
      <c r="B5" s="143" t="n"/>
      <c r="C5" s="144" t="n"/>
      <c r="D5" s="144" t="n"/>
      <c r="E5" s="144" t="n"/>
      <c r="F5" s="144" t="n"/>
      <c r="G5" s="144" t="n"/>
    </row>
    <row r="6" ht="26.4" customFormat="1" customHeight="1" s="1">
      <c r="A6" s="100" t="inlineStr">
        <is>
          <t>N°.</t>
        </is>
      </c>
      <c r="B6" s="90" t="inlineStr">
        <is>
          <t xml:space="preserve">Nom et prénoms </t>
        </is>
      </c>
      <c r="C6" s="74" t="inlineStr">
        <is>
          <t>Date originale</t>
        </is>
      </c>
      <c r="D6" s="74" t="inlineStr">
        <is>
          <t>Montant original</t>
        </is>
      </c>
      <c r="E6" s="90" t="inlineStr">
        <is>
          <t>Solde</t>
        </is>
      </c>
      <c r="F6" s="74" t="inlineStr">
        <is>
          <t>Retard en capital</t>
        </is>
      </c>
      <c r="G6" s="74" t="inlineStr">
        <is>
          <t>Provision comptabilisée</t>
        </is>
      </c>
      <c r="H6" s="90" t="inlineStr">
        <is>
          <t>Garantie</t>
        </is>
      </c>
    </row>
    <row r="7" ht="28.5" customFormat="1" customHeight="1" s="1">
      <c r="A7" s="264" t="n">
        <v>1</v>
      </c>
      <c r="B7" s="113" t="n"/>
      <c r="C7" s="660" t="n"/>
      <c r="D7" s="666" t="n"/>
      <c r="E7" s="666" t="n"/>
      <c r="F7" s="666" t="n"/>
      <c r="G7" s="666" t="n"/>
      <c r="H7" s="819" t="n"/>
    </row>
    <row r="8" ht="28.5" customFormat="1" customHeight="1" s="1">
      <c r="A8" s="265" t="n">
        <v>2</v>
      </c>
      <c r="B8" s="111" t="n"/>
      <c r="C8" s="660" t="n"/>
      <c r="D8" s="666" t="n"/>
      <c r="E8" s="666" t="n"/>
      <c r="F8" s="666" t="n"/>
      <c r="G8" s="666" t="n"/>
      <c r="H8" s="819" t="n"/>
    </row>
    <row r="9" ht="28.5" customFormat="1" customHeight="1" s="1">
      <c r="A9" s="265" t="n">
        <v>3</v>
      </c>
      <c r="B9" s="111" t="n"/>
      <c r="C9" s="660" t="n"/>
      <c r="D9" s="666" t="n"/>
      <c r="E9" s="666" t="n"/>
      <c r="F9" s="666" t="n"/>
      <c r="G9" s="666" t="n"/>
      <c r="H9" s="819" t="n"/>
    </row>
    <row r="10" ht="28.5" customFormat="1" customHeight="1" s="1">
      <c r="A10" s="265" t="n">
        <v>4</v>
      </c>
      <c r="B10" s="111" t="n"/>
      <c r="C10" s="660" t="n"/>
      <c r="D10" s="666" t="n"/>
      <c r="E10" s="666" t="n"/>
      <c r="F10" s="666" t="n"/>
      <c r="G10" s="666" t="n"/>
      <c r="H10" s="819" t="n"/>
    </row>
    <row r="11" ht="28.5" customFormat="1" customHeight="1" s="1">
      <c r="A11" s="265" t="n">
        <v>5</v>
      </c>
      <c r="B11" s="111" t="n"/>
      <c r="C11" s="660" t="n"/>
      <c r="D11" s="666" t="n"/>
      <c r="E11" s="666" t="n"/>
      <c r="F11" s="666" t="n"/>
      <c r="G11" s="666" t="n"/>
      <c r="H11" s="819" t="n"/>
    </row>
    <row r="12" ht="28.5" customFormat="1" customHeight="1" s="1">
      <c r="A12" s="265" t="n">
        <v>6</v>
      </c>
      <c r="B12" s="111" t="n"/>
      <c r="C12" s="660" t="n"/>
      <c r="D12" s="666" t="n"/>
      <c r="E12" s="666" t="n"/>
      <c r="F12" s="666" t="n"/>
      <c r="G12" s="666" t="n"/>
      <c r="H12" s="819" t="n"/>
    </row>
    <row r="13" ht="28.5" customFormat="1" customHeight="1" s="1">
      <c r="A13" s="265" t="n">
        <v>7</v>
      </c>
      <c r="B13" s="111" t="n"/>
      <c r="C13" s="660" t="n"/>
      <c r="D13" s="666" t="n"/>
      <c r="E13" s="666" t="n"/>
      <c r="F13" s="666" t="n"/>
      <c r="G13" s="666" t="n"/>
      <c r="H13" s="819" t="n"/>
    </row>
    <row r="14" ht="28.5" customFormat="1" customHeight="1" s="1">
      <c r="A14" s="265" t="n">
        <v>8</v>
      </c>
      <c r="B14" s="60" t="n"/>
      <c r="C14" s="660" t="n"/>
      <c r="D14" s="666" t="n"/>
      <c r="E14" s="666" t="n"/>
      <c r="F14" s="666" t="n"/>
      <c r="G14" s="666" t="n"/>
      <c r="H14" s="819" t="n"/>
    </row>
    <row r="15" ht="28.5" customFormat="1" customHeight="1" s="1">
      <c r="A15" s="265" t="n">
        <v>9</v>
      </c>
      <c r="B15" s="111" t="n"/>
      <c r="C15" s="660" t="n"/>
      <c r="D15" s="666" t="n"/>
      <c r="E15" s="666" t="n"/>
      <c r="F15" s="666" t="n"/>
      <c r="G15" s="666" t="n"/>
      <c r="H15" s="819" t="n"/>
    </row>
    <row r="16" ht="28.5" customFormat="1" customHeight="1" s="1">
      <c r="A16" s="266" t="n">
        <v>10</v>
      </c>
      <c r="B16" s="112" t="n"/>
      <c r="C16" s="660" t="n"/>
      <c r="D16" s="666" t="n"/>
      <c r="E16" s="666" t="n"/>
      <c r="F16" s="666" t="n"/>
      <c r="G16" s="666" t="n"/>
      <c r="H16" s="819" t="n"/>
    </row>
    <row r="17" ht="28.5" customFormat="1" customHeight="1" s="1">
      <c r="A17" s="263" t="inlineStr">
        <is>
          <t>TOTAL</t>
        </is>
      </c>
      <c r="B17" s="675" t="inlineStr">
        <is>
          <t>N/A</t>
        </is>
      </c>
      <c r="C17" s="675" t="inlineStr">
        <is>
          <t>N/A</t>
        </is>
      </c>
      <c r="D17" s="718">
        <f>SUM(D7:D16)</f>
        <v/>
      </c>
      <c r="E17" s="718">
        <f>SUM(E7:E16)</f>
        <v/>
      </c>
      <c r="F17" s="718">
        <f>SUM(F7:F16)</f>
        <v/>
      </c>
      <c r="G17" s="718">
        <f>SUM(G7:G16)</f>
        <v/>
      </c>
      <c r="H17" s="719">
        <f>SUM(H7:H16)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3dTQx/0br8pAbkzZcxT8g==" formatRows="1" sort="1" spinCount="100000" hashValue="xsBhpGi41AbODLBGfUnE/44pVvkvlmJ8RPVW5W4+kfhmvAf3ejzyFgorMQvcMTFzXY6tTDDfIE4+VrKYNIUuog=="/>
  <mergeCells count="4">
    <mergeCell ref="C1:G1"/>
    <mergeCell ref="C2:G2"/>
    <mergeCell ref="C3:G3"/>
    <mergeCell ref="C4:G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topLeftCell="A29" workbookViewId="0">
      <selection activeCell="C41" sqref="C41:C46"/>
    </sheetView>
  </sheetViews>
  <sheetFormatPr baseColWidth="10" defaultColWidth="11.44140625" defaultRowHeight="14.4"/>
  <cols>
    <col width="13.88671875" customWidth="1" min="1" max="1"/>
    <col width="25.88671875" bestFit="1" customWidth="1" min="2" max="2"/>
    <col width="50.44140625" customWidth="1" min="3" max="3"/>
    <col width="27.109375" customWidth="1" min="4" max="4"/>
    <col width="36.77734375" customWidth="1" min="5" max="5"/>
    <col width="34.88671875" customWidth="1" min="6" max="6"/>
    <col width="24.21875" customWidth="1" min="7" max="7"/>
  </cols>
  <sheetData>
    <row r="1" ht="21.75" customHeight="1">
      <c r="A1" s="1" t="n"/>
      <c r="B1" s="642" t="inlineStr">
        <is>
          <t>Nom de l'institution</t>
        </is>
      </c>
      <c r="C1" s="99">
        <f>'M.0.INFO.G'!C1</f>
        <v/>
      </c>
    </row>
    <row r="2" ht="21.75" customHeight="1">
      <c r="A2" s="1" t="n"/>
      <c r="B2" s="642" t="inlineStr">
        <is>
          <t>Code de l'institution</t>
        </is>
      </c>
      <c r="C2" s="99">
        <f>'M.0.INFO.G'!C2</f>
        <v/>
      </c>
    </row>
    <row r="3" ht="21.75" customHeight="1">
      <c r="A3" s="1" t="n"/>
      <c r="B3" s="642" t="inlineStr">
        <is>
          <t>Date des rapports</t>
        </is>
      </c>
      <c r="C3" s="252">
        <f>'M.0.INFO.G'!C3</f>
        <v/>
      </c>
    </row>
    <row r="4" ht="21.75" customHeight="1">
      <c r="A4" s="1" t="n"/>
      <c r="B4" s="642" t="inlineStr">
        <is>
          <t xml:space="preserve">Rapport </t>
        </is>
      </c>
      <c r="C4" s="36" t="inlineStr">
        <is>
          <t xml:space="preserve">M.XXI.BALANCES AGEES DE CERTAINES SITUATIONS </t>
        </is>
      </c>
    </row>
    <row r="5">
      <c r="A5" s="1" t="n"/>
      <c r="B5" s="143" t="n"/>
      <c r="C5" s="144" t="n"/>
    </row>
    <row r="6">
      <c r="A6" s="1" t="n"/>
      <c r="B6" s="143" t="n"/>
      <c r="C6" s="144" t="n"/>
    </row>
    <row r="7">
      <c r="A7" s="1" t="n"/>
      <c r="B7" s="143" t="n"/>
      <c r="C7" s="144" t="n"/>
    </row>
    <row r="8">
      <c r="A8" s="1" t="n"/>
      <c r="B8" s="143" t="n"/>
      <c r="C8" s="166" t="inlineStr">
        <is>
          <t>A)- DETTES AUPRES DU SECTEUR FINANCIER</t>
        </is>
      </c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3" t="inlineStr">
        <is>
          <t>CODE</t>
        </is>
      </c>
      <c r="B10" s="15" t="inlineStr">
        <is>
          <t>ECHEANCES</t>
        </is>
      </c>
      <c r="C10" s="15" t="inlineStr">
        <is>
          <t>Nombre de dettes</t>
        </is>
      </c>
      <c r="D10" s="15" t="inlineStr">
        <is>
          <t>%</t>
        </is>
      </c>
      <c r="E10" s="15" t="inlineStr">
        <is>
          <t>Montant originel de la dette</t>
        </is>
      </c>
      <c r="F10" s="15" t="inlineStr">
        <is>
          <t>Capital restant dû</t>
        </is>
      </c>
      <c r="G10" s="15" t="inlineStr">
        <is>
          <t>%</t>
        </is>
      </c>
    </row>
    <row r="11">
      <c r="A11" s="34" t="inlineStr">
        <is>
          <t>M.XXI.BAL.1</t>
        </is>
      </c>
      <c r="B11" s="194" t="inlineStr">
        <is>
          <t>1 Mois</t>
        </is>
      </c>
      <c r="C11" s="695" t="n"/>
      <c r="D11" s="43">
        <f>IF($C$19=0,0,C11/$C$19)</f>
        <v/>
      </c>
      <c r="E11" s="695" t="n"/>
      <c r="F11" s="695" t="n"/>
      <c r="G11" s="43">
        <f>IFERROR(F11/E11,0)</f>
        <v/>
      </c>
    </row>
    <row r="12">
      <c r="A12" s="11" t="inlineStr">
        <is>
          <t>M.XXI.BAL.2</t>
        </is>
      </c>
      <c r="B12" s="195" t="inlineStr">
        <is>
          <t>2 à 6 Mois</t>
        </is>
      </c>
      <c r="C12" s="666" t="n"/>
      <c r="D12" s="43">
        <f>IF($C$19=0,0,C12/$C$19)</f>
        <v/>
      </c>
      <c r="E12" s="695" t="n"/>
      <c r="F12" s="666" t="n"/>
      <c r="G12" s="43">
        <f>IFERROR(F12/E12,0)</f>
        <v/>
      </c>
    </row>
    <row r="13">
      <c r="A13" s="11" t="inlineStr">
        <is>
          <t>M.XXI.BAL.3</t>
        </is>
      </c>
      <c r="B13" s="339" t="inlineStr">
        <is>
          <t>7 à 12 Mois</t>
        </is>
      </c>
      <c r="C13" s="666" t="n"/>
      <c r="D13" s="43">
        <f>IF($C$19=0,0,C13/$C$19)</f>
        <v/>
      </c>
      <c r="E13" s="695" t="n"/>
      <c r="F13" s="666" t="n"/>
      <c r="G13" s="43">
        <f>IFERROR(F13/E13,0)</f>
        <v/>
      </c>
    </row>
    <row r="14">
      <c r="A14" s="11" t="inlineStr">
        <is>
          <t>M.XXI.BAL.4</t>
        </is>
      </c>
      <c r="B14" s="339" t="inlineStr">
        <is>
          <t>13 à 24 Mois</t>
        </is>
      </c>
      <c r="C14" s="666" t="n"/>
      <c r="D14" s="43">
        <f>IF($C$19=0,0,C14/$C$19)</f>
        <v/>
      </c>
      <c r="E14" s="695" t="n"/>
      <c r="F14" s="666" t="n"/>
      <c r="G14" s="43">
        <f>IFERROR(F14/E14,0)</f>
        <v/>
      </c>
    </row>
    <row r="15">
      <c r="A15" s="11" t="inlineStr">
        <is>
          <t>M.XXI.BAL.5</t>
        </is>
      </c>
      <c r="B15" s="339" t="inlineStr">
        <is>
          <t>25 à 36 Mois</t>
        </is>
      </c>
      <c r="C15" s="666" t="n"/>
      <c r="D15" s="43">
        <f>IF($C$19=0,0,C15/$C$19)</f>
        <v/>
      </c>
      <c r="E15" s="695" t="n"/>
      <c r="F15" s="666" t="n"/>
      <c r="G15" s="43">
        <f>IFERROR(F15/E15,0)</f>
        <v/>
      </c>
    </row>
    <row r="16">
      <c r="A16" s="11" t="inlineStr">
        <is>
          <t>M.XXI.BAL.6</t>
        </is>
      </c>
      <c r="B16" s="339" t="inlineStr">
        <is>
          <t>37 à 48 Mois</t>
        </is>
      </c>
      <c r="C16" s="698" t="n"/>
      <c r="D16" s="43">
        <f>IF($C$19=0,0,C16/$C$19)</f>
        <v/>
      </c>
      <c r="E16" s="695" t="n"/>
      <c r="F16" s="698" t="n"/>
      <c r="G16" s="43">
        <f>IFERROR(F16/E16,0)</f>
        <v/>
      </c>
    </row>
    <row r="17">
      <c r="A17" s="11" t="inlineStr">
        <is>
          <t>M.XXI.BAL.7</t>
        </is>
      </c>
      <c r="B17" s="340" t="inlineStr">
        <is>
          <t>49 à 60 Mois</t>
        </is>
      </c>
      <c r="C17" s="666" t="n"/>
      <c r="D17" s="43">
        <f>IF($C$19=0,0,C17/$C$19)</f>
        <v/>
      </c>
      <c r="E17" s="695" t="n"/>
      <c r="F17" s="666" t="n"/>
      <c r="G17" s="43">
        <f>IFERROR(F17/E17,0)</f>
        <v/>
      </c>
    </row>
    <row r="18">
      <c r="A18" s="11" t="inlineStr">
        <is>
          <t>M.XXI.BAL.8</t>
        </is>
      </c>
      <c r="B18" s="341" t="inlineStr">
        <is>
          <t>Plus de 60 Mois</t>
        </is>
      </c>
      <c r="C18" s="820" t="n"/>
      <c r="D18" s="43">
        <f>IF($C$19=0,0,C18/$C$19)</f>
        <v/>
      </c>
      <c r="E18" s="695" t="n"/>
      <c r="F18" s="820" t="n"/>
      <c r="G18" s="43">
        <f>IFERROR(F18/E18,0)</f>
        <v/>
      </c>
    </row>
    <row r="19">
      <c r="A19" s="120" t="inlineStr">
        <is>
          <t>M.XXI.BAL.9</t>
        </is>
      </c>
      <c r="B19" s="342" t="inlineStr">
        <is>
          <t xml:space="preserve">Total </t>
        </is>
      </c>
      <c r="C19" s="702">
        <f>C11+C12+C13+C14+C15+C16+C17+C18</f>
        <v/>
      </c>
      <c r="D19" s="42">
        <f>IF($C$19=0,0,C19/$C$19)</f>
        <v/>
      </c>
      <c r="E19" s="193">
        <f>SUM(E11:E18)</f>
        <v/>
      </c>
      <c r="F19" s="821">
        <f>F11+F12+F13+F14+F15+F16+F17+F18</f>
        <v/>
      </c>
      <c r="G19" s="42">
        <f>IFERROR(F19/E19,0)</f>
        <v/>
      </c>
    </row>
    <row r="23">
      <c r="C23" s="653" t="inlineStr">
        <is>
          <t>B)-PORTEFEUILLE DE CREDITS SAINS</t>
        </is>
      </c>
    </row>
    <row r="25">
      <c r="A25" s="13" t="inlineStr">
        <is>
          <t>CODE</t>
        </is>
      </c>
      <c r="B25" s="15" t="inlineStr">
        <is>
          <t>ECHEANCES</t>
        </is>
      </c>
      <c r="C25" s="15" t="inlineStr">
        <is>
          <t>Nombres de Crédits</t>
        </is>
      </c>
      <c r="D25" s="15" t="inlineStr">
        <is>
          <t>%</t>
        </is>
      </c>
      <c r="E25" s="15" t="inlineStr">
        <is>
          <t>Montant originel du Crédit</t>
        </is>
      </c>
      <c r="F25" s="15" t="inlineStr">
        <is>
          <t>Capital restant dû</t>
        </is>
      </c>
      <c r="G25" s="15" t="inlineStr">
        <is>
          <t>%</t>
        </is>
      </c>
    </row>
    <row r="26">
      <c r="A26" s="34" t="inlineStr">
        <is>
          <t>M.XXI.BAL.10</t>
        </is>
      </c>
      <c r="B26" s="194" t="inlineStr">
        <is>
          <t>1 Mois</t>
        </is>
      </c>
      <c r="C26" s="695" t="n">
        <v>4</v>
      </c>
      <c r="D26" s="43">
        <f>IF($C$34=0,0,C26/$C$34)</f>
        <v/>
      </c>
      <c r="E26" s="666" t="n"/>
      <c r="F26" s="695" t="n"/>
      <c r="G26" s="43">
        <f>IFERROR(F26/E26,0)</f>
        <v/>
      </c>
    </row>
    <row r="27">
      <c r="A27" s="11" t="inlineStr">
        <is>
          <t>M.XXI.BAL.11</t>
        </is>
      </c>
      <c r="B27" s="195" t="inlineStr">
        <is>
          <t>2 à 6 Mois</t>
        </is>
      </c>
      <c r="C27" s="666" t="n">
        <v>7</v>
      </c>
      <c r="D27" s="43">
        <f>IF($C$34=0,0,C27/$C$34)</f>
        <v/>
      </c>
      <c r="E27" s="666" t="n"/>
      <c r="F27" s="666" t="n"/>
      <c r="G27" s="43">
        <f>IFERROR(F27/E27,0)</f>
        <v/>
      </c>
    </row>
    <row r="28">
      <c r="A28" s="11" t="inlineStr">
        <is>
          <t>M.XXI.BAL.12</t>
        </is>
      </c>
      <c r="B28" s="339" t="inlineStr">
        <is>
          <t>7 à 12 Mois</t>
        </is>
      </c>
      <c r="C28" s="666" t="n">
        <v>8</v>
      </c>
      <c r="D28" s="43">
        <f>IF($C$34=0,0,C28/$C$34)</f>
        <v/>
      </c>
      <c r="E28" s="666" t="n"/>
      <c r="F28" s="666" t="n"/>
      <c r="G28" s="43">
        <f>IFERROR(F28/E28,0)</f>
        <v/>
      </c>
    </row>
    <row r="29">
      <c r="A29" s="11" t="inlineStr">
        <is>
          <t>M.XXI.BAL.13</t>
        </is>
      </c>
      <c r="B29" s="339" t="inlineStr">
        <is>
          <t>13 à 24 Mois</t>
        </is>
      </c>
      <c r="C29" s="666" t="n">
        <v>5</v>
      </c>
      <c r="D29" s="43">
        <f>IF($C$34=0,0,C29/$C$34)</f>
        <v/>
      </c>
      <c r="E29" s="666" t="n"/>
      <c r="F29" s="666" t="n"/>
      <c r="G29" s="43">
        <f>IFERROR(F29/E29,0)</f>
        <v/>
      </c>
    </row>
    <row r="30">
      <c r="A30" s="11" t="inlineStr">
        <is>
          <t>M.XXI.BAL.14</t>
        </is>
      </c>
      <c r="B30" s="339" t="inlineStr">
        <is>
          <t>25 à 36 Mois</t>
        </is>
      </c>
      <c r="C30" s="666" t="n"/>
      <c r="D30" s="43">
        <f>IF($C$34=0,0,C30/$C$34)</f>
        <v/>
      </c>
      <c r="E30" s="666" t="n"/>
      <c r="F30" s="666" t="n"/>
      <c r="G30" s="43">
        <f>IFERROR(F30/E30,0)</f>
        <v/>
      </c>
    </row>
    <row r="31">
      <c r="A31" s="11" t="inlineStr">
        <is>
          <t>M.XXI.BAL.15</t>
        </is>
      </c>
      <c r="B31" s="339" t="inlineStr">
        <is>
          <t>37 à 48 Mois</t>
        </is>
      </c>
      <c r="C31" s="666" t="n"/>
      <c r="D31" s="43">
        <f>IF($C$34=0,0,C31/$C$34)</f>
        <v/>
      </c>
      <c r="E31" s="666" t="n"/>
      <c r="F31" s="666" t="n"/>
      <c r="G31" s="43">
        <f>IFERROR(F31/E31,0)</f>
        <v/>
      </c>
    </row>
    <row r="32">
      <c r="A32" s="11" t="inlineStr">
        <is>
          <t>M.XXI.BAL.16</t>
        </is>
      </c>
      <c r="B32" s="339" t="inlineStr">
        <is>
          <t>49 à 60 Mois</t>
        </is>
      </c>
      <c r="C32" s="666" t="n"/>
      <c r="D32" s="43">
        <f>IF($C$34=0,0,C32/$C$34)</f>
        <v/>
      </c>
      <c r="E32" s="666" t="n"/>
      <c r="F32" s="773" t="n"/>
      <c r="G32" s="43">
        <f>IFERROR(F32/E32,0)</f>
        <v/>
      </c>
    </row>
    <row r="33">
      <c r="A33" s="19" t="inlineStr">
        <is>
          <t>M.XXI.BAL.17</t>
        </is>
      </c>
      <c r="B33" s="343" t="inlineStr">
        <is>
          <t>Plus de 60 Mois</t>
        </is>
      </c>
      <c r="C33" s="820" t="n"/>
      <c r="D33" s="43">
        <f>IF($C$34=0,0,C33/$C$34)</f>
        <v/>
      </c>
      <c r="E33" s="666" t="n"/>
      <c r="F33" s="700" t="n"/>
      <c r="G33" s="43">
        <f>IFERROR(F33/E33,0)</f>
        <v/>
      </c>
    </row>
    <row r="34">
      <c r="A34" s="12" t="inlineStr">
        <is>
          <t>M.XXI.BAL.18</t>
        </is>
      </c>
      <c r="B34" s="342" t="inlineStr">
        <is>
          <t xml:space="preserve">Total </t>
        </is>
      </c>
      <c r="C34" s="702">
        <f>C26+C27+C28+C29+C30+C31+C32+C33</f>
        <v/>
      </c>
      <c r="D34" s="42">
        <f>IF($C$34=0,0,C34/$C$34)</f>
        <v/>
      </c>
      <c r="E34" s="193">
        <f>SUM(E26:E33)</f>
        <v/>
      </c>
      <c r="F34" s="821">
        <f>F26+F27+F28+F29+F30+F31+F32+F33</f>
        <v/>
      </c>
      <c r="G34" s="42">
        <f>IFERROR(F34/E34,0)</f>
        <v/>
      </c>
    </row>
    <row r="38">
      <c r="C38" s="654" t="inlineStr">
        <is>
          <t>C)- DES DEPÔTS A TERME</t>
        </is>
      </c>
    </row>
    <row r="40">
      <c r="A40" s="13" t="inlineStr">
        <is>
          <t>CODE</t>
        </is>
      </c>
      <c r="B40" s="15" t="inlineStr">
        <is>
          <t>ECHEANCES</t>
        </is>
      </c>
      <c r="C40" s="15" t="inlineStr">
        <is>
          <t>Nombres de DAT</t>
        </is>
      </c>
      <c r="D40" s="15" t="inlineStr">
        <is>
          <t>%</t>
        </is>
      </c>
      <c r="E40" s="15" t="inlineStr">
        <is>
          <t>Montant originel du DAT</t>
        </is>
      </c>
      <c r="F40" s="15" t="inlineStr">
        <is>
          <t xml:space="preserve">Montant en cours </t>
        </is>
      </c>
      <c r="G40" s="15" t="inlineStr">
        <is>
          <t>%</t>
        </is>
      </c>
    </row>
    <row r="41">
      <c r="A41" s="34" t="inlineStr">
        <is>
          <t>M.XXI.BAL.19</t>
        </is>
      </c>
      <c r="B41" s="194" t="inlineStr">
        <is>
          <t>1 Mois</t>
        </is>
      </c>
      <c r="C41" s="695" t="n"/>
      <c r="D41" s="43">
        <f>IF($C$49=0,0,C41/$C$49)</f>
        <v/>
      </c>
      <c r="E41" s="695" t="n"/>
      <c r="F41" s="695" t="n"/>
      <c r="G41" s="43">
        <f>IFERROR(F41/E41,0)</f>
        <v/>
      </c>
    </row>
    <row r="42">
      <c r="A42" s="11" t="inlineStr">
        <is>
          <t>M.XXI.BAL.20</t>
        </is>
      </c>
      <c r="B42" s="195" t="inlineStr">
        <is>
          <t>2 à 6 Mois</t>
        </is>
      </c>
      <c r="C42" s="666" t="n"/>
      <c r="D42" s="43">
        <f>IF($C$49=0,0,C42/$C$49)</f>
        <v/>
      </c>
      <c r="E42" s="695" t="n"/>
      <c r="F42" s="666" t="n"/>
      <c r="G42" s="43">
        <f>IFERROR(F42/E42,0)</f>
        <v/>
      </c>
    </row>
    <row r="43">
      <c r="A43" s="11" t="inlineStr">
        <is>
          <t>M.XXI.BAL.21</t>
        </is>
      </c>
      <c r="B43" s="339" t="inlineStr">
        <is>
          <t>7 à 12 Mois</t>
        </is>
      </c>
      <c r="C43" s="666" t="n"/>
      <c r="D43" s="43">
        <f>IF($C$49=0,0,C43/$C$49)</f>
        <v/>
      </c>
      <c r="E43" s="695" t="n"/>
      <c r="F43" s="666" t="n"/>
      <c r="G43" s="43">
        <f>IFERROR(F43/E43,0)</f>
        <v/>
      </c>
    </row>
    <row r="44">
      <c r="A44" s="11" t="inlineStr">
        <is>
          <t>M.XXI.BAL.22</t>
        </is>
      </c>
      <c r="B44" s="339" t="inlineStr">
        <is>
          <t>13 à 24 Mois</t>
        </is>
      </c>
      <c r="C44" s="666" t="n"/>
      <c r="D44" s="43">
        <f>IF($C$49=0,0,C44/$C$49)</f>
        <v/>
      </c>
      <c r="E44" s="695" t="n"/>
      <c r="F44" s="666" t="n"/>
      <c r="G44" s="43">
        <f>IFERROR(F44/E44,0)</f>
        <v/>
      </c>
    </row>
    <row r="45">
      <c r="A45" s="11" t="inlineStr">
        <is>
          <t>M.XXI.BAL.23</t>
        </is>
      </c>
      <c r="B45" s="339" t="inlineStr">
        <is>
          <t>25 à 36 Mois</t>
        </is>
      </c>
      <c r="C45" s="666" t="n"/>
      <c r="D45" s="43">
        <f>IF($C$49=0,0,C45/$C$49)</f>
        <v/>
      </c>
      <c r="E45" s="695" t="n"/>
      <c r="F45" s="666" t="n"/>
      <c r="G45" s="43">
        <f>IFERROR(F45/E45,0)</f>
        <v/>
      </c>
    </row>
    <row r="46">
      <c r="A46" s="11" t="inlineStr">
        <is>
          <t>M.XXI.BAL.24</t>
        </is>
      </c>
      <c r="B46" s="344" t="inlineStr">
        <is>
          <t>37 à 48 Mois</t>
        </is>
      </c>
      <c r="C46" s="698" t="n"/>
      <c r="D46" s="43">
        <f>IF($C$49=0,0,C46/$C$49)</f>
        <v/>
      </c>
      <c r="E46" s="695" t="n"/>
      <c r="F46" s="698" t="n"/>
      <c r="G46" s="43">
        <f>IFERROR(F46/E46,0)</f>
        <v/>
      </c>
    </row>
    <row r="47">
      <c r="A47" s="11" t="inlineStr">
        <is>
          <t>M.XXI.BAL.25</t>
        </is>
      </c>
      <c r="B47" s="344" t="inlineStr">
        <is>
          <t>49 à 60 Mois</t>
        </is>
      </c>
      <c r="C47" s="666" t="n"/>
      <c r="D47" s="43">
        <f>IF($C$49=0,0,C47/$C$49)</f>
        <v/>
      </c>
      <c r="E47" s="695" t="n"/>
      <c r="F47" s="698" t="n"/>
      <c r="G47" s="43">
        <f>IFERROR(F47/E47,0)</f>
        <v/>
      </c>
    </row>
    <row r="48">
      <c r="A48" s="48" t="inlineStr">
        <is>
          <t>M.XXI.BAL.26</t>
        </is>
      </c>
      <c r="B48" s="341" t="inlineStr">
        <is>
          <t>Plus de 60 Mois</t>
        </is>
      </c>
      <c r="C48" s="820" t="n"/>
      <c r="D48" s="43">
        <f>IF($C$49=0,0,C48/$C$49)</f>
        <v/>
      </c>
      <c r="E48" s="695" t="n"/>
      <c r="F48" s="700" t="n"/>
      <c r="G48" s="43">
        <f>IFERROR(F48/E48,0)</f>
        <v/>
      </c>
    </row>
    <row r="49">
      <c r="A49" s="12" t="inlineStr">
        <is>
          <t>M.XXI.BAL.27</t>
        </is>
      </c>
      <c r="B49" s="342" t="inlineStr">
        <is>
          <t xml:space="preserve">Total </t>
        </is>
      </c>
      <c r="C49" s="702">
        <f>C41+C42+C43+C44+C45+C46+C47+C48</f>
        <v/>
      </c>
      <c r="D49" s="42">
        <f>IF($C$49=0,0,C49/$C$49)</f>
        <v/>
      </c>
      <c r="E49" s="193">
        <f>SUM(E41:E48)</f>
        <v/>
      </c>
      <c r="F49" s="821">
        <f>SUM(F41:F48)</f>
        <v/>
      </c>
      <c r="G49" s="42">
        <f>IFERROR(F49/E49,0)</f>
        <v/>
      </c>
    </row>
    <row r="53">
      <c r="C53" s="654" t="inlineStr">
        <is>
          <t>D)-DES DEPÔTS DE GARANTIE</t>
        </is>
      </c>
    </row>
    <row r="55">
      <c r="A55" s="13" t="inlineStr">
        <is>
          <t>CODE</t>
        </is>
      </c>
      <c r="B55" s="15" t="inlineStr">
        <is>
          <t>ECHEANCES</t>
        </is>
      </c>
      <c r="C55" s="15" t="inlineStr">
        <is>
          <t>Nombres de Dépôt de Garantie Financière</t>
        </is>
      </c>
      <c r="D55" s="15" t="inlineStr">
        <is>
          <t>%</t>
        </is>
      </c>
      <c r="E55" s="15" t="inlineStr">
        <is>
          <t>Montant Initial du Dépôt de garantie</t>
        </is>
      </c>
      <c r="F55" s="15" t="inlineStr">
        <is>
          <t xml:space="preserve">Montant en cours </t>
        </is>
      </c>
      <c r="G55" s="15" t="inlineStr">
        <is>
          <t>%</t>
        </is>
      </c>
    </row>
    <row r="56">
      <c r="A56" s="34" t="inlineStr">
        <is>
          <t>M.XXI.BAL.28</t>
        </is>
      </c>
      <c r="B56" s="194" t="inlineStr">
        <is>
          <t>1 Mois</t>
        </is>
      </c>
      <c r="C56" s="695" t="n"/>
      <c r="D56" s="43">
        <f>IF($C$64=0,0,C56/$C$64)</f>
        <v/>
      </c>
      <c r="E56" s="695" t="n"/>
      <c r="F56" s="695" t="n"/>
      <c r="G56" s="43">
        <f>IFERROR(F56/E56,0)</f>
        <v/>
      </c>
    </row>
    <row r="57">
      <c r="A57" s="11" t="inlineStr">
        <is>
          <t>M.XXI.BAL.29</t>
        </is>
      </c>
      <c r="B57" s="195" t="inlineStr">
        <is>
          <t>2 à 6 Mois</t>
        </is>
      </c>
      <c r="C57" s="666" t="n"/>
      <c r="D57" s="43">
        <f>IF($C$64=0,0,C57/$C$64)</f>
        <v/>
      </c>
      <c r="E57" s="695" t="n"/>
      <c r="F57" s="666" t="n"/>
      <c r="G57" s="43">
        <f>IFERROR(F57/E57,0)</f>
        <v/>
      </c>
    </row>
    <row r="58">
      <c r="A58" s="11" t="inlineStr">
        <is>
          <t>M.XXI.BAL.30</t>
        </is>
      </c>
      <c r="B58" s="339" t="inlineStr">
        <is>
          <t>7 à 12 Mois</t>
        </is>
      </c>
      <c r="C58" s="666" t="n"/>
      <c r="D58" s="43">
        <f>IF($C$64=0,0,C58/$C$64)</f>
        <v/>
      </c>
      <c r="E58" s="695" t="n"/>
      <c r="F58" s="666" t="n"/>
      <c r="G58" s="43">
        <f>IFERROR(F58/E58,0)</f>
        <v/>
      </c>
    </row>
    <row r="59">
      <c r="A59" s="11" t="inlineStr">
        <is>
          <t>M.XXI.BAL.31</t>
        </is>
      </c>
      <c r="B59" s="339" t="inlineStr">
        <is>
          <t>13 à 24 Mois</t>
        </is>
      </c>
      <c r="C59" s="666" t="n"/>
      <c r="D59" s="43">
        <f>IF($C$64=0,0,C59/$C$64)</f>
        <v/>
      </c>
      <c r="E59" s="695" t="n"/>
      <c r="F59" s="666" t="n"/>
      <c r="G59" s="43">
        <f>IFERROR(F59/E59,0)</f>
        <v/>
      </c>
    </row>
    <row r="60">
      <c r="A60" s="11" t="inlineStr">
        <is>
          <t>M.XXI.BAL.32</t>
        </is>
      </c>
      <c r="B60" s="339" t="inlineStr">
        <is>
          <t>25 à 36 Mois</t>
        </is>
      </c>
      <c r="C60" s="666" t="n"/>
      <c r="D60" s="43">
        <f>IF($C$64=0,0,C60/$C$64)</f>
        <v/>
      </c>
      <c r="E60" s="695" t="n"/>
      <c r="F60" s="666" t="n"/>
      <c r="G60" s="43">
        <f>IFERROR(F60/E60,0)</f>
        <v/>
      </c>
    </row>
    <row r="61">
      <c r="A61" s="11" t="inlineStr">
        <is>
          <t>M.XXI.BAL.33</t>
        </is>
      </c>
      <c r="B61" s="344" t="inlineStr">
        <is>
          <t>37 à 48 Mois</t>
        </is>
      </c>
      <c r="C61" s="698" t="n"/>
      <c r="D61" s="43">
        <f>IF($C$64=0,0,C61/$C$64)</f>
        <v/>
      </c>
      <c r="E61" s="695" t="n"/>
      <c r="F61" s="698" t="n"/>
      <c r="G61" s="43">
        <f>IFERROR(F61/E61,0)</f>
        <v/>
      </c>
    </row>
    <row r="62">
      <c r="A62" s="11" t="inlineStr">
        <is>
          <t>M.XXI.BAL.34</t>
        </is>
      </c>
      <c r="B62" s="344" t="inlineStr">
        <is>
          <t>49 à 60 Mois</t>
        </is>
      </c>
      <c r="C62" s="698" t="n"/>
      <c r="D62" s="43">
        <f>IF($C$64=0,0,C62/$C$64)</f>
        <v/>
      </c>
      <c r="E62" s="695" t="n"/>
      <c r="F62" s="666" t="n"/>
      <c r="G62" s="43">
        <f>IFERROR(F62/E62,0)</f>
        <v/>
      </c>
    </row>
    <row r="63">
      <c r="A63" s="11" t="inlineStr">
        <is>
          <t>M.XXI.BAL.35</t>
        </is>
      </c>
      <c r="B63" s="341" t="inlineStr">
        <is>
          <t>Plus de 60 Mois</t>
        </is>
      </c>
      <c r="C63" s="700" t="n"/>
      <c r="D63" s="43">
        <f>IF($C$64=0,0,C63/$C$64)</f>
        <v/>
      </c>
      <c r="E63" s="695" t="n"/>
      <c r="F63" s="820" t="n"/>
      <c r="G63" s="43">
        <f>IFERROR(F63/E63,0)</f>
        <v/>
      </c>
    </row>
    <row r="64">
      <c r="A64" s="12" t="inlineStr">
        <is>
          <t>M.XXI.BAL.36</t>
        </is>
      </c>
      <c r="B64" s="342" t="inlineStr">
        <is>
          <t xml:space="preserve">Total </t>
        </is>
      </c>
      <c r="C64" s="702">
        <f>C56+C57+C58+C59+C60+C61+C62+C63</f>
        <v/>
      </c>
      <c r="D64" s="42">
        <f>IF($C$64=0,0,C64/$C$64)</f>
        <v/>
      </c>
      <c r="E64" s="193">
        <f>SUM(E56:E63)</f>
        <v/>
      </c>
      <c r="F64" s="821">
        <f>SUM(F56:F63)</f>
        <v/>
      </c>
      <c r="G64" s="42">
        <f>IFERROR(F64/E64,0)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e5ZuAAuwB+kY/nVWz/CAlQ==" formatRows="1" sort="1" spinCount="100000" hashValue="FtrfSfkqHg6dcD29DKhEqZEVh875IyTzQfpmuz+uyGJT0GSXOi+QgpCj4B4+JOIPPZaOTxyFjmpYa6+3wGEFCA=="/>
  <mergeCells count="3">
    <mergeCell ref="C23:E23"/>
    <mergeCell ref="C38:E38"/>
    <mergeCell ref="C53:E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topLeftCell="A36" workbookViewId="0">
      <selection activeCell="C49" sqref="C49"/>
    </sheetView>
  </sheetViews>
  <sheetFormatPr baseColWidth="10" defaultColWidth="11.44140625" defaultRowHeight="14.4"/>
  <cols>
    <col width="14.6640625" customWidth="1" min="1" max="1"/>
    <col width="44" customWidth="1" min="2" max="2"/>
    <col width="56.6640625" customWidth="1" min="3" max="3"/>
    <col width="21.88671875" customWidth="1" min="4" max="4"/>
  </cols>
  <sheetData>
    <row r="1">
      <c r="A1" s="1" t="n"/>
      <c r="B1" s="642" t="inlineStr">
        <is>
          <t>Nom de l'institution</t>
        </is>
      </c>
      <c r="C1" s="524">
        <f>'M.0.INFO.G'!C1</f>
        <v/>
      </c>
      <c r="D1" s="526" t="n"/>
    </row>
    <row r="2">
      <c r="A2" s="1" t="n"/>
      <c r="B2" s="642" t="inlineStr">
        <is>
          <t>Code de l'institution</t>
        </is>
      </c>
      <c r="C2" s="524">
        <f>'M.0.INFO.G'!C2</f>
        <v/>
      </c>
      <c r="D2" s="526" t="n"/>
    </row>
    <row r="3">
      <c r="A3" s="1" t="n"/>
      <c r="B3" s="642" t="inlineStr">
        <is>
          <t>Date des rapports</t>
        </is>
      </c>
      <c r="C3" s="580">
        <f>'M.0.INFO.G'!C3</f>
        <v/>
      </c>
      <c r="D3" s="582" t="n"/>
    </row>
    <row r="4">
      <c r="A4" s="1" t="n"/>
      <c r="B4" s="642" t="inlineStr">
        <is>
          <t xml:space="preserve">Rapport </t>
        </is>
      </c>
      <c r="C4" s="527" t="inlineStr">
        <is>
          <t>M.XXII.INDICATEURS PRUDENTIELS</t>
        </is>
      </c>
      <c r="D4" s="529" t="n"/>
    </row>
    <row r="5">
      <c r="A5" s="1" t="n"/>
      <c r="B5" s="1" t="n"/>
      <c r="C5" s="1" t="n"/>
      <c r="D5" s="1" t="n"/>
    </row>
    <row r="6" ht="15.6" customHeight="1">
      <c r="A6" s="260" t="inlineStr">
        <is>
          <t>N°.</t>
        </is>
      </c>
      <c r="B6" s="260" t="inlineStr">
        <is>
          <t>LIBELLE</t>
        </is>
      </c>
      <c r="C6" s="260" t="inlineStr">
        <is>
          <t>FORMULES</t>
        </is>
      </c>
      <c r="D6" s="260" t="inlineStr">
        <is>
          <t>RATIOS / VALEURS</t>
        </is>
      </c>
    </row>
    <row r="7" ht="46.8" customHeight="1">
      <c r="A7" s="388" t="inlineStr">
        <is>
          <t>M.IND.IM.1</t>
        </is>
      </c>
      <c r="B7" s="345" t="inlineStr">
        <is>
          <t xml:space="preserve">TAUX DE PERTE ANNUELLES SUR CREANCES </t>
        </is>
      </c>
      <c r="C7" s="345" t="inlineStr">
        <is>
          <t>MONTANT DES CREDITS PASSES EN PERTE DURANT LA PERIODE/MONTANT BRUT DU PORTEFEUILLE DE CREDITS DELA PERIODE</t>
        </is>
      </c>
      <c r="D7" s="780">
        <f>IF(C63=0,0,C62/C63*100)</f>
        <v/>
      </c>
    </row>
    <row r="8" ht="32.25" customHeight="1">
      <c r="A8" s="388" t="inlineStr">
        <is>
          <t>M.IND.IM.2</t>
        </is>
      </c>
      <c r="B8" s="345" t="inlineStr">
        <is>
          <t>TAUX D'EXPOSITION</t>
        </is>
      </c>
      <c r="C8" s="345" t="inlineStr">
        <is>
          <t>CREDITS EN SOUFFRANCE NETS/FONDS PROPRES NETS</t>
        </is>
      </c>
      <c r="D8" s="780">
        <f>IF(+M.X.RSL!G39=0,0,+M.I.BILAN!F41/M.X.RSL!G39*100)</f>
        <v/>
      </c>
    </row>
    <row r="9" ht="33" customHeight="1">
      <c r="A9" s="388" t="inlineStr">
        <is>
          <t>M.IND.IM.3</t>
        </is>
      </c>
      <c r="B9" s="346" t="inlineStr">
        <is>
          <t xml:space="preserve">COEFFICIENT D'EXPLOITATION </t>
        </is>
      </c>
      <c r="C9" s="346" t="inlineStr">
        <is>
          <t>FRAIS GENERAUX (FG)/PRODUITS FINANCIERS NETS (PFN)</t>
        </is>
      </c>
      <c r="D9" s="780">
        <f>IF(C66=0,0,C65/C66*100)</f>
        <v/>
      </c>
    </row>
    <row r="10" ht="39.75" customHeight="1">
      <c r="A10" s="388" t="inlineStr">
        <is>
          <t>M.IND.IM.4</t>
        </is>
      </c>
      <c r="B10" s="346" t="inlineStr">
        <is>
          <t>RENDEMENT SUR ACTIF (AROA)</t>
        </is>
      </c>
      <c r="C10" s="346" t="inlineStr">
        <is>
          <t>RESULTAT D'EXPLOITATION HORS SUBVENTIONS (RE)/MONTANT MOYEN DE L'ACTIF POUR LA PERIODE</t>
        </is>
      </c>
      <c r="D10" s="780">
        <f>IF(C32=0,0, C58/C32*100)</f>
        <v/>
      </c>
    </row>
    <row r="11" ht="39.75" customHeight="1">
      <c r="A11" s="388" t="inlineStr">
        <is>
          <t>M.IND.IM.5</t>
        </is>
      </c>
      <c r="B11" s="347" t="inlineStr">
        <is>
          <t>RENTABILITE DES FONDS PROPRES (AROE)</t>
        </is>
      </c>
      <c r="C11" s="346" t="inlineStr">
        <is>
          <t>RESULTAT D'EXPLOITATION HORS SUBVENTIONS (RE)/MONTANT MOYEN DES FONDS PROPRES POUR LA PERIODE</t>
        </is>
      </c>
      <c r="D11" s="780">
        <f>IF(C26=0,0,C58/C26*100)</f>
        <v/>
      </c>
    </row>
    <row r="12" ht="33.75" customHeight="1">
      <c r="A12" s="388" t="inlineStr">
        <is>
          <t>M.IND.IM.6</t>
        </is>
      </c>
      <c r="B12" s="347" t="inlineStr">
        <is>
          <t>FRAIS GENERAUX (FG)</t>
        </is>
      </c>
      <c r="C12" s="348" t="n"/>
      <c r="D12" s="822">
        <f>IFERROR(C65,0)</f>
        <v/>
      </c>
    </row>
    <row r="13" ht="40.5" customHeight="1">
      <c r="A13" s="388" t="inlineStr">
        <is>
          <t>M.IND.IM.7</t>
        </is>
      </c>
      <c r="B13" s="347" t="inlineStr">
        <is>
          <t>PRODUITS FINANCIERS NETS (PFN)</t>
        </is>
      </c>
      <c r="C13" s="348" t="n"/>
      <c r="D13" s="822">
        <f>IFERROR(C66,0)</f>
        <v/>
      </c>
    </row>
    <row r="14">
      <c r="A14" s="263" t="inlineStr">
        <is>
          <t>Total</t>
        </is>
      </c>
      <c r="B14" s="675" t="inlineStr">
        <is>
          <t>N/A</t>
        </is>
      </c>
      <c r="C14" s="675" t="inlineStr">
        <is>
          <t>N/A</t>
        </is>
      </c>
      <c r="D14" s="682" t="inlineStr">
        <is>
          <t>N/A</t>
        </is>
      </c>
    </row>
    <row r="19">
      <c r="A19" s="655" t="inlineStr">
        <is>
          <t>DETERMINATION PREALABLE DES AGREGATS POUR LE CALCUL DES INDICATEURS PRUDENTIELS</t>
        </is>
      </c>
      <c r="G19" s="338" t="n"/>
    </row>
    <row r="21">
      <c r="B21" s="350" t="inlineStr">
        <is>
          <t>CALCUL DE LA MOYENNE DES FONDS PROPRES</t>
        </is>
      </c>
      <c r="C21" s="351" t="inlineStr">
        <is>
          <t>MONTANT</t>
        </is>
      </c>
    </row>
    <row r="22">
      <c r="B22" s="337" t="inlineStr">
        <is>
          <t>FONDS PROPRES NETS Trimestre 1 (T1)</t>
        </is>
      </c>
      <c r="C22" s="823" t="n"/>
    </row>
    <row r="23">
      <c r="B23" s="337" t="inlineStr">
        <is>
          <t>FONDS PROPRES NETS T2</t>
        </is>
      </c>
      <c r="C23" s="823" t="n"/>
    </row>
    <row r="24">
      <c r="B24" s="337" t="inlineStr">
        <is>
          <t>FONDS PROPRES NETS T3</t>
        </is>
      </c>
      <c r="C24" s="823" t="n"/>
    </row>
    <row r="25">
      <c r="B25" s="337" t="inlineStr">
        <is>
          <t>FONDS PROPRES NET  T4</t>
        </is>
      </c>
      <c r="C25" s="823" t="n"/>
    </row>
    <row r="26">
      <c r="B26" s="351" t="inlineStr">
        <is>
          <t>C</t>
        </is>
      </c>
      <c r="C26" s="780">
        <f> IFERROR(AVERAGE(C22:C25),0)</f>
        <v/>
      </c>
    </row>
    <row r="27">
      <c r="B27" s="350" t="inlineStr">
        <is>
          <t>TOTAL MOYEN DE L'ACTIF NET</t>
        </is>
      </c>
      <c r="C27" s="824" t="inlineStr">
        <is>
          <t>MONTANT</t>
        </is>
      </c>
    </row>
    <row r="28">
      <c r="B28" s="337" t="inlineStr">
        <is>
          <t>TOTAL ACTIF NETS T1</t>
        </is>
      </c>
      <c r="C28" s="823" t="n"/>
    </row>
    <row r="29">
      <c r="B29" s="337" t="inlineStr">
        <is>
          <t>TOTAL ACTIF NETS T2</t>
        </is>
      </c>
      <c r="C29" s="823" t="n"/>
    </row>
    <row r="30">
      <c r="B30" s="337" t="inlineStr">
        <is>
          <t>TOTAL ACTIF NETS T3</t>
        </is>
      </c>
      <c r="C30" s="823" t="n"/>
    </row>
    <row r="31">
      <c r="B31" s="337" t="inlineStr">
        <is>
          <t>TOTAL ACTIF NETS T4</t>
        </is>
      </c>
      <c r="C31" s="823" t="n"/>
    </row>
    <row r="32">
      <c r="B32" s="351" t="inlineStr">
        <is>
          <t>D</t>
        </is>
      </c>
      <c r="C32" s="780">
        <f>IFERROR(AVERAGE(C28:C31),0)</f>
        <v/>
      </c>
    </row>
    <row r="33">
      <c r="B33" s="350" t="inlineStr">
        <is>
          <t>TOTAL MOYEN DE L'ACTIF BRUT</t>
        </is>
      </c>
      <c r="C33" s="824" t="inlineStr">
        <is>
          <t>MONTANT</t>
        </is>
      </c>
    </row>
    <row r="34">
      <c r="B34" s="337" t="inlineStr">
        <is>
          <t>TOTAL ACTIF BRUT T1</t>
        </is>
      </c>
      <c r="C34" s="411" t="n"/>
    </row>
    <row r="35">
      <c r="B35" s="337" t="inlineStr">
        <is>
          <t>TOTAL ACTIF BRUT T2</t>
        </is>
      </c>
      <c r="C35" s="411" t="n"/>
    </row>
    <row r="36">
      <c r="B36" s="337" t="inlineStr">
        <is>
          <t>TOTAL ACTIF BRUT T3</t>
        </is>
      </c>
      <c r="C36" s="411" t="n"/>
    </row>
    <row r="37">
      <c r="B37" s="337" t="inlineStr">
        <is>
          <t>TOTAL ACTIF BRUT T4</t>
        </is>
      </c>
      <c r="C37" s="411" t="n"/>
    </row>
    <row r="38">
      <c r="B38" s="351" t="inlineStr">
        <is>
          <t>E</t>
        </is>
      </c>
      <c r="C38" s="780">
        <f>IFERROR(AVERAGE(C34:C37),0)</f>
        <v/>
      </c>
    </row>
    <row r="39">
      <c r="C39" s="825" t="n"/>
    </row>
    <row r="42">
      <c r="B42" s="353" t="inlineStr">
        <is>
          <t>CALCUL DU RESULTAT D'EXPLOITATION HORS SUBVENTION</t>
        </is>
      </c>
    </row>
    <row r="43">
      <c r="A43" s="351" t="inlineStr">
        <is>
          <t>N°COMPTE</t>
        </is>
      </c>
      <c r="B43" s="354" t="inlineStr">
        <is>
          <t>INTITULE</t>
        </is>
      </c>
      <c r="C43" s="351" t="inlineStr">
        <is>
          <t>MONTANT</t>
        </is>
      </c>
    </row>
    <row r="44">
      <c r="A44" s="351" t="n">
        <v>70</v>
      </c>
      <c r="B44" s="355" t="inlineStr">
        <is>
          <t xml:space="preserve">Produits Financiers liés aux Placements </t>
        </is>
      </c>
      <c r="C44" s="780">
        <f>M.II.RESULTAT!D62</f>
        <v/>
      </c>
    </row>
    <row r="45">
      <c r="A45" s="336" t="n">
        <v>71</v>
      </c>
      <c r="B45" s="355" t="inlineStr">
        <is>
          <t>Autres produits financiers</t>
        </is>
      </c>
      <c r="C45" s="780">
        <f>M.II.RESULTAT!D73</f>
        <v/>
      </c>
    </row>
    <row r="46">
      <c r="A46" s="336" t="n">
        <v>72</v>
      </c>
      <c r="B46" s="355" t="inlineStr">
        <is>
          <t>Produits liés à des comptes et opérations de ME</t>
        </is>
      </c>
      <c r="C46" s="780">
        <f>M.II.RESULTAT!D81</f>
        <v/>
      </c>
    </row>
    <row r="47">
      <c r="A47" s="336" t="n">
        <v>73</v>
      </c>
      <c r="B47" s="355" t="inlineStr">
        <is>
          <t>AUTRES PRODUITS NON FINANCIERS</t>
        </is>
      </c>
      <c r="C47" s="780">
        <f>M.II.RESULTAT!D88</f>
        <v/>
      </c>
    </row>
    <row r="48">
      <c r="A48" s="336" t="n">
        <v>76</v>
      </c>
      <c r="B48" t="inlineStr">
        <is>
          <t>REPRISE SUR AMORTISSEMENTS ET PROVISIOSNS</t>
        </is>
      </c>
      <c r="C48" s="780">
        <f>M.II.RESULTAT!D93</f>
        <v/>
      </c>
    </row>
    <row r="49">
      <c r="A49" s="356" t="n">
        <v>61</v>
      </c>
      <c r="B49" s="357" t="inlineStr">
        <is>
          <t>F</t>
        </is>
      </c>
      <c r="C49" s="780">
        <f>SUM(C44:C48)</f>
        <v/>
      </c>
    </row>
    <row r="50">
      <c r="A50" s="336" t="n">
        <v>60</v>
      </c>
      <c r="B50" s="355" t="inlineStr">
        <is>
          <t>Intérêts</t>
        </is>
      </c>
      <c r="C50" s="780">
        <f>M.II.RESULTAT!D8</f>
        <v/>
      </c>
    </row>
    <row r="51">
      <c r="A51" s="336" t="n">
        <v>61</v>
      </c>
      <c r="B51" s="355" t="inlineStr">
        <is>
          <t>Achat de fournitures de bureau</t>
        </is>
      </c>
      <c r="C51" s="780">
        <f>M.II.RESULTAT!D18</f>
        <v/>
      </c>
    </row>
    <row r="52">
      <c r="A52" s="336" t="n">
        <v>62</v>
      </c>
      <c r="B52" s="355" t="inlineStr">
        <is>
          <t>Publicité et relations publiques</t>
        </is>
      </c>
      <c r="C52" s="780">
        <f>M.II.RESULTAT!D26</f>
        <v/>
      </c>
    </row>
    <row r="53">
      <c r="A53" s="336" t="n">
        <v>63</v>
      </c>
      <c r="B53" s="357" t="inlineStr">
        <is>
          <t>Impôts et taxes locales</t>
        </is>
      </c>
      <c r="C53" s="780">
        <f>M.II.RESULTAT!D33</f>
        <v/>
      </c>
    </row>
    <row r="54">
      <c r="A54" s="336" t="n">
        <v>64</v>
      </c>
      <c r="B54" s="355" t="inlineStr">
        <is>
          <t>Frais de personnel</t>
        </is>
      </c>
      <c r="C54" s="780">
        <f>M.II.RESULTAT!D37</f>
        <v/>
      </c>
    </row>
    <row r="55">
      <c r="A55" s="336" t="n">
        <v>65</v>
      </c>
      <c r="B55" s="355" t="inlineStr">
        <is>
          <t>Remboursement de frais</t>
        </is>
      </c>
      <c r="C55" s="780">
        <f>M.II.RESULTAT!D40</f>
        <v/>
      </c>
    </row>
    <row r="56">
      <c r="A56" s="336" t="n">
        <v>66</v>
      </c>
      <c r="B56" s="355" t="inlineStr">
        <is>
          <t xml:space="preserve">Dotations aux amortissements </t>
        </is>
      </c>
      <c r="C56" s="780">
        <f>M.II.RESULTAT!D44</f>
        <v/>
      </c>
    </row>
    <row r="57">
      <c r="A57" s="356" t="n"/>
      <c r="B57" s="351" t="inlineStr">
        <is>
          <t>G</t>
        </is>
      </c>
      <c r="C57" s="780">
        <f>SUM(C50:C56)</f>
        <v/>
      </c>
    </row>
    <row r="58">
      <c r="A58" s="350" t="inlineStr">
        <is>
          <t>N/A</t>
        </is>
      </c>
      <c r="B58" s="351" t="inlineStr">
        <is>
          <t>H= F-G</t>
        </is>
      </c>
      <c r="C58" s="826">
        <f>C49-C57</f>
        <v/>
      </c>
    </row>
    <row r="61">
      <c r="A61" s="337" t="inlineStr">
        <is>
          <t>N°COMPTE</t>
        </is>
      </c>
      <c r="B61" s="350" t="inlineStr">
        <is>
          <t>AUTRES AGREGATS</t>
        </is>
      </c>
      <c r="C61" s="351" t="inlineStr">
        <is>
          <t>MONTANT</t>
        </is>
      </c>
    </row>
    <row r="62">
      <c r="A62" s="337" t="n">
        <v>653</v>
      </c>
      <c r="B62" s="337" t="inlineStr">
        <is>
          <t>Montant des crédits passés en perte</t>
        </is>
      </c>
      <c r="C62" s="826">
        <f>+M.II.RESULTAT!D43</f>
        <v/>
      </c>
    </row>
    <row r="63">
      <c r="A63" s="337" t="n">
        <v>2</v>
      </c>
      <c r="B63" s="337" t="inlineStr">
        <is>
          <t xml:space="preserve">Montant brut du portefeuille de crédits </t>
        </is>
      </c>
      <c r="C63" s="826">
        <f>+M.I.BILAN!D33</f>
        <v/>
      </c>
    </row>
    <row r="64">
      <c r="A64" s="337" t="n"/>
      <c r="B64" s="337" t="n"/>
      <c r="C64" s="337" t="n"/>
    </row>
    <row r="65">
      <c r="A65" s="337" t="n"/>
      <c r="B65" s="337" t="inlineStr">
        <is>
          <t>FRAIS GENERAUX (FG)</t>
        </is>
      </c>
      <c r="C65" s="780">
        <f>+C51+C52+C53+C54+C55+C56</f>
        <v/>
      </c>
    </row>
    <row r="66">
      <c r="A66" s="337" t="n"/>
      <c r="B66" s="337" t="inlineStr">
        <is>
          <t>PRODUITS FINANCIERS NETS (PFN)</t>
        </is>
      </c>
      <c r="C66" s="780">
        <f>+C45+C44+C46-C50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Ih/O48ylNi4iP+MH1JhFA==" formatRows="1" sort="1" spinCount="100000" hashValue="JNaazRJabO03rrKXxHl38QvHMdGuAtRrIe39TWgzT+Xrj3UbvLhuFfEv9fWOfPe3sL12i0QSBKpI3CVXxlZX5A=="/>
  <mergeCells count="1">
    <mergeCell ref="A19:F19"/>
  </mergeCells>
  <pageMargins left="0.7" right="0.7" top="0.75" bottom="0.75" header="0.3" footer="0.3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9"/>
  <sheetViews>
    <sheetView topLeftCell="A16" workbookViewId="0">
      <selection activeCell="C25" sqref="C25"/>
    </sheetView>
  </sheetViews>
  <sheetFormatPr baseColWidth="10" defaultColWidth="11.44140625" defaultRowHeight="14.4"/>
  <cols>
    <col width="14.6640625" customWidth="1" min="1" max="1"/>
    <col width="44" customWidth="1" min="2" max="2"/>
    <col width="19.44140625" customWidth="1" min="3" max="3"/>
    <col width="21.88671875" customWidth="1" min="4" max="4"/>
  </cols>
  <sheetData>
    <row r="1">
      <c r="A1" s="1" t="n"/>
      <c r="B1" s="642" t="inlineStr">
        <is>
          <t>Nom de l'institution</t>
        </is>
      </c>
      <c r="C1" s="524">
        <f>'M.0.INFO.G'!C1</f>
        <v/>
      </c>
      <c r="D1" s="526" t="n"/>
    </row>
    <row r="2">
      <c r="A2" s="1" t="n"/>
      <c r="B2" s="642" t="inlineStr">
        <is>
          <t>Code de l'institution</t>
        </is>
      </c>
      <c r="C2" s="524">
        <f>'M.0.INFO.G'!C2</f>
        <v/>
      </c>
      <c r="D2" s="526" t="n"/>
    </row>
    <row r="3">
      <c r="A3" s="1" t="n"/>
      <c r="B3" s="642" t="inlineStr">
        <is>
          <t>Date des rapports</t>
        </is>
      </c>
      <c r="C3" s="580">
        <f>'M.0.INFO.G'!C3</f>
        <v/>
      </c>
      <c r="D3" s="582" t="n"/>
    </row>
    <row r="4">
      <c r="A4" s="1" t="n"/>
      <c r="B4" s="642" t="inlineStr">
        <is>
          <t xml:space="preserve">Rapport </t>
        </is>
      </c>
      <c r="C4" s="527" t="inlineStr">
        <is>
          <t>M.XXII.RATIO.PRUDENTIELS</t>
        </is>
      </c>
      <c r="D4" s="529" t="n"/>
    </row>
    <row r="5">
      <c r="A5" s="1" t="n"/>
      <c r="B5" s="1" t="n"/>
      <c r="C5" s="1" t="n"/>
      <c r="D5" s="1" t="n"/>
    </row>
    <row r="6" ht="15.6" customHeight="1">
      <c r="A6" s="260" t="inlineStr">
        <is>
          <t>N°.</t>
        </is>
      </c>
      <c r="B6" s="260" t="inlineStr">
        <is>
          <t>LIBELLE</t>
        </is>
      </c>
      <c r="C6" s="260" t="inlineStr">
        <is>
          <t>NORMES</t>
        </is>
      </c>
      <c r="D6" s="260" t="inlineStr">
        <is>
          <t>RATIOS / VALEURS</t>
        </is>
      </c>
    </row>
    <row r="7" ht="16.2" customHeight="1" thickBot="1">
      <c r="A7" s="388" t="inlineStr">
        <is>
          <t>M.RTP.IM.1</t>
        </is>
      </c>
      <c r="B7" s="345" t="inlineStr">
        <is>
          <t xml:space="preserve">SOLVABILTE (RS) </t>
        </is>
      </c>
      <c r="C7" s="391" t="inlineStr">
        <is>
          <t>≥ 15%</t>
        </is>
      </c>
      <c r="D7" s="780">
        <f>IFERROR(M.X.RSL!E58,0)</f>
        <v/>
      </c>
    </row>
    <row r="8" ht="32.25" customHeight="1" thickBot="1">
      <c r="A8" s="388" t="inlineStr">
        <is>
          <t>M.RTP.IM.2</t>
        </is>
      </c>
      <c r="B8" s="345" t="inlineStr">
        <is>
          <t>LIQUIDITE IMEDIATE (RLI)</t>
        </is>
      </c>
      <c r="C8" s="390" t="inlineStr">
        <is>
          <t>≥ 20%</t>
        </is>
      </c>
      <c r="D8" s="780">
        <f>IFERROR(M.X.RSL!E66,0)</f>
        <v/>
      </c>
    </row>
    <row r="9" ht="33" customHeight="1" thickBot="1">
      <c r="A9" s="388" t="inlineStr">
        <is>
          <t>M.RTP.IM.3</t>
        </is>
      </c>
      <c r="B9" s="346" t="inlineStr">
        <is>
          <t xml:space="preserve">DIVERSIFICATION (RD) </t>
        </is>
      </c>
      <c r="C9" s="391" t="inlineStr">
        <is>
          <t>≤ 5%</t>
        </is>
      </c>
      <c r="D9" s="780">
        <f>IFERROR(M.XIII.OATA!E10,0)</f>
        <v/>
      </c>
    </row>
    <row r="10" ht="39.75" customHeight="1" thickBot="1">
      <c r="A10" s="388" t="inlineStr">
        <is>
          <t>M.RTP.IM.4</t>
        </is>
      </c>
      <c r="B10" s="346" t="inlineStr">
        <is>
          <t xml:space="preserve">LIMITATION DES PARTICIPATIONS AUTRES QUE DANS LES IFI (RLP) </t>
        </is>
      </c>
      <c r="C10" s="391" t="inlineStr">
        <is>
          <t>≤ 25%</t>
        </is>
      </c>
      <c r="D10" s="780">
        <f>IFERROR(M.XIII.OATA!E19,0)</f>
        <v/>
      </c>
    </row>
    <row r="11" ht="39.75" customHeight="1" thickBot="1">
      <c r="A11" s="388" t="inlineStr">
        <is>
          <t>M.RTP.IM.5</t>
        </is>
      </c>
      <c r="B11" s="346" t="inlineStr">
        <is>
          <t xml:space="preserve">COUVERTURE DES IMMOBILISATIONS PAR LES FPN (RCI) </t>
        </is>
      </c>
      <c r="C11" s="391" t="inlineStr">
        <is>
          <t>≤ 50%</t>
        </is>
      </c>
      <c r="D11" s="780">
        <f>IFERROR(M.XIII.OATA!E31,0)</f>
        <v/>
      </c>
    </row>
    <row r="12" ht="33.75" customHeight="1" thickBot="1">
      <c r="A12" s="388" t="inlineStr">
        <is>
          <t>M.RTP.IM.6</t>
        </is>
      </c>
      <c r="B12" s="347" t="inlineStr">
        <is>
          <t xml:space="preserve">RESERVE LEGALE OBLIGATOIRE (RLO) </t>
        </is>
      </c>
      <c r="C12" s="391" t="inlineStr">
        <is>
          <t>≥ 15 %</t>
        </is>
      </c>
      <c r="D12" s="780">
        <f>IFERROR(M.XIII.OATA!E44,0)</f>
        <v/>
      </c>
    </row>
    <row r="13" ht="33.75" customHeight="1" thickBot="1">
      <c r="A13" s="388" t="inlineStr">
        <is>
          <t>M.RTP.IM.7</t>
        </is>
      </c>
      <c r="B13" s="347" t="inlineStr">
        <is>
          <t xml:space="preserve">FONDS DE SOLIDARITE FINANCIERE FSF) </t>
        </is>
      </c>
      <c r="C13" s="391" t="inlineStr">
        <is>
          <t>≥ 2%</t>
        </is>
      </c>
      <c r="D13" s="780">
        <f>IFERROR(M.XIV.FS!D18,0)</f>
        <v/>
      </c>
    </row>
    <row r="14" ht="33.75" customHeight="1" thickBot="1">
      <c r="A14" s="388" t="inlineStr">
        <is>
          <t>M.RTP.IM.8</t>
        </is>
      </c>
      <c r="B14" s="389" t="inlineStr">
        <is>
          <t xml:space="preserve">COUVERTURE DES EMPLOIS PAR LES RESSOURCES STABLES (RCERS) </t>
        </is>
      </c>
      <c r="C14" s="391" t="inlineStr">
        <is>
          <t>≥ 100%</t>
        </is>
      </c>
      <c r="D14" s="780">
        <f>IFERROR(M.XVI.CERS!E32,0)</f>
        <v/>
      </c>
    </row>
    <row r="15" ht="40.5" customHeight="1" thickBot="1">
      <c r="A15" s="388" t="inlineStr">
        <is>
          <t>M.RTP.IM.9</t>
        </is>
      </c>
      <c r="B15" s="347" t="inlineStr">
        <is>
          <t xml:space="preserve">RATIOS DE TAUX DE PROVISION (RTP) </t>
        </is>
      </c>
      <c r="C15" s="391" t="inlineStr">
        <is>
          <t>≥ 100%</t>
        </is>
      </c>
      <c r="D15" s="780">
        <f>IFERROR(M.XVII.PROV!G15,0)</f>
        <v/>
      </c>
    </row>
    <row r="16" ht="40.5" customHeight="1" thickBot="1">
      <c r="A16" s="388" t="inlineStr">
        <is>
          <t>M.RTP.IM.10</t>
        </is>
      </c>
      <c r="B16" s="346" t="inlineStr">
        <is>
          <t xml:space="preserve">RATIOS DE LIMITATION DES ENGAGEMENTS EN FAVEUR DES ACTIONNAIRES, DIRIGEANTS, ADMINISTRATEURS ET PERSONNEL </t>
        </is>
      </c>
      <c r="C16" s="391" t="inlineStr">
        <is>
          <t>≤ 10%</t>
        </is>
      </c>
      <c r="D16" s="762">
        <f>IFERROR(((M.VI.ADM.DIR!F152+M.VII.PERSONNEL!E197)/M.X.RSL!G39)*100,0)</f>
        <v/>
      </c>
    </row>
    <row r="17">
      <c r="A17" s="263" t="inlineStr">
        <is>
          <t>Total</t>
        </is>
      </c>
      <c r="B17" s="675" t="inlineStr">
        <is>
          <t>N/A</t>
        </is>
      </c>
      <c r="C17" s="675" t="inlineStr">
        <is>
          <t>N/A</t>
        </is>
      </c>
      <c r="D17" s="682" t="inlineStr">
        <is>
          <t>N/A</t>
        </is>
      </c>
    </row>
    <row r="22">
      <c r="A22" s="655" t="inlineStr">
        <is>
          <t>DETERMINATION PREALABLE DES AGREGATS POUR LE CALCUL DES INDICATEURS PRUDENTIELS</t>
        </is>
      </c>
      <c r="G22" s="338" t="n"/>
    </row>
    <row r="24">
      <c r="B24" s="350" t="inlineStr">
        <is>
          <t>CALCUL DE LA MOYENNE DES FONDS PROPRES</t>
        </is>
      </c>
      <c r="C24" s="351" t="inlineStr">
        <is>
          <t>MONTANT</t>
        </is>
      </c>
    </row>
    <row r="25">
      <c r="B25" s="337" t="inlineStr">
        <is>
          <t>FONDS PROPRES NETS Trimestre 1 (T1)</t>
        </is>
      </c>
      <c r="C25" s="823">
        <f>+M.XXII.INDIC.PRUDENTIELS!C22</f>
        <v/>
      </c>
    </row>
    <row r="26">
      <c r="B26" s="337" t="inlineStr">
        <is>
          <t>FONDS PROPRES NETS T2</t>
        </is>
      </c>
      <c r="C26" s="823">
        <f>+M.XXII.INDIC.PRUDENTIELS!C23</f>
        <v/>
      </c>
    </row>
    <row r="27">
      <c r="B27" s="337" t="inlineStr">
        <is>
          <t>FONDS PROPRES NETS T3</t>
        </is>
      </c>
      <c r="C27" s="823">
        <f>+M.XXII.INDIC.PRUDENTIELS!C24</f>
        <v/>
      </c>
    </row>
    <row r="28">
      <c r="B28" s="337" t="inlineStr">
        <is>
          <t>FONDS PROPRES NET  T4</t>
        </is>
      </c>
      <c r="C28" s="823">
        <f>+M.XXII.INDIC.PRUDENTIELS!C25</f>
        <v/>
      </c>
    </row>
    <row r="29">
      <c r="B29" s="351" t="inlineStr">
        <is>
          <t>C</t>
        </is>
      </c>
      <c r="C29" s="780">
        <f>IFERROR(AVERAGE(C25:C28),"")</f>
        <v/>
      </c>
    </row>
    <row r="30">
      <c r="B30" s="350" t="inlineStr">
        <is>
          <t>TOTAL MOYEN DE L'ACTIF NET</t>
        </is>
      </c>
      <c r="C30" s="824" t="inlineStr">
        <is>
          <t>MONTANT</t>
        </is>
      </c>
    </row>
    <row r="31">
      <c r="B31" s="337" t="inlineStr">
        <is>
          <t>TOTAL ACTIF NETS T1</t>
        </is>
      </c>
      <c r="C31" s="823">
        <f>+M.XXII.INDIC.PRUDENTIELS!C28</f>
        <v/>
      </c>
    </row>
    <row r="32">
      <c r="B32" s="337" t="inlineStr">
        <is>
          <t>TOTAL ACTIF NETS T2</t>
        </is>
      </c>
      <c r="C32" s="823">
        <f>+M.XXII.INDIC.PRUDENTIELS!C29</f>
        <v/>
      </c>
    </row>
    <row r="33">
      <c r="B33" s="337" t="inlineStr">
        <is>
          <t>TOTAL ACTIF NETS T3</t>
        </is>
      </c>
      <c r="C33" s="823">
        <f>+M.XXII.INDIC.PRUDENTIELS!C30</f>
        <v/>
      </c>
    </row>
    <row r="34">
      <c r="B34" s="337" t="inlineStr">
        <is>
          <t>TOTAL ACTIF NETS T4</t>
        </is>
      </c>
      <c r="C34" s="823">
        <f>+M.XXII.INDIC.PRUDENTIELS!C31</f>
        <v/>
      </c>
    </row>
    <row r="35">
      <c r="B35" s="351" t="inlineStr">
        <is>
          <t>D</t>
        </is>
      </c>
      <c r="C35" s="780">
        <f>IFERROR(AVERAGE(C31:C34),"")</f>
        <v/>
      </c>
    </row>
    <row r="36">
      <c r="B36" s="350" t="inlineStr">
        <is>
          <t>TOTAL MOYEN DE L'ACTIF BRUT</t>
        </is>
      </c>
      <c r="C36" s="824" t="inlineStr">
        <is>
          <t>MONTANT</t>
        </is>
      </c>
    </row>
    <row r="37">
      <c r="B37" s="337" t="inlineStr">
        <is>
          <t>TOTAL ACTIF BRUT T1</t>
        </is>
      </c>
      <c r="C37" s="823">
        <f>+M.XXII.INDIC.PRUDENTIELS!C34</f>
        <v/>
      </c>
    </row>
    <row r="38">
      <c r="B38" s="337" t="inlineStr">
        <is>
          <t>TOTAL ACTIF BRUT T2</t>
        </is>
      </c>
      <c r="C38" s="823">
        <f>+M.XXII.INDIC.PRUDENTIELS!C35</f>
        <v/>
      </c>
    </row>
    <row r="39">
      <c r="B39" s="337" t="inlineStr">
        <is>
          <t>TOTAL ACTIF BRUT T3</t>
        </is>
      </c>
      <c r="C39" s="823">
        <f>+M.XXII.INDIC.PRUDENTIELS!C36</f>
        <v/>
      </c>
    </row>
    <row r="40">
      <c r="B40" s="337" t="inlineStr">
        <is>
          <t>TOTAL ACTIF BRUT T4</t>
        </is>
      </c>
      <c r="C40" s="823">
        <f>+M.XXII.INDIC.PRUDENTIELS!C37</f>
        <v/>
      </c>
    </row>
    <row r="41">
      <c r="B41" s="351" t="inlineStr">
        <is>
          <t>E</t>
        </is>
      </c>
      <c r="C41" s="780">
        <f>IFERROR(AVERAGE(C37:C40),"")</f>
        <v/>
      </c>
    </row>
    <row r="42">
      <c r="C42" s="825" t="n"/>
    </row>
    <row r="45">
      <c r="B45" s="353" t="inlineStr">
        <is>
          <t>CALCUL DU RESULTAT D'EXPLOITATION HORS SUBVENTION</t>
        </is>
      </c>
    </row>
    <row r="46">
      <c r="A46" s="351" t="inlineStr">
        <is>
          <t>N°COMPTE</t>
        </is>
      </c>
      <c r="B46" s="354" t="inlineStr">
        <is>
          <t>INTITULE</t>
        </is>
      </c>
      <c r="C46" s="351" t="inlineStr">
        <is>
          <t>MONTANT</t>
        </is>
      </c>
    </row>
    <row r="47">
      <c r="A47" s="351" t="n">
        <v>70</v>
      </c>
      <c r="B47" s="355" t="inlineStr">
        <is>
          <t xml:space="preserve">Produits Financiers liés aux Placements </t>
        </is>
      </c>
      <c r="C47" s="780">
        <f>M.II.RESULTAT!D62</f>
        <v/>
      </c>
    </row>
    <row r="48">
      <c r="A48" s="336" t="n">
        <v>71</v>
      </c>
      <c r="B48" s="355" t="inlineStr">
        <is>
          <t>Autres produits financiers</t>
        </is>
      </c>
      <c r="C48" s="780">
        <f>M.II.RESULTAT!D73</f>
        <v/>
      </c>
    </row>
    <row r="49">
      <c r="A49" s="336" t="n">
        <v>72</v>
      </c>
      <c r="B49" s="355" t="inlineStr">
        <is>
          <t>Produits liés à des comptes et opérations de ME</t>
        </is>
      </c>
      <c r="C49" s="780">
        <f>M.II.RESULTAT!D81</f>
        <v/>
      </c>
    </row>
    <row r="50">
      <c r="A50" s="336" t="n">
        <v>73</v>
      </c>
      <c r="B50" s="355" t="inlineStr">
        <is>
          <t>AUTRES PRODUITS NON FINANCIERS</t>
        </is>
      </c>
      <c r="C50" s="780">
        <f>M.II.RESULTAT!D88</f>
        <v/>
      </c>
    </row>
    <row r="51">
      <c r="A51" s="336" t="n">
        <v>76</v>
      </c>
      <c r="B51" t="inlineStr">
        <is>
          <t>REPRISE SUR AMORTISSEMENTS ET PROVISIOSNS</t>
        </is>
      </c>
      <c r="C51" s="780">
        <f>M.II.RESULTAT!D93</f>
        <v/>
      </c>
    </row>
    <row r="52">
      <c r="A52" s="356" t="n">
        <v>61</v>
      </c>
      <c r="B52" s="357" t="inlineStr">
        <is>
          <t>F</t>
        </is>
      </c>
      <c r="C52" s="780">
        <f>SUM(C47:C51)</f>
        <v/>
      </c>
    </row>
    <row r="53">
      <c r="A53" s="336" t="n">
        <v>60</v>
      </c>
      <c r="B53" s="355" t="inlineStr">
        <is>
          <t>Intérêts</t>
        </is>
      </c>
      <c r="C53" s="780">
        <f>M.II.RESULTAT!D8</f>
        <v/>
      </c>
    </row>
    <row r="54">
      <c r="A54" s="336" t="n">
        <v>61</v>
      </c>
      <c r="B54" s="355" t="inlineStr">
        <is>
          <t>Achat de fournitures de bureau</t>
        </is>
      </c>
      <c r="C54" s="780">
        <f>M.II.RESULTAT!D18</f>
        <v/>
      </c>
    </row>
    <row r="55">
      <c r="A55" s="336" t="n">
        <v>62</v>
      </c>
      <c r="B55" s="355" t="inlineStr">
        <is>
          <t>Publicité et relations publiques</t>
        </is>
      </c>
      <c r="C55" s="780">
        <f>M.II.RESULTAT!D26</f>
        <v/>
      </c>
    </row>
    <row r="56">
      <c r="A56" s="336" t="n">
        <v>63</v>
      </c>
      <c r="B56" s="357" t="inlineStr">
        <is>
          <t>Impôts et taxes locales</t>
        </is>
      </c>
      <c r="C56" s="780">
        <f>M.II.RESULTAT!D33</f>
        <v/>
      </c>
    </row>
    <row r="57">
      <c r="A57" s="336" t="n">
        <v>64</v>
      </c>
      <c r="B57" s="355" t="inlineStr">
        <is>
          <t>Frais de personnel</t>
        </is>
      </c>
      <c r="C57" s="780">
        <f>M.II.RESULTAT!D37</f>
        <v/>
      </c>
    </row>
    <row r="58">
      <c r="A58" s="336" t="n">
        <v>65</v>
      </c>
      <c r="B58" s="355" t="inlineStr">
        <is>
          <t>Remboursement de frais</t>
        </is>
      </c>
      <c r="C58" s="780">
        <f>M.II.RESULTAT!D40</f>
        <v/>
      </c>
    </row>
    <row r="59">
      <c r="A59" s="336" t="n">
        <v>66</v>
      </c>
      <c r="B59" s="355" t="inlineStr">
        <is>
          <t xml:space="preserve">Dotations aux amortissements </t>
        </is>
      </c>
      <c r="C59" s="780">
        <f>M.II.RESULTAT!D44</f>
        <v/>
      </c>
    </row>
    <row r="60">
      <c r="A60" s="356" t="n"/>
      <c r="B60" s="351" t="inlineStr">
        <is>
          <t>G</t>
        </is>
      </c>
      <c r="C60" s="780">
        <f>SUM(C53:C59)</f>
        <v/>
      </c>
    </row>
    <row r="61">
      <c r="A61" s="350" t="inlineStr">
        <is>
          <t>N/A</t>
        </is>
      </c>
      <c r="B61" s="351" t="inlineStr">
        <is>
          <t>H= F-G</t>
        </is>
      </c>
      <c r="C61" s="826">
        <f>C52-C60</f>
        <v/>
      </c>
    </row>
    <row r="64">
      <c r="A64" s="337" t="inlineStr">
        <is>
          <t>N°COMPTE</t>
        </is>
      </c>
      <c r="B64" s="350" t="inlineStr">
        <is>
          <t>AUTRES AGREGATS</t>
        </is>
      </c>
      <c r="C64" s="351" t="inlineStr">
        <is>
          <t>MONTANT</t>
        </is>
      </c>
    </row>
    <row r="65">
      <c r="A65" s="337" t="n">
        <v>653</v>
      </c>
      <c r="B65" s="337" t="inlineStr">
        <is>
          <t>Montant des crédits passés en perte</t>
        </is>
      </c>
      <c r="C65" s="826">
        <f>+M.II.RESULTAT!D43</f>
        <v/>
      </c>
    </row>
    <row r="66">
      <c r="A66" s="337" t="n">
        <v>2</v>
      </c>
      <c r="B66" s="337" t="inlineStr">
        <is>
          <t xml:space="preserve">Montant brut du portefeuille de crédits </t>
        </is>
      </c>
      <c r="C66" s="826">
        <f>+M.I.BILAN!D33</f>
        <v/>
      </c>
    </row>
    <row r="67">
      <c r="A67" s="337" t="n"/>
      <c r="B67" s="337" t="n"/>
      <c r="C67" s="337" t="n"/>
    </row>
    <row r="68">
      <c r="A68" s="337" t="n"/>
      <c r="B68" s="337" t="inlineStr">
        <is>
          <t>FRAIS GENERAUX (FG)</t>
        </is>
      </c>
      <c r="C68" s="780">
        <f>+C54+C55+C56+C57+C58+C59</f>
        <v/>
      </c>
    </row>
    <row r="69">
      <c r="A69" s="337" t="n"/>
      <c r="B69" s="337" t="inlineStr">
        <is>
          <t>PRODUITS FINANCIERS NETS (PFN)</t>
        </is>
      </c>
      <c r="C69" s="780">
        <f>+C48+C47+C49-C53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K378V9gHUWM7KBouznN5A==" formatRows="1" sort="1" spinCount="100000" hashValue="nKy7SU00KKYcdxU+AkV7fG7ggYvVguq+vKm3pdfeJqjtE6f1DP3umwA7Nt034Z6BhVaKiumQvB57H3nhsqpaDQ=="/>
  <mergeCells count="1">
    <mergeCell ref="A22:F22"/>
  </mergeCells>
  <pageMargins left="0.7" right="0.7" top="0.75" bottom="0.75" header="0.3" footer="0.3"/>
  <pageSetup orientation="portrait" paperSize="9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topLeftCell="A4" workbookViewId="0">
      <selection activeCell="D8" sqref="D8"/>
    </sheetView>
  </sheetViews>
  <sheetFormatPr baseColWidth="10" defaultColWidth="11.44140625" defaultRowHeight="14.4"/>
  <cols>
    <col width="14.6640625" customWidth="1" style="396" min="1" max="1"/>
    <col width="44" customWidth="1" style="396" min="2" max="2"/>
    <col width="19.44140625" customWidth="1" style="396" min="3" max="3"/>
    <col width="21.88671875" customWidth="1" style="396" min="4" max="4"/>
    <col width="11.44140625" customWidth="1" style="396" min="5" max="16384"/>
  </cols>
  <sheetData>
    <row r="1">
      <c r="A1" s="392" t="n"/>
      <c r="B1" s="393" t="inlineStr">
        <is>
          <t>Nom de l'institution</t>
        </is>
      </c>
      <c r="C1" s="394">
        <f>'M.0.INFO.G'!C1</f>
        <v/>
      </c>
      <c r="D1" s="395" t="n"/>
    </row>
    <row r="2">
      <c r="A2" s="392" t="n"/>
      <c r="B2" s="393" t="inlineStr">
        <is>
          <t>Code de l'institution</t>
        </is>
      </c>
      <c r="C2" s="394">
        <f>'M.0.INFO.G'!C2</f>
        <v/>
      </c>
      <c r="D2" s="395" t="n"/>
    </row>
    <row r="3">
      <c r="A3" s="392" t="n"/>
      <c r="B3" s="393" t="inlineStr">
        <is>
          <t>Date des rapports</t>
        </is>
      </c>
      <c r="C3" s="394">
        <f>'M.0.INFO.G'!C3</f>
        <v/>
      </c>
      <c r="D3" s="397" t="n"/>
    </row>
    <row r="4">
      <c r="A4" s="392" t="n"/>
      <c r="B4" s="393" t="inlineStr">
        <is>
          <t xml:space="preserve">Rapport </t>
        </is>
      </c>
      <c r="C4" s="398" t="inlineStr">
        <is>
          <t xml:space="preserve">TABLEAU AUTRES INDICATEURS 1 </t>
        </is>
      </c>
      <c r="D4" s="399" t="n"/>
    </row>
    <row r="5">
      <c r="A5" s="392" t="n"/>
      <c r="B5" s="392" t="n"/>
      <c r="C5" s="392" t="n"/>
      <c r="D5" s="392" t="n"/>
    </row>
    <row r="6" ht="15.6" customHeight="1">
      <c r="A6" s="400" t="inlineStr">
        <is>
          <t>N°.</t>
        </is>
      </c>
      <c r="B6" s="400" t="inlineStr">
        <is>
          <t>LIBELLE</t>
        </is>
      </c>
      <c r="C6" s="400" t="inlineStr">
        <is>
          <t>NORMES</t>
        </is>
      </c>
      <c r="D6" s="400" t="inlineStr">
        <is>
          <t>RATIOS / VALEURS</t>
        </is>
      </c>
    </row>
    <row r="7" ht="32.25" customHeight="1" thickBot="1">
      <c r="A7" s="401" t="inlineStr">
        <is>
          <t>M.AI1.IM.1</t>
        </is>
      </c>
      <c r="B7" s="402" t="inlineStr">
        <is>
          <t xml:space="preserve">FONDS PROPRES NETS (FPN) </t>
        </is>
      </c>
      <c r="C7" s="391" t="inlineStr">
        <is>
          <t>≥ 15%</t>
        </is>
      </c>
      <c r="D7" s="404">
        <f>IFERROR(M.X.RSL!G39,0)</f>
        <v/>
      </c>
    </row>
    <row r="8" ht="33" customHeight="1" thickBot="1">
      <c r="A8" s="401" t="inlineStr">
        <is>
          <t>M.AI1.IM.2</t>
        </is>
      </c>
      <c r="B8" s="402" t="inlineStr">
        <is>
          <t>CREDITS AUX DIRIGEANTS</t>
        </is>
      </c>
      <c r="C8" s="390" t="inlineStr">
        <is>
          <t>≥ 20%</t>
        </is>
      </c>
      <c r="D8" s="404">
        <f>IFERROR(M.VI.ADM.DIR!F152,0)</f>
        <v/>
      </c>
    </row>
    <row r="9" ht="39.75" customHeight="1" thickBot="1">
      <c r="A9" s="401" t="inlineStr">
        <is>
          <t>M.AI1.IM.3</t>
        </is>
      </c>
      <c r="B9" s="402" t="inlineStr">
        <is>
          <t xml:space="preserve">CREDITS AU PERSONNEL </t>
        </is>
      </c>
      <c r="C9" s="391" t="inlineStr">
        <is>
          <t>≤ 5%</t>
        </is>
      </c>
      <c r="D9" s="404">
        <f>IFERROR(M.VII.PERSONNEL!E197,0)</f>
        <v/>
      </c>
    </row>
    <row r="10" ht="39.75" customHeight="1" thickBot="1">
      <c r="A10" s="401" t="inlineStr">
        <is>
          <t>M.AI1.IM.4</t>
        </is>
      </c>
      <c r="B10" s="402" t="inlineStr">
        <is>
          <t xml:space="preserve">SOLDE DES CREDITS DES DIX DEBITEURS </t>
        </is>
      </c>
      <c r="C10" s="391" t="inlineStr">
        <is>
          <t>≤ 25%</t>
        </is>
      </c>
      <c r="D10" s="404">
        <f>IFERROR(M.VIII.DIX.DEB!E17,0)</f>
        <v/>
      </c>
    </row>
    <row r="11" ht="33.75" customHeight="1" thickBot="1">
      <c r="A11" s="401" t="inlineStr">
        <is>
          <t>M.AI1.IM.5</t>
        </is>
      </c>
      <c r="B11" s="406" t="inlineStr">
        <is>
          <t xml:space="preserve">DIX CREANCIERS LES PLUS IMPORTANTS </t>
        </is>
      </c>
      <c r="C11" s="391" t="inlineStr">
        <is>
          <t>≤ 50%</t>
        </is>
      </c>
      <c r="D11" s="404">
        <f>IFERROR(M.XVIII.DIX.CREANCIERS!F17,0)</f>
        <v/>
      </c>
    </row>
    <row r="12" ht="33.75" customHeight="1" thickBot="1">
      <c r="A12" s="401" t="inlineStr">
        <is>
          <t>M.AI1.IM.6</t>
        </is>
      </c>
      <c r="B12" s="410" t="inlineStr">
        <is>
          <t xml:space="preserve">SOLDE DES CREDITS RESTRUCTURES </t>
        </is>
      </c>
      <c r="C12" s="391" t="inlineStr">
        <is>
          <t>≥ 15 %</t>
        </is>
      </c>
      <c r="D12" s="404">
        <f>IFERROR(M.XIX.CREDITS.RESTRUCTURES!G36,0)</f>
        <v/>
      </c>
    </row>
    <row r="13" ht="40.5" customHeight="1" thickBot="1">
      <c r="A13" s="401" t="inlineStr">
        <is>
          <t>M.AI1.IM.7</t>
        </is>
      </c>
      <c r="B13" s="406" t="inlineStr">
        <is>
          <t xml:space="preserve">SOLDE DES DIX BENEFICIAIRES </t>
        </is>
      </c>
      <c r="C13" s="391" t="inlineStr">
        <is>
          <t>≥ 2%</t>
        </is>
      </c>
      <c r="D13" s="404">
        <f>IFERROR(M.XX.DIX.BENEF.SIGN!E17,0)</f>
        <v/>
      </c>
    </row>
    <row r="14">
      <c r="A14" s="407" t="inlineStr">
        <is>
          <t>Total</t>
        </is>
      </c>
      <c r="B14" s="827" t="inlineStr">
        <is>
          <t>N/A</t>
        </is>
      </c>
      <c r="C14" s="827" t="inlineStr">
        <is>
          <t>N/A</t>
        </is>
      </c>
      <c r="D14" s="828" t="inlineStr">
        <is>
          <t>N/A</t>
        </is>
      </c>
    </row>
  </sheetData>
  <sheetProtection selectLockedCells="0" selectUnlockedCells="0" algorithmName="SHA-512" sheet="1" objects="1" insertRows="1" insertHyperlinks="0" autoFilter="1" scenarios="1" formatColumns="1" deleteColumns="1" insertColumns="1" pivotTables="1" deleteRows="1" formatCells="1" saltValue="0jo0+ocCkfb8lCm2aoOVqw==" formatRows="1" sort="1" spinCount="100000" hashValue="KiIXykeBVEu2wUQPsQM9+9DVYx4KJ4bKawkynWnvJrBc5CAtN9AvDcIDE5GskzCAzhovmZMBXEoEQYf49amHbQ=="/>
  <pageMargins left="0.7" right="0.7" top="0.75" bottom="0.75" header="0.3" footer="0.3"/>
  <pageSetup orientation="portrait" paperSize="9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D15" sqref="D15"/>
    </sheetView>
  </sheetViews>
  <sheetFormatPr baseColWidth="10" defaultColWidth="11.44140625" defaultRowHeight="14.4"/>
  <cols>
    <col width="14.6640625" customWidth="1" style="396" min="1" max="1"/>
    <col width="44" customWidth="1" style="396" min="2" max="2"/>
    <col width="19.44140625" customWidth="1" style="396" min="3" max="3"/>
    <col width="21.88671875" customWidth="1" style="396" min="4" max="4"/>
    <col width="11.44140625" customWidth="1" style="396" min="5" max="16384"/>
  </cols>
  <sheetData>
    <row r="1">
      <c r="A1" s="392" t="n"/>
      <c r="B1" s="393" t="inlineStr">
        <is>
          <t>Nom de l'institution</t>
        </is>
      </c>
      <c r="C1" s="394">
        <f>'M.0.INFO.G'!C1</f>
        <v/>
      </c>
      <c r="D1" s="395" t="n"/>
    </row>
    <row r="2">
      <c r="A2" s="392" t="n"/>
      <c r="B2" s="393" t="inlineStr">
        <is>
          <t>Code de l'institution</t>
        </is>
      </c>
      <c r="C2" s="394" t="inlineStr">
        <is>
          <t>001</t>
        </is>
      </c>
      <c r="D2" s="395" t="n"/>
    </row>
    <row r="3">
      <c r="A3" s="392" t="n"/>
      <c r="B3" s="393" t="inlineStr">
        <is>
          <t>Date des rapports</t>
        </is>
      </c>
      <c r="C3" s="394" t="inlineStr">
        <is>
          <t>31/03/2021</t>
        </is>
      </c>
      <c r="D3" s="397" t="n"/>
    </row>
    <row r="4">
      <c r="A4" s="392" t="n"/>
      <c r="B4" s="393" t="inlineStr">
        <is>
          <t xml:space="preserve">Rapport </t>
        </is>
      </c>
      <c r="C4" s="398" t="inlineStr">
        <is>
          <t xml:space="preserve">TABLEAU AUTRES INDICATEURS 2 </t>
        </is>
      </c>
      <c r="D4" s="399" t="n"/>
    </row>
    <row r="5">
      <c r="A5" s="392" t="n"/>
      <c r="B5" s="392" t="n"/>
      <c r="C5" s="392" t="n"/>
      <c r="D5" s="392" t="n"/>
    </row>
    <row r="6" ht="16.2" customHeight="1" thickBot="1">
      <c r="A6" s="400" t="inlineStr">
        <is>
          <t>N°.</t>
        </is>
      </c>
      <c r="B6" s="400" t="inlineStr">
        <is>
          <t>LIBELLE</t>
        </is>
      </c>
      <c r="C6" s="400" t="inlineStr">
        <is>
          <t>NORMES</t>
        </is>
      </c>
      <c r="D6" s="400" t="inlineStr">
        <is>
          <t>RATIOS / VALEURS</t>
        </is>
      </c>
    </row>
    <row r="7" ht="16.2" customHeight="1" thickBot="1">
      <c r="A7" s="401" t="inlineStr">
        <is>
          <t>M.AI2.IM.1</t>
        </is>
      </c>
      <c r="B7" s="402" t="inlineStr">
        <is>
          <t>CREDITS NON RESIDENTS</t>
        </is>
      </c>
      <c r="C7" s="403" t="n"/>
      <c r="D7" s="404">
        <f>M.XI.RPCS!I7</f>
        <v/>
      </c>
    </row>
    <row r="8" ht="16.2" customHeight="1" thickBot="1">
      <c r="A8" s="401" t="inlineStr">
        <is>
          <t>M.AI2.IM.2</t>
        </is>
      </c>
      <c r="B8" s="402" t="inlineStr">
        <is>
          <t>CREDITS AUX MENAGES</t>
        </is>
      </c>
      <c r="C8" s="405" t="n"/>
      <c r="D8" s="404">
        <f>M.XI.RPCS!I8</f>
        <v/>
      </c>
    </row>
    <row r="9" ht="16.2" customHeight="1" thickBot="1">
      <c r="A9" s="401" t="inlineStr">
        <is>
          <t>M.AI2.IM.3</t>
        </is>
      </c>
      <c r="B9" s="402" t="inlineStr">
        <is>
          <t>CREDITS AUX ISBLSM</t>
        </is>
      </c>
      <c r="C9" s="405" t="n"/>
      <c r="D9" s="404">
        <f>M.XI.RPCS!I9</f>
        <v/>
      </c>
    </row>
    <row r="10" ht="16.2" customHeight="1" thickBot="1">
      <c r="A10" s="401" t="inlineStr">
        <is>
          <t>M.AI2.IM.4</t>
        </is>
      </c>
      <c r="B10" s="402" t="inlineStr">
        <is>
          <t>AUTRES CREDITS</t>
        </is>
      </c>
      <c r="C10" s="405" t="n"/>
      <c r="D10" s="404">
        <f>M.XI.RPCS!I10</f>
        <v/>
      </c>
    </row>
    <row r="11" ht="16.2" customHeight="1" thickBot="1">
      <c r="A11" s="401" t="inlineStr">
        <is>
          <t>M.AI2.IM.5</t>
        </is>
      </c>
      <c r="B11" s="402" t="inlineStr">
        <is>
          <t xml:space="preserve">ENCOURS CREDIT CONAKRY </t>
        </is>
      </c>
      <c r="C11" s="405" t="n"/>
      <c r="D11" s="404">
        <f>M.XI.RPCS!I11</f>
        <v/>
      </c>
    </row>
    <row r="12" ht="16.2" customHeight="1" thickBot="1">
      <c r="A12" s="401" t="inlineStr">
        <is>
          <t>M.AI2.IM.6</t>
        </is>
      </c>
      <c r="B12" s="402" t="inlineStr">
        <is>
          <t>ENCOURS CREDIT BG</t>
        </is>
      </c>
      <c r="C12" s="405" t="n"/>
      <c r="D12" s="404">
        <f>M.XI.RPCS!I22</f>
        <v/>
      </c>
    </row>
    <row r="13" ht="16.2" customHeight="1" thickBot="1">
      <c r="A13" s="401" t="inlineStr">
        <is>
          <t>M.AI2.IM.7</t>
        </is>
      </c>
      <c r="B13" s="402" t="inlineStr">
        <is>
          <t>ENCOURS CREDIT MG</t>
        </is>
      </c>
      <c r="C13" s="405" t="n"/>
      <c r="D13" s="404">
        <f>M.XI.RPCS!I21</f>
        <v/>
      </c>
    </row>
    <row r="14" ht="16.2" customHeight="1" thickBot="1">
      <c r="A14" s="401" t="inlineStr">
        <is>
          <t>M.AI2.IM.8</t>
        </is>
      </c>
      <c r="B14" s="402" t="inlineStr">
        <is>
          <t xml:space="preserve">ENCOURS CREDIT HG </t>
        </is>
      </c>
      <c r="C14" s="405" t="n"/>
      <c r="D14" s="404">
        <f>M.XI.RPCS!I24</f>
        <v/>
      </c>
    </row>
    <row r="15" ht="16.2" customHeight="1" thickBot="1">
      <c r="A15" s="401" t="inlineStr">
        <is>
          <t>M.AI2.IM.9</t>
        </is>
      </c>
      <c r="B15" s="406" t="inlineStr">
        <is>
          <t>ENCOURS CREDIT GF</t>
        </is>
      </c>
      <c r="C15" s="405" t="n"/>
      <c r="D15" s="404">
        <f>M.XI.RPCS!I23</f>
        <v/>
      </c>
    </row>
    <row r="16">
      <c r="A16" s="407" t="inlineStr">
        <is>
          <t>Total</t>
        </is>
      </c>
      <c r="B16" s="827" t="inlineStr">
        <is>
          <t>N/A</t>
        </is>
      </c>
      <c r="C16" s="827" t="inlineStr">
        <is>
          <t>N/A</t>
        </is>
      </c>
      <c r="D16" s="828" t="inlineStr">
        <is>
          <t>N/A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QaLGk/54/618+5KK2wRZg==" formatRows="1" sort="1" spinCount="100000" hashValue="BCrGoMruRSgViE1FzxArpyctKqk10CIe5BnKnTrgbwrMRmpO/TK1e//DNCTE1oEnZvoIH/QCXdDcOadC2MFRuQ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2026-07-24T15:48:02Z</dcterms:modified>
</cp:coreProperties>
</file>